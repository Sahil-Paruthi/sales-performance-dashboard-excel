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bookViews>
    <workbookView xWindow="132" yWindow="540" windowWidth="22716" windowHeight="10788" firstSheet="1" activeTab="1"/>
  </bookViews>
  <sheets>
    <sheet name="SalesData" sheetId="1" r:id="rId1"/>
    <sheet name="SalesData-" sheetId="6" r:id="rId2"/>
    <sheet name="Dashboard" sheetId="3" r:id="rId3"/>
    <sheet name="Pivot_Tables" sheetId="4" state="hidden" r:id="rId4"/>
    <sheet name="Readme" sheetId="5" r:id="rId5"/>
  </sheets>
  <definedNames>
    <definedName name="Slicer_Category">#N/A</definedName>
    <definedName name="Slicer_Channel">#N/A</definedName>
    <definedName name="Slicer_Region">#N/A</definedName>
    <definedName name="Slicer_Salesperson">#N/A</definedName>
    <definedName name="Slicer_Year">#N/A</definedName>
  </definedNames>
  <calcPr calcId="144525"/>
  <pivotCaches>
    <pivotCache cacheId="0" r:id="rId6"/>
    <pivotCache cacheId="1" r:id="rId7"/>
  </pivotCaches>
  <extLs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 i="1" l="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A1002" i="1"/>
  <c r="M1002" i="1"/>
  <c r="N1002" i="1"/>
</calcChain>
</file>

<file path=xl/sharedStrings.xml><?xml version="1.0" encoding="utf-8"?>
<sst xmlns="http://schemas.openxmlformats.org/spreadsheetml/2006/main" count="20176" uniqueCount="2060">
  <si>
    <t>Order ID</t>
  </si>
  <si>
    <t>Order Date</t>
  </si>
  <si>
    <t>Region</t>
  </si>
  <si>
    <t>State</t>
  </si>
  <si>
    <t>Salesperson</t>
  </si>
  <si>
    <t>Customer Segment</t>
  </si>
  <si>
    <t>Category</t>
  </si>
  <si>
    <t>Sub-Category</t>
  </si>
  <si>
    <t>Product</t>
  </si>
  <si>
    <t>Units</t>
  </si>
  <si>
    <t>Unit Price</t>
  </si>
  <si>
    <t>Discount %</t>
  </si>
  <si>
    <t>Revenue</t>
  </si>
  <si>
    <t>Cost</t>
  </si>
  <si>
    <t>Profit</t>
  </si>
  <si>
    <t>Channel</t>
  </si>
  <si>
    <t>Payment</t>
  </si>
  <si>
    <t>Month</t>
  </si>
  <si>
    <t>Year</t>
  </si>
  <si>
    <t>ORD100002</t>
  </si>
  <si>
    <t>West</t>
  </si>
  <si>
    <t>Mumbai</t>
  </si>
  <si>
    <t>Neha</t>
  </si>
  <si>
    <t>Corporate</t>
  </si>
  <si>
    <t>Electronics</t>
  </si>
  <si>
    <t>Monitor</t>
  </si>
  <si>
    <t>Monitor 977</t>
  </si>
  <si>
    <t>Online</t>
  </si>
  <si>
    <t>Card</t>
  </si>
  <si>
    <t>ORD100003</t>
  </si>
  <si>
    <t>Simran</t>
  </si>
  <si>
    <t>Consumer</t>
  </si>
  <si>
    <t>Keyboard</t>
  </si>
  <si>
    <t>Keyboard 106</t>
  </si>
  <si>
    <t>ORD100004</t>
  </si>
  <si>
    <t>North</t>
  </si>
  <si>
    <t>Delhi</t>
  </si>
  <si>
    <t>Small Business</t>
  </si>
  <si>
    <t>Furniture</t>
  </si>
  <si>
    <t>Desk</t>
  </si>
  <si>
    <t>Desk 729</t>
  </si>
  <si>
    <t>Retail</t>
  </si>
  <si>
    <t>UPI</t>
  </si>
  <si>
    <t>ORD100005</t>
  </si>
  <si>
    <t>Karan</t>
  </si>
  <si>
    <t>Office Supplies</t>
  </si>
  <si>
    <t>Notebook</t>
  </si>
  <si>
    <t>Notebook 529</t>
  </si>
  <si>
    <t>Distributor</t>
  </si>
  <si>
    <t>Net Banking</t>
  </si>
  <si>
    <t>ORD100006</t>
  </si>
  <si>
    <t>Aman</t>
  </si>
  <si>
    <t>Folders</t>
  </si>
  <si>
    <t>Folders 214</t>
  </si>
  <si>
    <t>ORD100007</t>
  </si>
  <si>
    <t>Ahmedabad</t>
  </si>
  <si>
    <t>Mouse</t>
  </si>
  <si>
    <t>Mouse 811</t>
  </si>
  <si>
    <t>ORD100008</t>
  </si>
  <si>
    <t>Chandigarh</t>
  </si>
  <si>
    <t>Notebook 563</t>
  </si>
  <si>
    <t>Cash</t>
  </si>
  <si>
    <t>ORD100009</t>
  </si>
  <si>
    <t>Table</t>
  </si>
  <si>
    <t>Table 945</t>
  </si>
  <si>
    <t>ORD100010</t>
  </si>
  <si>
    <t>Riya</t>
  </si>
  <si>
    <t>Pens</t>
  </si>
  <si>
    <t>Pens 263</t>
  </si>
  <si>
    <t>ORD100011</t>
  </si>
  <si>
    <t>South</t>
  </si>
  <si>
    <t>Chennai</t>
  </si>
  <si>
    <t>Bookshelf</t>
  </si>
  <si>
    <t>Bookshelf 801</t>
  </si>
  <si>
    <t>ORD100012</t>
  </si>
  <si>
    <t>Bengaluru</t>
  </si>
  <si>
    <t>Bookshelf 923</t>
  </si>
  <si>
    <t>ORD100013</t>
  </si>
  <si>
    <t>Folders 718</t>
  </si>
  <si>
    <t>ORD100014</t>
  </si>
  <si>
    <t>Keyboard 343</t>
  </si>
  <si>
    <t>ORD100015</t>
  </si>
  <si>
    <t>Table 196</t>
  </si>
  <si>
    <t>ORD100016</t>
  </si>
  <si>
    <t>Monitor 553</t>
  </si>
  <si>
    <t>ORD100017</t>
  </si>
  <si>
    <t>East</t>
  </si>
  <si>
    <t>Bhubaneswar</t>
  </si>
  <si>
    <t>Notebook 986</t>
  </si>
  <si>
    <t>ORD100018</t>
  </si>
  <si>
    <t>Kolkata</t>
  </si>
  <si>
    <t>Chair</t>
  </si>
  <si>
    <t>Chair 892</t>
  </si>
  <si>
    <t>ORD100019</t>
  </si>
  <si>
    <t>Folders 124</t>
  </si>
  <si>
    <t>ORD100020</t>
  </si>
  <si>
    <t>Monitor 310</t>
  </si>
  <si>
    <t>ORD100021</t>
  </si>
  <si>
    <t>Desk 591</t>
  </si>
  <si>
    <t>ORD100022</t>
  </si>
  <si>
    <t>Desk 319</t>
  </si>
  <si>
    <t>ORD100023</t>
  </si>
  <si>
    <t>Desk 988</t>
  </si>
  <si>
    <t>ORD100024</t>
  </si>
  <si>
    <t>Desk 832</t>
  </si>
  <si>
    <t>ORD100025</t>
  </si>
  <si>
    <t>Cabinet</t>
  </si>
  <si>
    <t>Cabinet 739</t>
  </si>
  <si>
    <t>ORD100026</t>
  </si>
  <si>
    <t>Desk 548</t>
  </si>
  <si>
    <t>ORD100027</t>
  </si>
  <si>
    <t>Table 231</t>
  </si>
  <si>
    <t>ORD100028</t>
  </si>
  <si>
    <t>Vikram</t>
  </si>
  <si>
    <t>Monitor 993</t>
  </si>
  <si>
    <t>ORD100029</t>
  </si>
  <si>
    <t>Mouse 698</t>
  </si>
  <si>
    <t>ORD100030</t>
  </si>
  <si>
    <t>Folders 978</t>
  </si>
  <si>
    <t>ORD100031</t>
  </si>
  <si>
    <t>Rahul</t>
  </si>
  <si>
    <t>Keyboard 708</t>
  </si>
  <si>
    <t>ORD100032</t>
  </si>
  <si>
    <t>Paper</t>
  </si>
  <si>
    <t>Paper 900</t>
  </si>
  <si>
    <t>ORD100033</t>
  </si>
  <si>
    <t>Bookshelf 409</t>
  </si>
  <si>
    <t>ORD100034</t>
  </si>
  <si>
    <t>Table 762</t>
  </si>
  <si>
    <t>ORD100035</t>
  </si>
  <si>
    <t>Cabinet 255</t>
  </si>
  <si>
    <t>ORD100036</t>
  </si>
  <si>
    <t>Bookshelf 578</t>
  </si>
  <si>
    <t>ORD100037</t>
  </si>
  <si>
    <t>Headphones</t>
  </si>
  <si>
    <t>Headphones 959</t>
  </si>
  <si>
    <t>ORD100038</t>
  </si>
  <si>
    <t>Folders 391</t>
  </si>
  <si>
    <t>ORD100039</t>
  </si>
  <si>
    <t>Chair 798</t>
  </si>
  <si>
    <t>ORD100040</t>
  </si>
  <si>
    <t>Folders 463</t>
  </si>
  <si>
    <t>ORD100041</t>
  </si>
  <si>
    <t>Monitor 190</t>
  </si>
  <si>
    <t>ORD100042</t>
  </si>
  <si>
    <t>Mouse 139</t>
  </si>
  <si>
    <t>ORD100043</t>
  </si>
  <si>
    <t>Desk 827</t>
  </si>
  <si>
    <t>ORD100044</t>
  </si>
  <si>
    <t>Paper 634</t>
  </si>
  <si>
    <t>ORD100045</t>
  </si>
  <si>
    <t>Paper 843</t>
  </si>
  <si>
    <t>ORD100046</t>
  </si>
  <si>
    <t>Folders 924</t>
  </si>
  <si>
    <t>ORD100047</t>
  </si>
  <si>
    <t>Table 721</t>
  </si>
  <si>
    <t>ORD100048</t>
  </si>
  <si>
    <t>Cabinet 458</t>
  </si>
  <si>
    <t>ORD100049</t>
  </si>
  <si>
    <t>Printer Ink</t>
  </si>
  <si>
    <t>Printer Ink 873</t>
  </si>
  <si>
    <t>ORD100050</t>
  </si>
  <si>
    <t>Chair 470</t>
  </si>
  <si>
    <t>ORD100051</t>
  </si>
  <si>
    <t>Bookshelf 990</t>
  </si>
  <si>
    <t>ORD100052</t>
  </si>
  <si>
    <t>Monitor 114</t>
  </si>
  <si>
    <t>ORD100053</t>
  </si>
  <si>
    <t>Printer Ink 219</t>
  </si>
  <si>
    <t>ORD100054</t>
  </si>
  <si>
    <t>Priya</t>
  </si>
  <si>
    <t>Laptop</t>
  </si>
  <si>
    <t>Laptop 321</t>
  </si>
  <si>
    <t>ORD100055</t>
  </si>
  <si>
    <t>Monitor 601</t>
  </si>
  <si>
    <t>ORD100056</t>
  </si>
  <si>
    <t>Paper 813</t>
  </si>
  <si>
    <t>ORD100057</t>
  </si>
  <si>
    <t>Headphones 910</t>
  </si>
  <si>
    <t>ORD100058</t>
  </si>
  <si>
    <t>Pens 384</t>
  </si>
  <si>
    <t>ORD100059</t>
  </si>
  <si>
    <t>ORD100060</t>
  </si>
  <si>
    <t>Chair 861</t>
  </si>
  <si>
    <t>ORD100061</t>
  </si>
  <si>
    <t>Headphones 637</t>
  </si>
  <si>
    <t>ORD100062</t>
  </si>
  <si>
    <t>Paper 262</t>
  </si>
  <si>
    <t>ORD100063</t>
  </si>
  <si>
    <t>Notebook 785</t>
  </si>
  <si>
    <t>ORD100064</t>
  </si>
  <si>
    <t>Desk 469</t>
  </si>
  <si>
    <t>ORD100065</t>
  </si>
  <si>
    <t>Printer Ink 841</t>
  </si>
  <si>
    <t>ORD100066</t>
  </si>
  <si>
    <t>Chair 319</t>
  </si>
  <si>
    <t>ORD100067</t>
  </si>
  <si>
    <t>Pens 674</t>
  </si>
  <si>
    <t>ORD100068</t>
  </si>
  <si>
    <t>Table 245</t>
  </si>
  <si>
    <t>ORD100069</t>
  </si>
  <si>
    <t>Chair 134</t>
  </si>
  <si>
    <t>ORD100070</t>
  </si>
  <si>
    <t>Paper 723</t>
  </si>
  <si>
    <t>ORD100071</t>
  </si>
  <si>
    <t>Bookshelf 305</t>
  </si>
  <si>
    <t>ORD100072</t>
  </si>
  <si>
    <t>Paper 971</t>
  </si>
  <si>
    <t>ORD100073</t>
  </si>
  <si>
    <t>Headphones 943</t>
  </si>
  <si>
    <t>ORD100074</t>
  </si>
  <si>
    <t>Notebook 347</t>
  </si>
  <si>
    <t>ORD100075</t>
  </si>
  <si>
    <t>Paper 713</t>
  </si>
  <si>
    <t>ORD100076</t>
  </si>
  <si>
    <t>Bookshelf 557</t>
  </si>
  <si>
    <t>ORD100077</t>
  </si>
  <si>
    <t>Folders 754</t>
  </si>
  <si>
    <t>ORD100078</t>
  </si>
  <si>
    <t>Laptop 894</t>
  </si>
  <si>
    <t>ORD100079</t>
  </si>
  <si>
    <t>Folders 493</t>
  </si>
  <si>
    <t>ORD100080</t>
  </si>
  <si>
    <t>Mouse 893</t>
  </si>
  <si>
    <t>ORD100081</t>
  </si>
  <si>
    <t>Printer Ink 539</t>
  </si>
  <si>
    <t>ORD100082</t>
  </si>
  <si>
    <t>Monitor 668</t>
  </si>
  <si>
    <t>ORD100083</t>
  </si>
  <si>
    <t>Paper 687</t>
  </si>
  <si>
    <t>ORD100084</t>
  </si>
  <si>
    <t>Headphones 784</t>
  </si>
  <si>
    <t>ORD100085</t>
  </si>
  <si>
    <t>Monitor 195</t>
  </si>
  <si>
    <t>ORD100086</t>
  </si>
  <si>
    <t>Notebook 465</t>
  </si>
  <si>
    <t>ORD100087</t>
  </si>
  <si>
    <t>Bookshelf 886</t>
  </si>
  <si>
    <t>ORD100088</t>
  </si>
  <si>
    <t>Headphones 615</t>
  </si>
  <si>
    <t>ORD100089</t>
  </si>
  <si>
    <t>Desk 202</t>
  </si>
  <si>
    <t>ORD100090</t>
  </si>
  <si>
    <t>Chair 997</t>
  </si>
  <si>
    <t>ORD100091</t>
  </si>
  <si>
    <t>Bookshelf 751</t>
  </si>
  <si>
    <t>ORD100092</t>
  </si>
  <si>
    <t>Printer Ink 413</t>
  </si>
  <si>
    <t>ORD100093</t>
  </si>
  <si>
    <t>Bookshelf 729</t>
  </si>
  <si>
    <t>ORD100094</t>
  </si>
  <si>
    <t>Mouse 209</t>
  </si>
  <si>
    <t>ORD100095</t>
  </si>
  <si>
    <t>Paper 376</t>
  </si>
  <si>
    <t>ORD100096</t>
  </si>
  <si>
    <t>Keyboard 412</t>
  </si>
  <si>
    <t>ORD100097</t>
  </si>
  <si>
    <t>Printer Ink 710</t>
  </si>
  <si>
    <t>ORD100098</t>
  </si>
  <si>
    <t>Mouse 795</t>
  </si>
  <si>
    <t>ORD100099</t>
  </si>
  <si>
    <t>Mouse 787</t>
  </si>
  <si>
    <t>ORD100100</t>
  </si>
  <si>
    <t>Mouse 670</t>
  </si>
  <si>
    <t>ORD100101</t>
  </si>
  <si>
    <t>Headphones 827</t>
  </si>
  <si>
    <t>ORD100102</t>
  </si>
  <si>
    <t>Desk 569</t>
  </si>
  <si>
    <t>ORD100103</t>
  </si>
  <si>
    <t>Keyboard 608</t>
  </si>
  <si>
    <t>ORD100104</t>
  </si>
  <si>
    <t>Bookshelf 175</t>
  </si>
  <si>
    <t>ORD100105</t>
  </si>
  <si>
    <t>Headphones 255</t>
  </si>
  <si>
    <t>ORD100106</t>
  </si>
  <si>
    <t>Keyboard 705</t>
  </si>
  <si>
    <t>ORD100107</t>
  </si>
  <si>
    <t>Headphones 855</t>
  </si>
  <si>
    <t>ORD100108</t>
  </si>
  <si>
    <t>Keyboard 475</t>
  </si>
  <si>
    <t>ORD100109</t>
  </si>
  <si>
    <t>Notebook 490</t>
  </si>
  <si>
    <t>ORD100110</t>
  </si>
  <si>
    <t>Monitor 421</t>
  </si>
  <si>
    <t>ORD100111</t>
  </si>
  <si>
    <t>Laptop 694</t>
  </si>
  <si>
    <t>ORD100112</t>
  </si>
  <si>
    <t>Cabinet 383</t>
  </si>
  <si>
    <t>ORD100113</t>
  </si>
  <si>
    <t>Desk 253</t>
  </si>
  <si>
    <t>ORD100114</t>
  </si>
  <si>
    <t>Mouse 551</t>
  </si>
  <si>
    <t>ORD100115</t>
  </si>
  <si>
    <t>Printer Ink 171</t>
  </si>
  <si>
    <t>ORD100116</t>
  </si>
  <si>
    <t>Paper 446</t>
  </si>
  <si>
    <t>ORD100117</t>
  </si>
  <si>
    <t>Folders 427</t>
  </si>
  <si>
    <t>ORD100118</t>
  </si>
  <si>
    <t>Headphones 977</t>
  </si>
  <si>
    <t>ORD100119</t>
  </si>
  <si>
    <t>Paper 978</t>
  </si>
  <si>
    <t>ORD100120</t>
  </si>
  <si>
    <t>Monitor 876</t>
  </si>
  <si>
    <t>ORD100121</t>
  </si>
  <si>
    <t>Table 525</t>
  </si>
  <si>
    <t>ORD100122</t>
  </si>
  <si>
    <t>Mouse 195</t>
  </si>
  <si>
    <t>ORD100123</t>
  </si>
  <si>
    <t>Headphones 297</t>
  </si>
  <si>
    <t>ORD100124</t>
  </si>
  <si>
    <t>Table 544</t>
  </si>
  <si>
    <t>ORD100125</t>
  </si>
  <si>
    <t>Cabinet 979</t>
  </si>
  <si>
    <t>ORD100126</t>
  </si>
  <si>
    <t>Chair 176</t>
  </si>
  <si>
    <t>ORD100127</t>
  </si>
  <si>
    <t>Monitor 404</t>
  </si>
  <si>
    <t>ORD100128</t>
  </si>
  <si>
    <t>Cabinet 756</t>
  </si>
  <si>
    <t>ORD100129</t>
  </si>
  <si>
    <t>Monitor 307</t>
  </si>
  <si>
    <t>ORD100130</t>
  </si>
  <si>
    <t>Mouse 675</t>
  </si>
  <si>
    <t>ORD100131</t>
  </si>
  <si>
    <t>Folders 713</t>
  </si>
  <si>
    <t>ORD100132</t>
  </si>
  <si>
    <t>Table 536</t>
  </si>
  <si>
    <t>ORD100133</t>
  </si>
  <si>
    <t>Cabinet 354</t>
  </si>
  <si>
    <t>ORD100134</t>
  </si>
  <si>
    <t>Monitor 943</t>
  </si>
  <si>
    <t>ORD100135</t>
  </si>
  <si>
    <t>Desk 793</t>
  </si>
  <si>
    <t>ORD100136</t>
  </si>
  <si>
    <t>Desk 458</t>
  </si>
  <si>
    <t>ORD100137</t>
  </si>
  <si>
    <t>Desk 480</t>
  </si>
  <si>
    <t>ORD100138</t>
  </si>
  <si>
    <t>Cabinet 217</t>
  </si>
  <si>
    <t>ORD100139</t>
  </si>
  <si>
    <t>Mouse 886</t>
  </si>
  <si>
    <t>ORD100140</t>
  </si>
  <si>
    <t>Notebook 493</t>
  </si>
  <si>
    <t>ORD100141</t>
  </si>
  <si>
    <t>Keyboard 126</t>
  </si>
  <si>
    <t>ORD100142</t>
  </si>
  <si>
    <t>Notebook 702</t>
  </si>
  <si>
    <t>ORD100143</t>
  </si>
  <si>
    <t>Folders 102</t>
  </si>
  <si>
    <t>ORD100144</t>
  </si>
  <si>
    <t>Folders 688</t>
  </si>
  <si>
    <t>ORD100145</t>
  </si>
  <si>
    <t>Mouse 560</t>
  </si>
  <si>
    <t>ORD100146</t>
  </si>
  <si>
    <t>Notebook 418</t>
  </si>
  <si>
    <t>ORD100147</t>
  </si>
  <si>
    <t>Printer Ink 694</t>
  </si>
  <si>
    <t>ORD100148</t>
  </si>
  <si>
    <t>Notebook 161</t>
  </si>
  <si>
    <t>ORD100149</t>
  </si>
  <si>
    <t>Pens 538</t>
  </si>
  <si>
    <t>ORD100150</t>
  </si>
  <si>
    <t>Mouse 579</t>
  </si>
  <si>
    <t>ORD100151</t>
  </si>
  <si>
    <t>Monitor 465</t>
  </si>
  <si>
    <t>ORD100152</t>
  </si>
  <si>
    <t>Notebook 978</t>
  </si>
  <si>
    <t>ORD100153</t>
  </si>
  <si>
    <t>Desk 758</t>
  </si>
  <si>
    <t>ORD100154</t>
  </si>
  <si>
    <t>Paper 905</t>
  </si>
  <si>
    <t>ORD100155</t>
  </si>
  <si>
    <t>Notebook 639</t>
  </si>
  <si>
    <t>ORD100156</t>
  </si>
  <si>
    <t>Headphones 174</t>
  </si>
  <si>
    <t>ORD100157</t>
  </si>
  <si>
    <t>Cabinet 469</t>
  </si>
  <si>
    <t>ORD100158</t>
  </si>
  <si>
    <t>Desk 602</t>
  </si>
  <si>
    <t>ORD100159</t>
  </si>
  <si>
    <t>Pens 738</t>
  </si>
  <si>
    <t>ORD100160</t>
  </si>
  <si>
    <t>Pens 252</t>
  </si>
  <si>
    <t>ORD100161</t>
  </si>
  <si>
    <t>Table 229</t>
  </si>
  <si>
    <t>ORD100162</t>
  </si>
  <si>
    <t>Mouse 234</t>
  </si>
  <si>
    <t>ORD100163</t>
  </si>
  <si>
    <t>Desk 848</t>
  </si>
  <si>
    <t>ORD100164</t>
  </si>
  <si>
    <t>ORD100165</t>
  </si>
  <si>
    <t>Bookshelf 982</t>
  </si>
  <si>
    <t>ORD100166</t>
  </si>
  <si>
    <t>Laptop 234</t>
  </si>
  <si>
    <t>ORD100167</t>
  </si>
  <si>
    <t>ORD100168</t>
  </si>
  <si>
    <t>Table 699</t>
  </si>
  <si>
    <t>ORD100169</t>
  </si>
  <si>
    <t>Paper 393</t>
  </si>
  <si>
    <t>ORD100170</t>
  </si>
  <si>
    <t>Table 497</t>
  </si>
  <si>
    <t>ORD100171</t>
  </si>
  <si>
    <t>Folders 506</t>
  </si>
  <si>
    <t>ORD100172</t>
  </si>
  <si>
    <t>Printer Ink 926</t>
  </si>
  <si>
    <t>ORD100173</t>
  </si>
  <si>
    <t>Notebook 894</t>
  </si>
  <si>
    <t>ORD100174</t>
  </si>
  <si>
    <t>Notebook 801</t>
  </si>
  <si>
    <t>ORD100175</t>
  </si>
  <si>
    <t>Pens 518</t>
  </si>
  <si>
    <t>ORD100176</t>
  </si>
  <si>
    <t>Bookshelf 744</t>
  </si>
  <si>
    <t>ORD100177</t>
  </si>
  <si>
    <t>Desk 936</t>
  </si>
  <si>
    <t>ORD100178</t>
  </si>
  <si>
    <t>Headphones 791</t>
  </si>
  <si>
    <t>ORD100179</t>
  </si>
  <si>
    <t>Folders 405</t>
  </si>
  <si>
    <t>ORD100180</t>
  </si>
  <si>
    <t>Bookshelf 810</t>
  </si>
  <si>
    <t>ORD100181</t>
  </si>
  <si>
    <t>Laptop 973</t>
  </si>
  <si>
    <t>ORD100182</t>
  </si>
  <si>
    <t>Bookshelf 672</t>
  </si>
  <si>
    <t>ORD100183</t>
  </si>
  <si>
    <t>Monitor 230</t>
  </si>
  <si>
    <t>ORD100184</t>
  </si>
  <si>
    <t>Mouse 989</t>
  </si>
  <si>
    <t>ORD100185</t>
  </si>
  <si>
    <t>Keyboard 362</t>
  </si>
  <si>
    <t>ORD100186</t>
  </si>
  <si>
    <t>Keyboard 202</t>
  </si>
  <si>
    <t>ORD100187</t>
  </si>
  <si>
    <t>Monitor 444</t>
  </si>
  <si>
    <t>ORD100188</t>
  </si>
  <si>
    <t>Cabinet 740</t>
  </si>
  <si>
    <t>ORD100189</t>
  </si>
  <si>
    <t>Notebook 632</t>
  </si>
  <si>
    <t>ORD100190</t>
  </si>
  <si>
    <t>ORD100191</t>
  </si>
  <si>
    <t>Folders 590</t>
  </si>
  <si>
    <t>ORD100192</t>
  </si>
  <si>
    <t>Laptop 713</t>
  </si>
  <si>
    <t>ORD100193</t>
  </si>
  <si>
    <t>Desk 221</t>
  </si>
  <si>
    <t>ORD100194</t>
  </si>
  <si>
    <t>Table 314</t>
  </si>
  <si>
    <t>ORD100195</t>
  </si>
  <si>
    <t>Desk 686</t>
  </si>
  <si>
    <t>ORD100196</t>
  </si>
  <si>
    <t>Printer Ink 904</t>
  </si>
  <si>
    <t>ORD100197</t>
  </si>
  <si>
    <t>Paper 835</t>
  </si>
  <si>
    <t>ORD100198</t>
  </si>
  <si>
    <t>Bookshelf 150</t>
  </si>
  <si>
    <t>ORD100199</t>
  </si>
  <si>
    <t>Laptop 458</t>
  </si>
  <si>
    <t>ORD100200</t>
  </si>
  <si>
    <t>Folders 368</t>
  </si>
  <si>
    <t>ORD100201</t>
  </si>
  <si>
    <t>Desk 389</t>
  </si>
  <si>
    <t>ORD100202</t>
  </si>
  <si>
    <t>Paper 487</t>
  </si>
  <si>
    <t>ORD100203</t>
  </si>
  <si>
    <t>Desk 803</t>
  </si>
  <si>
    <t>ORD100204</t>
  </si>
  <si>
    <t>Chair 668</t>
  </si>
  <si>
    <t>ORD100205</t>
  </si>
  <si>
    <t>Mouse 624</t>
  </si>
  <si>
    <t>ORD100206</t>
  </si>
  <si>
    <t>Desk 120</t>
  </si>
  <si>
    <t>ORD100207</t>
  </si>
  <si>
    <t>Monitor 171</t>
  </si>
  <si>
    <t>ORD100208</t>
  </si>
  <si>
    <t>ORD100209</t>
  </si>
  <si>
    <t>Table 382</t>
  </si>
  <si>
    <t>ORD100210</t>
  </si>
  <si>
    <t>Notebook 303</t>
  </si>
  <si>
    <t>ORD100211</t>
  </si>
  <si>
    <t>Monitor 101</t>
  </si>
  <si>
    <t>ORD100212</t>
  </si>
  <si>
    <t>Cabinet 518</t>
  </si>
  <si>
    <t>ORD100213</t>
  </si>
  <si>
    <t>Keyboard 513</t>
  </si>
  <si>
    <t>ORD100214</t>
  </si>
  <si>
    <t>Mouse 381</t>
  </si>
  <si>
    <t>ORD100215</t>
  </si>
  <si>
    <t>Pens 366</t>
  </si>
  <si>
    <t>ORD100216</t>
  </si>
  <si>
    <t>Mouse 594</t>
  </si>
  <si>
    <t>ORD100217</t>
  </si>
  <si>
    <t>Chair 895</t>
  </si>
  <si>
    <t>ORD100218</t>
  </si>
  <si>
    <t>Headphones 437</t>
  </si>
  <si>
    <t>ORD100219</t>
  </si>
  <si>
    <t>Cabinet 179</t>
  </si>
  <si>
    <t>ORD100220</t>
  </si>
  <si>
    <t>Headphones 355</t>
  </si>
  <si>
    <t>ORD100221</t>
  </si>
  <si>
    <t>Laptop 647</t>
  </si>
  <si>
    <t>ORD100222</t>
  </si>
  <si>
    <t>Folders 609</t>
  </si>
  <si>
    <t>ORD100223</t>
  </si>
  <si>
    <t>Cabinet 982</t>
  </si>
  <si>
    <t>ORD100224</t>
  </si>
  <si>
    <t>Monitor 368</t>
  </si>
  <si>
    <t>ORD100225</t>
  </si>
  <si>
    <t>Printer Ink 274</t>
  </si>
  <si>
    <t>ORD100226</t>
  </si>
  <si>
    <t>Paper 332</t>
  </si>
  <si>
    <t>ORD100227</t>
  </si>
  <si>
    <t>Notebook 431</t>
  </si>
  <si>
    <t>ORD100228</t>
  </si>
  <si>
    <t>Printer Ink 452</t>
  </si>
  <si>
    <t>ORD100229</t>
  </si>
  <si>
    <t>Paper 371</t>
  </si>
  <si>
    <t>ORD100230</t>
  </si>
  <si>
    <t>Pens 547</t>
  </si>
  <si>
    <t>ORD100231</t>
  </si>
  <si>
    <t>Laptop 446</t>
  </si>
  <si>
    <t>ORD100232</t>
  </si>
  <si>
    <t>Folders 141</t>
  </si>
  <si>
    <t>ORD100233</t>
  </si>
  <si>
    <t>Cabinet 321</t>
  </si>
  <si>
    <t>ORD100234</t>
  </si>
  <si>
    <t>Paper 350</t>
  </si>
  <si>
    <t>ORD100235</t>
  </si>
  <si>
    <t>Printer Ink 318</t>
  </si>
  <si>
    <t>ORD100236</t>
  </si>
  <si>
    <t>Folders 640</t>
  </si>
  <si>
    <t>ORD100237</t>
  </si>
  <si>
    <t>Headphones 919</t>
  </si>
  <si>
    <t>ORD100238</t>
  </si>
  <si>
    <t>Pens 374</t>
  </si>
  <si>
    <t>ORD100239</t>
  </si>
  <si>
    <t>Laptop 165</t>
  </si>
  <si>
    <t>ORD100240</t>
  </si>
  <si>
    <t>Monitor 806</t>
  </si>
  <si>
    <t>ORD100241</t>
  </si>
  <si>
    <t>Printer Ink 466</t>
  </si>
  <si>
    <t>ORD100242</t>
  </si>
  <si>
    <t>Monitor 453</t>
  </si>
  <si>
    <t>ORD100243</t>
  </si>
  <si>
    <t>Mouse 432</t>
  </si>
  <si>
    <t>ORD100244</t>
  </si>
  <si>
    <t>Mouse 867</t>
  </si>
  <si>
    <t>ORD100245</t>
  </si>
  <si>
    <t>Desk 486</t>
  </si>
  <si>
    <t>ORD100246</t>
  </si>
  <si>
    <t>Table 193</t>
  </si>
  <si>
    <t>ORD100247</t>
  </si>
  <si>
    <t>Headphones 166</t>
  </si>
  <si>
    <t>ORD100248</t>
  </si>
  <si>
    <t>Laptop 232</t>
  </si>
  <si>
    <t>ORD100249</t>
  </si>
  <si>
    <t>Pens 383</t>
  </si>
  <si>
    <t>ORD100250</t>
  </si>
  <si>
    <t>Headphones 882</t>
  </si>
  <si>
    <t>ORD100251</t>
  </si>
  <si>
    <t>Cabinet 589</t>
  </si>
  <si>
    <t>ORD100252</t>
  </si>
  <si>
    <t>Mouse 752</t>
  </si>
  <si>
    <t>ORD100253</t>
  </si>
  <si>
    <t>Headphones 242</t>
  </si>
  <si>
    <t>ORD100254</t>
  </si>
  <si>
    <t>Headphones 817</t>
  </si>
  <si>
    <t>ORD100255</t>
  </si>
  <si>
    <t>Notebook 948</t>
  </si>
  <si>
    <t>ORD100256</t>
  </si>
  <si>
    <t>Monitor 626</t>
  </si>
  <si>
    <t>ORD100257</t>
  </si>
  <si>
    <t>Laptop 927</t>
  </si>
  <si>
    <t>ORD100258</t>
  </si>
  <si>
    <t>Desk 692</t>
  </si>
  <si>
    <t>ORD100259</t>
  </si>
  <si>
    <t>Notebook 790</t>
  </si>
  <si>
    <t>ORD100260</t>
  </si>
  <si>
    <t>Desk 574</t>
  </si>
  <si>
    <t>ORD100261</t>
  </si>
  <si>
    <t>ORD100262</t>
  </si>
  <si>
    <t>Headphones 250</t>
  </si>
  <si>
    <t>ORD100263</t>
  </si>
  <si>
    <t>Monitor 546</t>
  </si>
  <si>
    <t>ORD100264</t>
  </si>
  <si>
    <t>Monitor 552</t>
  </si>
  <si>
    <t>ORD100265</t>
  </si>
  <si>
    <t>Notebook 127</t>
  </si>
  <si>
    <t>ORD100266</t>
  </si>
  <si>
    <t>Keyboard 189</t>
  </si>
  <si>
    <t>ORD100267</t>
  </si>
  <si>
    <t>Paper 239</t>
  </si>
  <si>
    <t>ORD100268</t>
  </si>
  <si>
    <t>Pens 333</t>
  </si>
  <si>
    <t>ORD100269</t>
  </si>
  <si>
    <t>Mouse 849</t>
  </si>
  <si>
    <t>ORD100270</t>
  </si>
  <si>
    <t>Mouse 898</t>
  </si>
  <si>
    <t>ORD100271</t>
  </si>
  <si>
    <t>Bookshelf 661</t>
  </si>
  <si>
    <t>ORD100272</t>
  </si>
  <si>
    <t>Chair 411</t>
  </si>
  <si>
    <t>ORD100273</t>
  </si>
  <si>
    <t>Monitor 680</t>
  </si>
  <si>
    <t>ORD100274</t>
  </si>
  <si>
    <t>Folders 702</t>
  </si>
  <si>
    <t>ORD100275</t>
  </si>
  <si>
    <t>Mouse 977</t>
  </si>
  <si>
    <t>ORD100276</t>
  </si>
  <si>
    <t>Monitor 461</t>
  </si>
  <si>
    <t>ORD100277</t>
  </si>
  <si>
    <t>Chair 462</t>
  </si>
  <si>
    <t>ORD100278</t>
  </si>
  <si>
    <t>Cabinet 294</t>
  </si>
  <si>
    <t>ORD100279</t>
  </si>
  <si>
    <t>Printer Ink 428</t>
  </si>
  <si>
    <t>ORD100280</t>
  </si>
  <si>
    <t>ORD100281</t>
  </si>
  <si>
    <t>Laptop 612</t>
  </si>
  <si>
    <t>ORD100282</t>
  </si>
  <si>
    <t>Headphones 951</t>
  </si>
  <si>
    <t>ORD100283</t>
  </si>
  <si>
    <t>Paper 848</t>
  </si>
  <si>
    <t>ORD100284</t>
  </si>
  <si>
    <t>Chair 363</t>
  </si>
  <si>
    <t>ORD100285</t>
  </si>
  <si>
    <t>Mouse 642</t>
  </si>
  <si>
    <t>ORD100286</t>
  </si>
  <si>
    <t>Printer Ink 977</t>
  </si>
  <si>
    <t>ORD100287</t>
  </si>
  <si>
    <t>Cabinet 332</t>
  </si>
  <si>
    <t>ORD100288</t>
  </si>
  <si>
    <t>Cabinet 737</t>
  </si>
  <si>
    <t>ORD100289</t>
  </si>
  <si>
    <t>Paper 958</t>
  </si>
  <si>
    <t>ORD100290</t>
  </si>
  <si>
    <t>ORD100291</t>
  </si>
  <si>
    <t>Printer Ink 489</t>
  </si>
  <si>
    <t>ORD100292</t>
  </si>
  <si>
    <t>Mouse 239</t>
  </si>
  <si>
    <t>ORD100293</t>
  </si>
  <si>
    <t>Bookshelf 136</t>
  </si>
  <si>
    <t>ORD100294</t>
  </si>
  <si>
    <t>Pens 977</t>
  </si>
  <si>
    <t>ORD100295</t>
  </si>
  <si>
    <t>Folders 121</t>
  </si>
  <si>
    <t>ORD100296</t>
  </si>
  <si>
    <t>Keyboard 248</t>
  </si>
  <si>
    <t>ORD100297</t>
  </si>
  <si>
    <t>Laptop 524</t>
  </si>
  <si>
    <t>ORD100298</t>
  </si>
  <si>
    <t>Headphones 662</t>
  </si>
  <si>
    <t>ORD100299</t>
  </si>
  <si>
    <t>Table 259</t>
  </si>
  <si>
    <t>ORD100300</t>
  </si>
  <si>
    <t>Mouse 403</t>
  </si>
  <si>
    <t>ORD100301</t>
  </si>
  <si>
    <t>Folders 159</t>
  </si>
  <si>
    <t>ORD100302</t>
  </si>
  <si>
    <t>Printer Ink 365</t>
  </si>
  <si>
    <t>ORD100303</t>
  </si>
  <si>
    <t>Desk 698</t>
  </si>
  <si>
    <t>ORD100304</t>
  </si>
  <si>
    <t>Bookshelf 230</t>
  </si>
  <si>
    <t>ORD100305</t>
  </si>
  <si>
    <t>Headphones 173</t>
  </si>
  <si>
    <t>ORD100306</t>
  </si>
  <si>
    <t>Laptop 423</t>
  </si>
  <si>
    <t>ORD100307</t>
  </si>
  <si>
    <t>Pens 104</t>
  </si>
  <si>
    <t>ORD100308</t>
  </si>
  <si>
    <t>Mouse 658</t>
  </si>
  <si>
    <t>ORD100309</t>
  </si>
  <si>
    <t>Table 232</t>
  </si>
  <si>
    <t>ORD100310</t>
  </si>
  <si>
    <t>Pens 986</t>
  </si>
  <si>
    <t>ORD100311</t>
  </si>
  <si>
    <t>Monitor 898</t>
  </si>
  <si>
    <t>ORD100312</t>
  </si>
  <si>
    <t>Keyboard 491</t>
  </si>
  <si>
    <t>ORD100313</t>
  </si>
  <si>
    <t>Headphones 388</t>
  </si>
  <si>
    <t>ORD100314</t>
  </si>
  <si>
    <t>Desk 530</t>
  </si>
  <si>
    <t>ORD100315</t>
  </si>
  <si>
    <t>Laptop 798</t>
  </si>
  <si>
    <t>ORD100316</t>
  </si>
  <si>
    <t>Headphones 141</t>
  </si>
  <si>
    <t>ORD100317</t>
  </si>
  <si>
    <t>Headphones 672</t>
  </si>
  <si>
    <t>ORD100318</t>
  </si>
  <si>
    <t>Chair 910</t>
  </si>
  <si>
    <t>ORD100319</t>
  </si>
  <si>
    <t>Laptop 287</t>
  </si>
  <si>
    <t>ORD100320</t>
  </si>
  <si>
    <t>Cabinet 890</t>
  </si>
  <si>
    <t>ORD100321</t>
  </si>
  <si>
    <t>Bookshelf 734</t>
  </si>
  <si>
    <t>ORD100322</t>
  </si>
  <si>
    <t>Mouse 585</t>
  </si>
  <si>
    <t>ORD100323</t>
  </si>
  <si>
    <t>Headphones 779</t>
  </si>
  <si>
    <t>ORD100324</t>
  </si>
  <si>
    <t>Keyboard 241</t>
  </si>
  <si>
    <t>ORD100325</t>
  </si>
  <si>
    <t>Folders 236</t>
  </si>
  <si>
    <t>ORD100326</t>
  </si>
  <si>
    <t>Chair 877</t>
  </si>
  <si>
    <t>ORD100327</t>
  </si>
  <si>
    <t>Mouse 550</t>
  </si>
  <si>
    <t>ORD100328</t>
  </si>
  <si>
    <t>Paper 392</t>
  </si>
  <si>
    <t>ORD100329</t>
  </si>
  <si>
    <t>Printer Ink 526</t>
  </si>
  <si>
    <t>ORD100330</t>
  </si>
  <si>
    <t>Bookshelf 762</t>
  </si>
  <si>
    <t>ORD100331</t>
  </si>
  <si>
    <t>Laptop 107</t>
  </si>
  <si>
    <t>ORD100332</t>
  </si>
  <si>
    <t>Keyboard 271</t>
  </si>
  <si>
    <t>ORD100333</t>
  </si>
  <si>
    <t>Chair 897</t>
  </si>
  <si>
    <t>ORD100334</t>
  </si>
  <si>
    <t>Monitor 996</t>
  </si>
  <si>
    <t>ORD100335</t>
  </si>
  <si>
    <t>Bookshelf 681</t>
  </si>
  <si>
    <t>ORD100336</t>
  </si>
  <si>
    <t>Headphones 374</t>
  </si>
  <si>
    <t>ORD100337</t>
  </si>
  <si>
    <t>Desk 939</t>
  </si>
  <si>
    <t>ORD100338</t>
  </si>
  <si>
    <t>Folders 538</t>
  </si>
  <si>
    <t>ORD100339</t>
  </si>
  <si>
    <t>Folders 308</t>
  </si>
  <si>
    <t>ORD100340</t>
  </si>
  <si>
    <t>Paper 364</t>
  </si>
  <si>
    <t>ORD100341</t>
  </si>
  <si>
    <t>Pens 982</t>
  </si>
  <si>
    <t>ORD100342</t>
  </si>
  <si>
    <t>ORD100343</t>
  </si>
  <si>
    <t>Table 917</t>
  </si>
  <si>
    <t>ORD100344</t>
  </si>
  <si>
    <t>Bookshelf 806</t>
  </si>
  <si>
    <t>ORD100345</t>
  </si>
  <si>
    <t>Notebook 155</t>
  </si>
  <si>
    <t>ORD100346</t>
  </si>
  <si>
    <t>Cabinet 202</t>
  </si>
  <si>
    <t>ORD100347</t>
  </si>
  <si>
    <t>Keyboard 342</t>
  </si>
  <si>
    <t>ORD100348</t>
  </si>
  <si>
    <t>Paper 697</t>
  </si>
  <si>
    <t>ORD100349</t>
  </si>
  <si>
    <t>Chair 598</t>
  </si>
  <si>
    <t>ORD100350</t>
  </si>
  <si>
    <t>Chair 862</t>
  </si>
  <si>
    <t>ORD100351</t>
  </si>
  <si>
    <t>Pens 817</t>
  </si>
  <si>
    <t>ORD100352</t>
  </si>
  <si>
    <t>Chair 812</t>
  </si>
  <si>
    <t>ORD100353</t>
  </si>
  <si>
    <t>Laptop 558</t>
  </si>
  <si>
    <t>ORD100354</t>
  </si>
  <si>
    <t>Folders 767</t>
  </si>
  <si>
    <t>ORD100355</t>
  </si>
  <si>
    <t>Pens 787</t>
  </si>
  <si>
    <t>ORD100356</t>
  </si>
  <si>
    <t>ORD100357</t>
  </si>
  <si>
    <t>Headphones 163</t>
  </si>
  <si>
    <t>ORD100358</t>
  </si>
  <si>
    <t>Monitor 839</t>
  </si>
  <si>
    <t>ORD100359</t>
  </si>
  <si>
    <t>Cabinet 298</t>
  </si>
  <si>
    <t>ORD100360</t>
  </si>
  <si>
    <t>Laptop 779</t>
  </si>
  <si>
    <t>ORD100361</t>
  </si>
  <si>
    <t>Folders 608</t>
  </si>
  <si>
    <t>ORD100362</t>
  </si>
  <si>
    <t>Paper 546</t>
  </si>
  <si>
    <t>ORD100363</t>
  </si>
  <si>
    <t>Desk 838</t>
  </si>
  <si>
    <t>ORD100364</t>
  </si>
  <si>
    <t>Monitor 458</t>
  </si>
  <si>
    <t>ORD100365</t>
  </si>
  <si>
    <t>Folders 664</t>
  </si>
  <si>
    <t>ORD100366</t>
  </si>
  <si>
    <t>Table 681</t>
  </si>
  <si>
    <t>ORD100367</t>
  </si>
  <si>
    <t>Mouse 591</t>
  </si>
  <si>
    <t>ORD100368</t>
  </si>
  <si>
    <t>Pens 763</t>
  </si>
  <si>
    <t>ORD100369</t>
  </si>
  <si>
    <t>Mouse 176</t>
  </si>
  <si>
    <t>ORD100370</t>
  </si>
  <si>
    <t>Table 453</t>
  </si>
  <si>
    <t>ORD100371</t>
  </si>
  <si>
    <t>Bookshelf 742</t>
  </si>
  <si>
    <t>ORD100372</t>
  </si>
  <si>
    <t>Mouse 888</t>
  </si>
  <si>
    <t>ORD100373</t>
  </si>
  <si>
    <t>Cabinet 351</t>
  </si>
  <si>
    <t>ORD100374</t>
  </si>
  <si>
    <t>Pens 682</t>
  </si>
  <si>
    <t>ORD100375</t>
  </si>
  <si>
    <t>Pens 792</t>
  </si>
  <si>
    <t>ORD100376</t>
  </si>
  <si>
    <t>Laptop 875</t>
  </si>
  <si>
    <t>ORD100377</t>
  </si>
  <si>
    <t>Keyboard 585</t>
  </si>
  <si>
    <t>ORD100378</t>
  </si>
  <si>
    <t>Chair 299</t>
  </si>
  <si>
    <t>ORD100379</t>
  </si>
  <si>
    <t>Chair 799</t>
  </si>
  <si>
    <t>ORD100380</t>
  </si>
  <si>
    <t>Notebook 839</t>
  </si>
  <si>
    <t>ORD100381</t>
  </si>
  <si>
    <t>Cabinet 263</t>
  </si>
  <si>
    <t>ORD100382</t>
  </si>
  <si>
    <t>Mouse 460</t>
  </si>
  <si>
    <t>ORD100383</t>
  </si>
  <si>
    <t>Chair 924</t>
  </si>
  <si>
    <t>ORD100384</t>
  </si>
  <si>
    <t>Mouse 220</t>
  </si>
  <si>
    <t>ORD100385</t>
  </si>
  <si>
    <t>ORD100386</t>
  </si>
  <si>
    <t>Paper 401</t>
  </si>
  <si>
    <t>ORD100387</t>
  </si>
  <si>
    <t>Table 278</t>
  </si>
  <si>
    <t>ORD100388</t>
  </si>
  <si>
    <t>Notebook 851</t>
  </si>
  <si>
    <t>ORD100389</t>
  </si>
  <si>
    <t>Notebook 261</t>
  </si>
  <si>
    <t>ORD100390</t>
  </si>
  <si>
    <t>Pens 214</t>
  </si>
  <si>
    <t>ORD100391</t>
  </si>
  <si>
    <t>Notebook 833</t>
  </si>
  <si>
    <t>ORD100392</t>
  </si>
  <si>
    <t>Paper 141</t>
  </si>
  <si>
    <t>ORD100393</t>
  </si>
  <si>
    <t>Chair 187</t>
  </si>
  <si>
    <t>ORD100394</t>
  </si>
  <si>
    <t>Table 159</t>
  </si>
  <si>
    <t>ORD100395</t>
  </si>
  <si>
    <t>Paper 694</t>
  </si>
  <si>
    <t>ORD100396</t>
  </si>
  <si>
    <t>Monitor 359</t>
  </si>
  <si>
    <t>ORD100397</t>
  </si>
  <si>
    <t>Bookshelf 131</t>
  </si>
  <si>
    <t>ORD100398</t>
  </si>
  <si>
    <t>Notebook 939</t>
  </si>
  <si>
    <t>ORD100399</t>
  </si>
  <si>
    <t>Laptop 920</t>
  </si>
  <si>
    <t>ORD100400</t>
  </si>
  <si>
    <t>Laptop 591</t>
  </si>
  <si>
    <t>ORD100401</t>
  </si>
  <si>
    <t>Pens 176</t>
  </si>
  <si>
    <t>ORD100402</t>
  </si>
  <si>
    <t>Cabinet 971</t>
  </si>
  <si>
    <t>ORD100403</t>
  </si>
  <si>
    <t>Mouse 952</t>
  </si>
  <si>
    <t>ORD100404</t>
  </si>
  <si>
    <t>Chair 611</t>
  </si>
  <si>
    <t>ORD100405</t>
  </si>
  <si>
    <t>Folders 196</t>
  </si>
  <si>
    <t>ORD100406</t>
  </si>
  <si>
    <t>Paper 770</t>
  </si>
  <si>
    <t>ORD100407</t>
  </si>
  <si>
    <t>ORD100408</t>
  </si>
  <si>
    <t>Chair 524</t>
  </si>
  <si>
    <t>ORD100409</t>
  </si>
  <si>
    <t>Bookshelf 440</t>
  </si>
  <si>
    <t>ORD100410</t>
  </si>
  <si>
    <t>Cabinet 296</t>
  </si>
  <si>
    <t>ORD100411</t>
  </si>
  <si>
    <t>Keyboard 886</t>
  </si>
  <si>
    <t>ORD100412</t>
  </si>
  <si>
    <t>Bookshelf 573</t>
  </si>
  <si>
    <t>ORD100413</t>
  </si>
  <si>
    <t>Keyboard 920</t>
  </si>
  <si>
    <t>ORD100414</t>
  </si>
  <si>
    <t>Mouse 386</t>
  </si>
  <si>
    <t>ORD100415</t>
  </si>
  <si>
    <t>Mouse 538</t>
  </si>
  <si>
    <t>ORD100416</t>
  </si>
  <si>
    <t>Table 523</t>
  </si>
  <si>
    <t>ORD100417</t>
  </si>
  <si>
    <t>Printer Ink 587</t>
  </si>
  <si>
    <t>ORD100418</t>
  </si>
  <si>
    <t>Desk 802</t>
  </si>
  <si>
    <t>ORD100419</t>
  </si>
  <si>
    <t>Mouse 236</t>
  </si>
  <si>
    <t>ORD100420</t>
  </si>
  <si>
    <t>Notebook 852</t>
  </si>
  <si>
    <t>ORD100421</t>
  </si>
  <si>
    <t>Keyboard 658</t>
  </si>
  <si>
    <t>ORD100422</t>
  </si>
  <si>
    <t>Chair 224</t>
  </si>
  <si>
    <t>ORD100423</t>
  </si>
  <si>
    <t>Paper 726</t>
  </si>
  <si>
    <t>ORD100424</t>
  </si>
  <si>
    <t>Mouse 264</t>
  </si>
  <si>
    <t>ORD100425</t>
  </si>
  <si>
    <t>Mouse 999</t>
  </si>
  <si>
    <t>ORD100426</t>
  </si>
  <si>
    <t>Mouse 839</t>
  </si>
  <si>
    <t>ORD100427</t>
  </si>
  <si>
    <t>Table 224</t>
  </si>
  <si>
    <t>ORD100428</t>
  </si>
  <si>
    <t>Folders 824</t>
  </si>
  <si>
    <t>ORD100429</t>
  </si>
  <si>
    <t>Headphones 459</t>
  </si>
  <si>
    <t>ORD100430</t>
  </si>
  <si>
    <t>Desk 426</t>
  </si>
  <si>
    <t>ORD100431</t>
  </si>
  <si>
    <t>Keyboard 204</t>
  </si>
  <si>
    <t>ORD100432</t>
  </si>
  <si>
    <t>Keyboard 890</t>
  </si>
  <si>
    <t>ORD100433</t>
  </si>
  <si>
    <t>Keyboard 873</t>
  </si>
  <si>
    <t>ORD100434</t>
  </si>
  <si>
    <t>Paper 677</t>
  </si>
  <si>
    <t>ORD100435</t>
  </si>
  <si>
    <t>Paper 842</t>
  </si>
  <si>
    <t>ORD100436</t>
  </si>
  <si>
    <t>Bookshelf 332</t>
  </si>
  <si>
    <t>ORD100437</t>
  </si>
  <si>
    <t>Chair 690</t>
  </si>
  <si>
    <t>ORD100438</t>
  </si>
  <si>
    <t>Headphones 816</t>
  </si>
  <si>
    <t>ORD100439</t>
  </si>
  <si>
    <t>Keyboard 550</t>
  </si>
  <si>
    <t>ORD100440</t>
  </si>
  <si>
    <t>Chair 702</t>
  </si>
  <si>
    <t>ORD100441</t>
  </si>
  <si>
    <t>Bookshelf 580</t>
  </si>
  <si>
    <t>ORD100442</t>
  </si>
  <si>
    <t>Pens 604</t>
  </si>
  <si>
    <t>ORD100443</t>
  </si>
  <si>
    <t>Desk 575</t>
  </si>
  <si>
    <t>ORD100444</t>
  </si>
  <si>
    <t>Cabinet 662</t>
  </si>
  <si>
    <t>ORD100445</t>
  </si>
  <si>
    <t>Chair 662</t>
  </si>
  <si>
    <t>ORD100446</t>
  </si>
  <si>
    <t>ORD100447</t>
  </si>
  <si>
    <t>Bookshelf 438</t>
  </si>
  <si>
    <t>ORD100448</t>
  </si>
  <si>
    <t>Laptop 110</t>
  </si>
  <si>
    <t>ORD100449</t>
  </si>
  <si>
    <t>Folders 811</t>
  </si>
  <si>
    <t>ORD100450</t>
  </si>
  <si>
    <t>Desk 102</t>
  </si>
  <si>
    <t>ORD100451</t>
  </si>
  <si>
    <t>Desk 691</t>
  </si>
  <si>
    <t>ORD100452</t>
  </si>
  <si>
    <t>Laptop 657</t>
  </si>
  <si>
    <t>ORD100453</t>
  </si>
  <si>
    <t>Pens 484</t>
  </si>
  <si>
    <t>ORD100454</t>
  </si>
  <si>
    <t>Mouse 383</t>
  </si>
  <si>
    <t>ORD100455</t>
  </si>
  <si>
    <t>Mouse 828</t>
  </si>
  <si>
    <t>ORD100456</t>
  </si>
  <si>
    <t>Headphones 294</t>
  </si>
  <si>
    <t>ORD100457</t>
  </si>
  <si>
    <t>Pens 332</t>
  </si>
  <si>
    <t>ORD100458</t>
  </si>
  <si>
    <t>Desk 954</t>
  </si>
  <si>
    <t>ORD100459</t>
  </si>
  <si>
    <t>Keyboard 987</t>
  </si>
  <si>
    <t>ORD100460</t>
  </si>
  <si>
    <t>Notebook 397</t>
  </si>
  <si>
    <t>ORD100461</t>
  </si>
  <si>
    <t>Headphones 208</t>
  </si>
  <si>
    <t>ORD100462</t>
  </si>
  <si>
    <t>Chair 580</t>
  </si>
  <si>
    <t>ORD100463</t>
  </si>
  <si>
    <t>Table 502</t>
  </si>
  <si>
    <t>ORD100464</t>
  </si>
  <si>
    <t>Folders 567</t>
  </si>
  <si>
    <t>ORD100465</t>
  </si>
  <si>
    <t>Laptop 970</t>
  </si>
  <si>
    <t>ORD100466</t>
  </si>
  <si>
    <t>Printer Ink 800</t>
  </si>
  <si>
    <t>ORD100467</t>
  </si>
  <si>
    <t>Printer Ink 773</t>
  </si>
  <si>
    <t>ORD100468</t>
  </si>
  <si>
    <t>Folders 853</t>
  </si>
  <si>
    <t>ORD100469</t>
  </si>
  <si>
    <t>Chair 685</t>
  </si>
  <si>
    <t>ORD100470</t>
  </si>
  <si>
    <t>Folders 572</t>
  </si>
  <si>
    <t>ORD100471</t>
  </si>
  <si>
    <t>Keyboard 997</t>
  </si>
  <si>
    <t>ORD100472</t>
  </si>
  <si>
    <t>Folders 975</t>
  </si>
  <si>
    <t>ORD100473</t>
  </si>
  <si>
    <t>Desk 265</t>
  </si>
  <si>
    <t>ORD100474</t>
  </si>
  <si>
    <t>Bookshelf 300</t>
  </si>
  <si>
    <t>ORD100475</t>
  </si>
  <si>
    <t>Table 793</t>
  </si>
  <si>
    <t>ORD100476</t>
  </si>
  <si>
    <t>Printer Ink 966</t>
  </si>
  <si>
    <t>ORD100477</t>
  </si>
  <si>
    <t>Table 397</t>
  </si>
  <si>
    <t>ORD100478</t>
  </si>
  <si>
    <t>Keyboard 736</t>
  </si>
  <si>
    <t>ORD100479</t>
  </si>
  <si>
    <t>Bookshelf 671</t>
  </si>
  <si>
    <t>ORD100480</t>
  </si>
  <si>
    <t>Monitor 342</t>
  </si>
  <si>
    <t>ORD100481</t>
  </si>
  <si>
    <t>Printer Ink 722</t>
  </si>
  <si>
    <t>ORD100482</t>
  </si>
  <si>
    <t>Cabinet 453</t>
  </si>
  <si>
    <t>ORD100483</t>
  </si>
  <si>
    <t>Printer Ink 989</t>
  </si>
  <si>
    <t>ORD100484</t>
  </si>
  <si>
    <t>Keyboard 208</t>
  </si>
  <si>
    <t>ORD100485</t>
  </si>
  <si>
    <t>ORD100486</t>
  </si>
  <si>
    <t>Monitor 153</t>
  </si>
  <si>
    <t>ORD100487</t>
  </si>
  <si>
    <t>Keyboard 364</t>
  </si>
  <si>
    <t>ORD100488</t>
  </si>
  <si>
    <t>Keyboard 522</t>
  </si>
  <si>
    <t>ORD100489</t>
  </si>
  <si>
    <t>Laptop 329</t>
  </si>
  <si>
    <t>ORD100490</t>
  </si>
  <si>
    <t>Paper 750</t>
  </si>
  <si>
    <t>ORD100491</t>
  </si>
  <si>
    <t>Paper 646</t>
  </si>
  <si>
    <t>ORD100492</t>
  </si>
  <si>
    <t>Desk 452</t>
  </si>
  <si>
    <t>ORD100493</t>
  </si>
  <si>
    <t>Cabinet 252</t>
  </si>
  <si>
    <t>ORD100494</t>
  </si>
  <si>
    <t>Pens 524</t>
  </si>
  <si>
    <t>ORD100495</t>
  </si>
  <si>
    <t>Cabinet 844</t>
  </si>
  <si>
    <t>ORD100496</t>
  </si>
  <si>
    <t>Folders 260</t>
  </si>
  <si>
    <t>ORD100497</t>
  </si>
  <si>
    <t>Table 974</t>
  </si>
  <si>
    <t>ORD100498</t>
  </si>
  <si>
    <t>Keyboard 481</t>
  </si>
  <si>
    <t>ORD100499</t>
  </si>
  <si>
    <t>Folders 365</t>
  </si>
  <si>
    <t>ORD100500</t>
  </si>
  <si>
    <t>Monitor 883</t>
  </si>
  <si>
    <t>ORD100501</t>
  </si>
  <si>
    <t>Printer Ink 651</t>
  </si>
  <si>
    <t>ORD100502</t>
  </si>
  <si>
    <t>Bookshelf 743</t>
  </si>
  <si>
    <t>ORD100503</t>
  </si>
  <si>
    <t>Mouse 399</t>
  </si>
  <si>
    <t>ORD100504</t>
  </si>
  <si>
    <t>Cabinet 770</t>
  </si>
  <si>
    <t>ORD100505</t>
  </si>
  <si>
    <t>Folders 327</t>
  </si>
  <si>
    <t>ORD100506</t>
  </si>
  <si>
    <t>Printer Ink 329</t>
  </si>
  <si>
    <t>ORD100507</t>
  </si>
  <si>
    <t>Folders 468</t>
  </si>
  <si>
    <t>ORD100508</t>
  </si>
  <si>
    <t>Folders 535</t>
  </si>
  <si>
    <t>ORD100509</t>
  </si>
  <si>
    <t>Cabinet 638</t>
  </si>
  <si>
    <t>ORD100510</t>
  </si>
  <si>
    <t>Laptop 170</t>
  </si>
  <si>
    <t>ORD100511</t>
  </si>
  <si>
    <t>Monitor 249</t>
  </si>
  <si>
    <t>ORD100512</t>
  </si>
  <si>
    <t>Keyboard 600</t>
  </si>
  <si>
    <t>ORD100513</t>
  </si>
  <si>
    <t>Monitor 861</t>
  </si>
  <si>
    <t>ORD100514</t>
  </si>
  <si>
    <t>ORD100515</t>
  </si>
  <si>
    <t>Desk 514</t>
  </si>
  <si>
    <t>ORD100516</t>
  </si>
  <si>
    <t>Laptop 251</t>
  </si>
  <si>
    <t>ORD100517</t>
  </si>
  <si>
    <t>Headphones 603</t>
  </si>
  <si>
    <t>ORD100518</t>
  </si>
  <si>
    <t>Table 712</t>
  </si>
  <si>
    <t>ORD100519</t>
  </si>
  <si>
    <t>Paper 930</t>
  </si>
  <si>
    <t>ORD100520</t>
  </si>
  <si>
    <t>Table 356</t>
  </si>
  <si>
    <t>ORD100521</t>
  </si>
  <si>
    <t>Laptop 801</t>
  </si>
  <si>
    <t>ORD100522</t>
  </si>
  <si>
    <t>Pens 776</t>
  </si>
  <si>
    <t>ORD100523</t>
  </si>
  <si>
    <t>Folders 641</t>
  </si>
  <si>
    <t>ORD100524</t>
  </si>
  <si>
    <t>Paper 583</t>
  </si>
  <si>
    <t>ORD100525</t>
  </si>
  <si>
    <t>Laptop 606</t>
  </si>
  <si>
    <t>ORD100526</t>
  </si>
  <si>
    <t>Table 459</t>
  </si>
  <si>
    <t>ORD100527</t>
  </si>
  <si>
    <t>Table 576</t>
  </si>
  <si>
    <t>ORD100528</t>
  </si>
  <si>
    <t>Pens 400</t>
  </si>
  <si>
    <t>ORD100529</t>
  </si>
  <si>
    <t>Printer Ink 398</t>
  </si>
  <si>
    <t>ORD100530</t>
  </si>
  <si>
    <t>Monitor 238</t>
  </si>
  <si>
    <t>ORD100531</t>
  </si>
  <si>
    <t>Pens 571</t>
  </si>
  <si>
    <t>ORD100532</t>
  </si>
  <si>
    <t>Laptop 200</t>
  </si>
  <si>
    <t>ORD100533</t>
  </si>
  <si>
    <t>Mouse 822</t>
  </si>
  <si>
    <t>ORD100534</t>
  </si>
  <si>
    <t>Table 959</t>
  </si>
  <si>
    <t>ORD100535</t>
  </si>
  <si>
    <t>Notebook 819</t>
  </si>
  <si>
    <t>ORD100536</t>
  </si>
  <si>
    <t>Table 487</t>
  </si>
  <si>
    <t>ORD100537</t>
  </si>
  <si>
    <t>Folders 223</t>
  </si>
  <si>
    <t>ORD100538</t>
  </si>
  <si>
    <t>Keyboard 372</t>
  </si>
  <si>
    <t>ORD100539</t>
  </si>
  <si>
    <t>Notebook 861</t>
  </si>
  <si>
    <t>ORD100540</t>
  </si>
  <si>
    <t>Laptop 699</t>
  </si>
  <si>
    <t>ORD100541</t>
  </si>
  <si>
    <t>Printer Ink 805</t>
  </si>
  <si>
    <t>ORD100542</t>
  </si>
  <si>
    <t>Headphones 171</t>
  </si>
  <si>
    <t>ORD100543</t>
  </si>
  <si>
    <t>Bookshelf 975</t>
  </si>
  <si>
    <t>ORD100544</t>
  </si>
  <si>
    <t>Chair 437</t>
  </si>
  <si>
    <t>ORD100545</t>
  </si>
  <si>
    <t>Monitor 924</t>
  </si>
  <si>
    <t>ORD100546</t>
  </si>
  <si>
    <t>Pens 200</t>
  </si>
  <si>
    <t>ORD100547</t>
  </si>
  <si>
    <t>Pens 594</t>
  </si>
  <si>
    <t>ORD100548</t>
  </si>
  <si>
    <t>Chair 163</t>
  </si>
  <si>
    <t>ORD100549</t>
  </si>
  <si>
    <t>Mouse 857</t>
  </si>
  <si>
    <t>ORD100550</t>
  </si>
  <si>
    <t>Paper 637</t>
  </si>
  <si>
    <t>ORD100551</t>
  </si>
  <si>
    <t>Pens 361</t>
  </si>
  <si>
    <t>ORD100552</t>
  </si>
  <si>
    <t>Desk 972</t>
  </si>
  <si>
    <t>ORD100553</t>
  </si>
  <si>
    <t>Chair 964</t>
  </si>
  <si>
    <t>ORD100554</t>
  </si>
  <si>
    <t>Paper 448</t>
  </si>
  <si>
    <t>ORD100555</t>
  </si>
  <si>
    <t>Desk 775</t>
  </si>
  <si>
    <t>ORD100556</t>
  </si>
  <si>
    <t>Bookshelf 170</t>
  </si>
  <si>
    <t>ORD100557</t>
  </si>
  <si>
    <t>Monitor 945</t>
  </si>
  <si>
    <t>ORD100558</t>
  </si>
  <si>
    <t>Cabinet 908</t>
  </si>
  <si>
    <t>ORD100559</t>
  </si>
  <si>
    <t>Notebook 297</t>
  </si>
  <si>
    <t>ORD100560</t>
  </si>
  <si>
    <t>Printer Ink 412</t>
  </si>
  <si>
    <t>ORD100561</t>
  </si>
  <si>
    <t>Bookshelf 371</t>
  </si>
  <si>
    <t>ORD100562</t>
  </si>
  <si>
    <t>Notebook 689</t>
  </si>
  <si>
    <t>ORD100563</t>
  </si>
  <si>
    <t>Keyboard 165</t>
  </si>
  <si>
    <t>ORD100564</t>
  </si>
  <si>
    <t>Table 392</t>
  </si>
  <si>
    <t>ORD100565</t>
  </si>
  <si>
    <t>Pens 541</t>
  </si>
  <si>
    <t>ORD100566</t>
  </si>
  <si>
    <t>Table 543</t>
  </si>
  <si>
    <t>ORD100567</t>
  </si>
  <si>
    <t>Laptop 486</t>
  </si>
  <si>
    <t>ORD100568</t>
  </si>
  <si>
    <t>Mouse 167</t>
  </si>
  <si>
    <t>ORD100569</t>
  </si>
  <si>
    <t>Laptop 638</t>
  </si>
  <si>
    <t>ORD100570</t>
  </si>
  <si>
    <t>Bookshelf 876</t>
  </si>
  <si>
    <t>ORD100571</t>
  </si>
  <si>
    <t>Headphones 990</t>
  </si>
  <si>
    <t>ORD100572</t>
  </si>
  <si>
    <t>Cabinet 503</t>
  </si>
  <si>
    <t>ORD100573</t>
  </si>
  <si>
    <t>Bookshelf 281</t>
  </si>
  <si>
    <t>ORD100574</t>
  </si>
  <si>
    <t>Printer Ink 224</t>
  </si>
  <si>
    <t>ORD100575</t>
  </si>
  <si>
    <t>ORD100576</t>
  </si>
  <si>
    <t>Chair 275</t>
  </si>
  <si>
    <t>ORD100577</t>
  </si>
  <si>
    <t>Pens 974</t>
  </si>
  <si>
    <t>ORD100578</t>
  </si>
  <si>
    <t>Monitor 864</t>
  </si>
  <si>
    <t>ORD100579</t>
  </si>
  <si>
    <t>Pens 906</t>
  </si>
  <si>
    <t>ORD100580</t>
  </si>
  <si>
    <t>Laptop 471</t>
  </si>
  <si>
    <t>ORD100581</t>
  </si>
  <si>
    <t>Laptop 691</t>
  </si>
  <si>
    <t>ORD100582</t>
  </si>
  <si>
    <t>Bookshelf 186</t>
  </si>
  <si>
    <t>ORD100583</t>
  </si>
  <si>
    <t>Cabinet 272</t>
  </si>
  <si>
    <t>ORD100584</t>
  </si>
  <si>
    <t>Paper 514</t>
  </si>
  <si>
    <t>ORD100585</t>
  </si>
  <si>
    <t>Chair 300</t>
  </si>
  <si>
    <t>ORD100586</t>
  </si>
  <si>
    <t>Cabinet 914</t>
  </si>
  <si>
    <t>ORD100587</t>
  </si>
  <si>
    <t>Printer Ink 819</t>
  </si>
  <si>
    <t>ORD100588</t>
  </si>
  <si>
    <t>Keyboard 876</t>
  </si>
  <si>
    <t>ORD100589</t>
  </si>
  <si>
    <t>Chair 731</t>
  </si>
  <si>
    <t>ORD100590</t>
  </si>
  <si>
    <t>Monitor 305</t>
  </si>
  <si>
    <t>ORD100591</t>
  </si>
  <si>
    <t>Keyboard 719</t>
  </si>
  <si>
    <t>ORD100592</t>
  </si>
  <si>
    <t>Mouse 605</t>
  </si>
  <si>
    <t>ORD100593</t>
  </si>
  <si>
    <t>Mouse 792</t>
  </si>
  <si>
    <t>ORD100594</t>
  </si>
  <si>
    <t>Paper 940</t>
  </si>
  <si>
    <t>ORD100595</t>
  </si>
  <si>
    <t>Notebook 655</t>
  </si>
  <si>
    <t>ORD100596</t>
  </si>
  <si>
    <t>Bookshelf 241</t>
  </si>
  <si>
    <t>ORD100597</t>
  </si>
  <si>
    <t>Desk 101</t>
  </si>
  <si>
    <t>ORD100598</t>
  </si>
  <si>
    <t>Keyboard 806</t>
  </si>
  <si>
    <t>ORD100599</t>
  </si>
  <si>
    <t>Monitor 793</t>
  </si>
  <si>
    <t>ORD100600</t>
  </si>
  <si>
    <t>Table 432</t>
  </si>
  <si>
    <t>ORD100601</t>
  </si>
  <si>
    <t>Folders 684</t>
  </si>
  <si>
    <t>ORD100602</t>
  </si>
  <si>
    <t>Printer Ink 284</t>
  </si>
  <si>
    <t>ORD100603</t>
  </si>
  <si>
    <t>Headphones 875</t>
  </si>
  <si>
    <t>ORD100604</t>
  </si>
  <si>
    <t>Cabinet 864</t>
  </si>
  <si>
    <t>ORD100605</t>
  </si>
  <si>
    <t>Cabinet 846</t>
  </si>
  <si>
    <t>ORD100606</t>
  </si>
  <si>
    <t>Mouse 231</t>
  </si>
  <si>
    <t>ORD100607</t>
  </si>
  <si>
    <t>Bookshelf 733</t>
  </si>
  <si>
    <t>ORD100608</t>
  </si>
  <si>
    <t>Cabinet 540</t>
  </si>
  <si>
    <t>ORD100609</t>
  </si>
  <si>
    <t>Cabinet 309</t>
  </si>
  <si>
    <t>ORD100610</t>
  </si>
  <si>
    <t>Paper 530</t>
  </si>
  <si>
    <t>ORD100611</t>
  </si>
  <si>
    <t>Table 106</t>
  </si>
  <si>
    <t>ORD100612</t>
  </si>
  <si>
    <t>ORD100613</t>
  </si>
  <si>
    <t>Chair 688</t>
  </si>
  <si>
    <t>ORD100614</t>
  </si>
  <si>
    <t>Printer Ink 375</t>
  </si>
  <si>
    <t>ORD100615</t>
  </si>
  <si>
    <t>Folders 240</t>
  </si>
  <si>
    <t>ORD100616</t>
  </si>
  <si>
    <t>Printer Ink 635</t>
  </si>
  <si>
    <t>ORD100617</t>
  </si>
  <si>
    <t>Bookshelf 243</t>
  </si>
  <si>
    <t>ORD100618</t>
  </si>
  <si>
    <t>Headphones 566</t>
  </si>
  <si>
    <t>ORD100619</t>
  </si>
  <si>
    <t>Paper 690</t>
  </si>
  <si>
    <t>ORD100620</t>
  </si>
  <si>
    <t>Laptop 762</t>
  </si>
  <si>
    <t>ORD100621</t>
  </si>
  <si>
    <t>Pens 498</t>
  </si>
  <si>
    <t>ORD100622</t>
  </si>
  <si>
    <t>Cabinet 140</t>
  </si>
  <si>
    <t>ORD100623</t>
  </si>
  <si>
    <t>Monitor 541</t>
  </si>
  <si>
    <t>ORD100624</t>
  </si>
  <si>
    <t>Paper 577</t>
  </si>
  <si>
    <t>ORD100625</t>
  </si>
  <si>
    <t>Cabinet 264</t>
  </si>
  <si>
    <t>ORD100626</t>
  </si>
  <si>
    <t>Bookshelf 483</t>
  </si>
  <si>
    <t>ORD100627</t>
  </si>
  <si>
    <t>Mouse 577</t>
  </si>
  <si>
    <t>ORD100628</t>
  </si>
  <si>
    <t>Notebook 871</t>
  </si>
  <si>
    <t>ORD100629</t>
  </si>
  <si>
    <t>Table 500</t>
  </si>
  <si>
    <t>ORD100630</t>
  </si>
  <si>
    <t>Keyboard 801</t>
  </si>
  <si>
    <t>ORD100631</t>
  </si>
  <si>
    <t>Monitor 697</t>
  </si>
  <si>
    <t>ORD100632</t>
  </si>
  <si>
    <t>Paper 792</t>
  </si>
  <si>
    <t>ORD100633</t>
  </si>
  <si>
    <t>Chair 518</t>
  </si>
  <si>
    <t>ORD100634</t>
  </si>
  <si>
    <t>Pens 888</t>
  </si>
  <si>
    <t>ORD100635</t>
  </si>
  <si>
    <t>Bookshelf 591</t>
  </si>
  <si>
    <t>ORD100636</t>
  </si>
  <si>
    <t>Mouse 711</t>
  </si>
  <si>
    <t>ORD100637</t>
  </si>
  <si>
    <t>Cabinet 300</t>
  </si>
  <si>
    <t>ORD100638</t>
  </si>
  <si>
    <t>Folders 661</t>
  </si>
  <si>
    <t>ORD100639</t>
  </si>
  <si>
    <t>Paper 243</t>
  </si>
  <si>
    <t>ORD100640</t>
  </si>
  <si>
    <t>Table 616</t>
  </si>
  <si>
    <t>ORD100641</t>
  </si>
  <si>
    <t>Notebook 664</t>
  </si>
  <si>
    <t>ORD100642</t>
  </si>
  <si>
    <t>Mouse 280</t>
  </si>
  <si>
    <t>ORD100643</t>
  </si>
  <si>
    <t>Chair 703</t>
  </si>
  <si>
    <t>ORD100644</t>
  </si>
  <si>
    <t>Headphones 725</t>
  </si>
  <si>
    <t>ORD100645</t>
  </si>
  <si>
    <t>Monitor 291</t>
  </si>
  <si>
    <t>ORD100646</t>
  </si>
  <si>
    <t>Desk 740</t>
  </si>
  <si>
    <t>ORD100647</t>
  </si>
  <si>
    <t>Printer Ink 417</t>
  </si>
  <si>
    <t>ORD100648</t>
  </si>
  <si>
    <t>Chair 590</t>
  </si>
  <si>
    <t>ORD100649</t>
  </si>
  <si>
    <t>Folders 384</t>
  </si>
  <si>
    <t>ORD100650</t>
  </si>
  <si>
    <t>Folders 441</t>
  </si>
  <si>
    <t>ORD100651</t>
  </si>
  <si>
    <t>Desk 920</t>
  </si>
  <si>
    <t>ORD100652</t>
  </si>
  <si>
    <t>Bookshelf 627</t>
  </si>
  <si>
    <t>ORD100653</t>
  </si>
  <si>
    <t>Desk 635</t>
  </si>
  <si>
    <t>ORD100654</t>
  </si>
  <si>
    <t>Desk 564</t>
  </si>
  <si>
    <t>ORD100655</t>
  </si>
  <si>
    <t>Mouse 569</t>
  </si>
  <si>
    <t>ORD100656</t>
  </si>
  <si>
    <t>Paper 751</t>
  </si>
  <si>
    <t>ORD100657</t>
  </si>
  <si>
    <t>Cabinet 621</t>
  </si>
  <si>
    <t>ORD100658</t>
  </si>
  <si>
    <t>Mouse 319</t>
  </si>
  <si>
    <t>ORD100659</t>
  </si>
  <si>
    <t>Keyboard 626</t>
  </si>
  <si>
    <t>ORD100660</t>
  </si>
  <si>
    <t>Table 125</t>
  </si>
  <si>
    <t>ORD100661</t>
  </si>
  <si>
    <t>Printer Ink 243</t>
  </si>
  <si>
    <t>ORD100662</t>
  </si>
  <si>
    <t>Keyboard 570</t>
  </si>
  <si>
    <t>ORD100663</t>
  </si>
  <si>
    <t>Cabinet 643</t>
  </si>
  <si>
    <t>ORD100664</t>
  </si>
  <si>
    <t>Desk 861</t>
  </si>
  <si>
    <t>ORD100665</t>
  </si>
  <si>
    <t>Folders 173</t>
  </si>
  <si>
    <t>ORD100666</t>
  </si>
  <si>
    <t>Folders 759</t>
  </si>
  <si>
    <t>ORD100667</t>
  </si>
  <si>
    <t>Mouse 788</t>
  </si>
  <si>
    <t>ORD100668</t>
  </si>
  <si>
    <t>Chair 737</t>
  </si>
  <si>
    <t>ORD100669</t>
  </si>
  <si>
    <t>Mouse 626</t>
  </si>
  <si>
    <t>ORD100670</t>
  </si>
  <si>
    <t>Paper 280</t>
  </si>
  <si>
    <t>ORD100671</t>
  </si>
  <si>
    <t>Table 139</t>
  </si>
  <si>
    <t>ORD100672</t>
  </si>
  <si>
    <t>Chair 844</t>
  </si>
  <si>
    <t>ORD100673</t>
  </si>
  <si>
    <t>Bookshelf 468</t>
  </si>
  <si>
    <t>ORD100674</t>
  </si>
  <si>
    <t>Cabinet 558</t>
  </si>
  <si>
    <t>ORD100675</t>
  </si>
  <si>
    <t>Headphones 774</t>
  </si>
  <si>
    <t>ORD100676</t>
  </si>
  <si>
    <t>Printer Ink 775</t>
  </si>
  <si>
    <t>ORD100677</t>
  </si>
  <si>
    <t>ORD100678</t>
  </si>
  <si>
    <t>Pens 321</t>
  </si>
  <si>
    <t>ORD100679</t>
  </si>
  <si>
    <t>Chair 153</t>
  </si>
  <si>
    <t>ORD100680</t>
  </si>
  <si>
    <t>ORD100681</t>
  </si>
  <si>
    <t>Folders 191</t>
  </si>
  <si>
    <t>ORD100682</t>
  </si>
  <si>
    <t>ORD100683</t>
  </si>
  <si>
    <t>Table 918</t>
  </si>
  <si>
    <t>ORD100684</t>
  </si>
  <si>
    <t>Laptop 456</t>
  </si>
  <si>
    <t>ORD100685</t>
  </si>
  <si>
    <t>Pens 380</t>
  </si>
  <si>
    <t>ORD100686</t>
  </si>
  <si>
    <t>Table 258</t>
  </si>
  <si>
    <t>ORD100687</t>
  </si>
  <si>
    <t>Bookshelf 903</t>
  </si>
  <si>
    <t>ORD100688</t>
  </si>
  <si>
    <t>Printer Ink 577</t>
  </si>
  <si>
    <t>ORD100689</t>
  </si>
  <si>
    <t>Notebook 789</t>
  </si>
  <si>
    <t>ORD100690</t>
  </si>
  <si>
    <t>ORD100691</t>
  </si>
  <si>
    <t>Desk 561</t>
  </si>
  <si>
    <t>ORD100692</t>
  </si>
  <si>
    <t>ORD100693</t>
  </si>
  <si>
    <t>Cabinet 306</t>
  </si>
  <si>
    <t>ORD100694</t>
  </si>
  <si>
    <t>Laptop 196</t>
  </si>
  <si>
    <t>ORD100695</t>
  </si>
  <si>
    <t>Desk 697</t>
  </si>
  <si>
    <t>ORD100696</t>
  </si>
  <si>
    <t>Notebook 754</t>
  </si>
  <si>
    <t>ORD100697</t>
  </si>
  <si>
    <t>Laptop 826</t>
  </si>
  <si>
    <t>ORD100698</t>
  </si>
  <si>
    <t>Chair 249</t>
  </si>
  <si>
    <t>ORD100699</t>
  </si>
  <si>
    <t>Monitor 255</t>
  </si>
  <si>
    <t>ORD100700</t>
  </si>
  <si>
    <t>Laptop 123</t>
  </si>
  <si>
    <t>ORD100701</t>
  </si>
  <si>
    <t>Monitor 704</t>
  </si>
  <si>
    <t>ORD100702</t>
  </si>
  <si>
    <t>Monitor 126</t>
  </si>
  <si>
    <t>ORD100703</t>
  </si>
  <si>
    <t>Table 996</t>
  </si>
  <si>
    <t>ORD100704</t>
  </si>
  <si>
    <t>Headphones 373</t>
  </si>
  <si>
    <t>ORD100705</t>
  </si>
  <si>
    <t>Headphones 782</t>
  </si>
  <si>
    <t>ORD100706</t>
  </si>
  <si>
    <t>Table 409</t>
  </si>
  <si>
    <t>ORD100707</t>
  </si>
  <si>
    <t>Headphones 214</t>
  </si>
  <si>
    <t>ORD100708</t>
  </si>
  <si>
    <t>Paper 654</t>
  </si>
  <si>
    <t>ORD100709</t>
  </si>
  <si>
    <t>Mouse 993</t>
  </si>
  <si>
    <t>ORD100710</t>
  </si>
  <si>
    <t>Monitor 647</t>
  </si>
  <si>
    <t>ORD100711</t>
  </si>
  <si>
    <t>Chair 738</t>
  </si>
  <si>
    <t>ORD100712</t>
  </si>
  <si>
    <t>Mouse 747</t>
  </si>
  <si>
    <t>ORD100713</t>
  </si>
  <si>
    <t>Notebook 564</t>
  </si>
  <si>
    <t>ORD100714</t>
  </si>
  <si>
    <t>Desk 417</t>
  </si>
  <si>
    <t>ORD100715</t>
  </si>
  <si>
    <t>Monitor 937</t>
  </si>
  <si>
    <t>ORD100716</t>
  </si>
  <si>
    <t>Headphones 747</t>
  </si>
  <si>
    <t>ORD100717</t>
  </si>
  <si>
    <t>Printer Ink 836</t>
  </si>
  <si>
    <t>ORD100718</t>
  </si>
  <si>
    <t>Paper 906</t>
  </si>
  <si>
    <t>ORD100719</t>
  </si>
  <si>
    <t>Keyboard 370</t>
  </si>
  <si>
    <t>ORD100720</t>
  </si>
  <si>
    <t>Laptop 561</t>
  </si>
  <si>
    <t>ORD100721</t>
  </si>
  <si>
    <t>Cabinet 667</t>
  </si>
  <si>
    <t>ORD100722</t>
  </si>
  <si>
    <t>Printer Ink 592</t>
  </si>
  <si>
    <t>ORD100723</t>
  </si>
  <si>
    <t>ORD100724</t>
  </si>
  <si>
    <t>Laptop 511</t>
  </si>
  <si>
    <t>ORD100725</t>
  </si>
  <si>
    <t>Folders 793</t>
  </si>
  <si>
    <t>ORD100726</t>
  </si>
  <si>
    <t>Table 853</t>
  </si>
  <si>
    <t>ORD100727</t>
  </si>
  <si>
    <t>Mouse 798</t>
  </si>
  <si>
    <t>ORD100728</t>
  </si>
  <si>
    <t>Paper 189</t>
  </si>
  <si>
    <t>ORD100729</t>
  </si>
  <si>
    <t>Cabinet 554</t>
  </si>
  <si>
    <t>ORD100730</t>
  </si>
  <si>
    <t>ORD100731</t>
  </si>
  <si>
    <t>ORD100732</t>
  </si>
  <si>
    <t>Laptop 652</t>
  </si>
  <si>
    <t>ORD100733</t>
  </si>
  <si>
    <t>Pens 959</t>
  </si>
  <si>
    <t>ORD100734</t>
  </si>
  <si>
    <t>Headphones 975</t>
  </si>
  <si>
    <t>ORD100735</t>
  </si>
  <si>
    <t>Notebook 158</t>
  </si>
  <si>
    <t>ORD100736</t>
  </si>
  <si>
    <t>Printer Ink 602</t>
  </si>
  <si>
    <t>ORD100737</t>
  </si>
  <si>
    <t>Laptop 831</t>
  </si>
  <si>
    <t>ORD100738</t>
  </si>
  <si>
    <t>Paper 759</t>
  </si>
  <si>
    <t>ORD100739</t>
  </si>
  <si>
    <t>Table 236</t>
  </si>
  <si>
    <t>ORD100740</t>
  </si>
  <si>
    <t>Desk 783</t>
  </si>
  <si>
    <t>ORD100741</t>
  </si>
  <si>
    <t>Pens 209</t>
  </si>
  <si>
    <t>ORD100742</t>
  </si>
  <si>
    <t>ORD100743</t>
  </si>
  <si>
    <t>Monitor 402</t>
  </si>
  <si>
    <t>ORD100744</t>
  </si>
  <si>
    <t>Keyboard 164</t>
  </si>
  <si>
    <t>ORD100745</t>
  </si>
  <si>
    <t>Cabinet 990</t>
  </si>
  <si>
    <t>ORD100746</t>
  </si>
  <si>
    <t>Notebook 524</t>
  </si>
  <si>
    <t>ORD100747</t>
  </si>
  <si>
    <t>ORD100748</t>
  </si>
  <si>
    <t>Cabinet 949</t>
  </si>
  <si>
    <t>ORD100749</t>
  </si>
  <si>
    <t>Printer Ink 956</t>
  </si>
  <si>
    <t>ORD100750</t>
  </si>
  <si>
    <t>Bookshelf 907</t>
  </si>
  <si>
    <t>ORD100751</t>
  </si>
  <si>
    <t>Notebook 241</t>
  </si>
  <si>
    <t>ORD100752</t>
  </si>
  <si>
    <t>Table 257</t>
  </si>
  <si>
    <t>ORD100753</t>
  </si>
  <si>
    <t>Pens 477</t>
  </si>
  <si>
    <t>ORD100754</t>
  </si>
  <si>
    <t>Pens 265</t>
  </si>
  <si>
    <t>ORD100755</t>
  </si>
  <si>
    <t>Printer Ink 971</t>
  </si>
  <si>
    <t>ORD100756</t>
  </si>
  <si>
    <t>Chair 240</t>
  </si>
  <si>
    <t>ORD100757</t>
  </si>
  <si>
    <t>Cabinet 243</t>
  </si>
  <si>
    <t>ORD100758</t>
  </si>
  <si>
    <t>Cabinet 284</t>
  </si>
  <si>
    <t>ORD100759</t>
  </si>
  <si>
    <t>Table 323</t>
  </si>
  <si>
    <t>ORD100760</t>
  </si>
  <si>
    <t>Pens 358</t>
  </si>
  <si>
    <t>ORD100761</t>
  </si>
  <si>
    <t>Bookshelf 630</t>
  </si>
  <si>
    <t>ORD100762</t>
  </si>
  <si>
    <t>Headphones 734</t>
  </si>
  <si>
    <t>ORD100763</t>
  </si>
  <si>
    <t>Desk 823</t>
  </si>
  <si>
    <t>ORD100764</t>
  </si>
  <si>
    <t>Chair 117</t>
  </si>
  <si>
    <t>ORD100765</t>
  </si>
  <si>
    <t>Chair 977</t>
  </si>
  <si>
    <t>ORD100766</t>
  </si>
  <si>
    <t>Cabinet 111</t>
  </si>
  <si>
    <t>ORD100767</t>
  </si>
  <si>
    <t>Printer Ink 379</t>
  </si>
  <si>
    <t>ORD100768</t>
  </si>
  <si>
    <t>Pens 678</t>
  </si>
  <si>
    <t>ORD100769</t>
  </si>
  <si>
    <t>Headphones 993</t>
  </si>
  <si>
    <t>ORD100770</t>
  </si>
  <si>
    <t>Folders 315</t>
  </si>
  <si>
    <t>ORD100771</t>
  </si>
  <si>
    <t>Pens 410</t>
  </si>
  <si>
    <t>ORD100772</t>
  </si>
  <si>
    <t>Paper 765</t>
  </si>
  <si>
    <t>ORD100773</t>
  </si>
  <si>
    <t>Chair 498</t>
  </si>
  <si>
    <t>ORD100774</t>
  </si>
  <si>
    <t>Paper 529</t>
  </si>
  <si>
    <t>ORD100775</t>
  </si>
  <si>
    <t>Keyboard 752</t>
  </si>
  <si>
    <t>ORD100776</t>
  </si>
  <si>
    <t>Headphones 700</t>
  </si>
  <si>
    <t>ORD100777</t>
  </si>
  <si>
    <t>Pens 371</t>
  </si>
  <si>
    <t>ORD100778</t>
  </si>
  <si>
    <t>ORD100779</t>
  </si>
  <si>
    <t>ORD100780</t>
  </si>
  <si>
    <t>Laptop 688</t>
  </si>
  <si>
    <t>ORD100781</t>
  </si>
  <si>
    <t>Cabinet 663</t>
  </si>
  <si>
    <t>ORD100782</t>
  </si>
  <si>
    <t>Desk 457</t>
  </si>
  <si>
    <t>ORD100783</t>
  </si>
  <si>
    <t>Bookshelf 951</t>
  </si>
  <si>
    <t>ORD100784</t>
  </si>
  <si>
    <t>Desk 694</t>
  </si>
  <si>
    <t>ORD100785</t>
  </si>
  <si>
    <t>ORD100786</t>
  </si>
  <si>
    <t>Mouse 539</t>
  </si>
  <si>
    <t>ORD100787</t>
  </si>
  <si>
    <t>Paper 527</t>
  </si>
  <si>
    <t>ORD100788</t>
  </si>
  <si>
    <t>Monitor 422</t>
  </si>
  <si>
    <t>ORD100789</t>
  </si>
  <si>
    <t>Folders 317</t>
  </si>
  <si>
    <t>ORD100790</t>
  </si>
  <si>
    <t>Notebook 487</t>
  </si>
  <si>
    <t>ORD100791</t>
  </si>
  <si>
    <t>Notebook 720</t>
  </si>
  <si>
    <t>ORD100792</t>
  </si>
  <si>
    <t>Bookshelf 870</t>
  </si>
  <si>
    <t>ORD100793</t>
  </si>
  <si>
    <t>Desk 982</t>
  </si>
  <si>
    <t>ORD100794</t>
  </si>
  <si>
    <t>Notebook 194</t>
  </si>
  <si>
    <t>ORD100795</t>
  </si>
  <si>
    <t>Folders 262</t>
  </si>
  <si>
    <t>ORD100796</t>
  </si>
  <si>
    <t>Desk 916</t>
  </si>
  <si>
    <t>ORD100797</t>
  </si>
  <si>
    <t>Notebook 209</t>
  </si>
  <si>
    <t>ORD100798</t>
  </si>
  <si>
    <t>Bookshelf 649</t>
  </si>
  <si>
    <t>ORD100799</t>
  </si>
  <si>
    <t>ORD100800</t>
  </si>
  <si>
    <t>ORD100801</t>
  </si>
  <si>
    <t>Paper 991</t>
  </si>
  <si>
    <t>ORD100802</t>
  </si>
  <si>
    <t>Notebook 129</t>
  </si>
  <si>
    <t>ORD100803</t>
  </si>
  <si>
    <t>Chair 109</t>
  </si>
  <si>
    <t>ORD100804</t>
  </si>
  <si>
    <t>Mouse 597</t>
  </si>
  <si>
    <t>ORD100805</t>
  </si>
  <si>
    <t>Cabinet 893</t>
  </si>
  <si>
    <t>ORD100806</t>
  </si>
  <si>
    <t>Laptop 689</t>
  </si>
  <si>
    <t>ORD100807</t>
  </si>
  <si>
    <t>Paper 491</t>
  </si>
  <si>
    <t>ORD100808</t>
  </si>
  <si>
    <t>Printer Ink 643</t>
  </si>
  <si>
    <t>ORD100809</t>
  </si>
  <si>
    <t>Pens 872</t>
  </si>
  <si>
    <t>ORD100810</t>
  </si>
  <si>
    <t>Keyboard 240</t>
  </si>
  <si>
    <t>ORD100811</t>
  </si>
  <si>
    <t>ORD100812</t>
  </si>
  <si>
    <t>Mouse 717</t>
  </si>
  <si>
    <t>ORD100813</t>
  </si>
  <si>
    <t>Notebook 460</t>
  </si>
  <si>
    <t>ORD100814</t>
  </si>
  <si>
    <t>Headphones 492</t>
  </si>
  <si>
    <t>ORD100815</t>
  </si>
  <si>
    <t>Mouse 927</t>
  </si>
  <si>
    <t>ORD100816</t>
  </si>
  <si>
    <t>Cabinet 116</t>
  </si>
  <si>
    <t>ORD100817</t>
  </si>
  <si>
    <t>Bookshelf 163</t>
  </si>
  <si>
    <t>ORD100818</t>
  </si>
  <si>
    <t>Table 781</t>
  </si>
  <si>
    <t>ORD100819</t>
  </si>
  <si>
    <t>Printer Ink 492</t>
  </si>
  <si>
    <t>ORD100820</t>
  </si>
  <si>
    <t>Printer Ink 596</t>
  </si>
  <si>
    <t>ORD100821</t>
  </si>
  <si>
    <t>Bookshelf 416</t>
  </si>
  <si>
    <t>ORD100822</t>
  </si>
  <si>
    <t>Paper 270</t>
  </si>
  <si>
    <t>ORD100823</t>
  </si>
  <si>
    <t>Monitor 147</t>
  </si>
  <si>
    <t>ORD100824</t>
  </si>
  <si>
    <t>Keyboard 995</t>
  </si>
  <si>
    <t>ORD100825</t>
  </si>
  <si>
    <t>Table 321</t>
  </si>
  <si>
    <t>ORD100826</t>
  </si>
  <si>
    <t>Keyboard 411</t>
  </si>
  <si>
    <t>ORD100827</t>
  </si>
  <si>
    <t>Headphones 263</t>
  </si>
  <si>
    <t>ORD100828</t>
  </si>
  <si>
    <t>Folders 613</t>
  </si>
  <si>
    <t>ORD100829</t>
  </si>
  <si>
    <t>Printer Ink 182</t>
  </si>
  <si>
    <t>ORD100830</t>
  </si>
  <si>
    <t>Mouse 126</t>
  </si>
  <si>
    <t>ORD100831</t>
  </si>
  <si>
    <t>Chair 369</t>
  </si>
  <si>
    <t>ORD100832</t>
  </si>
  <si>
    <t>Headphones 803</t>
  </si>
  <si>
    <t>ORD100833</t>
  </si>
  <si>
    <t>Table 924</t>
  </si>
  <si>
    <t>ORD100834</t>
  </si>
  <si>
    <t>Bookshelf 566</t>
  </si>
  <si>
    <t>ORD100835</t>
  </si>
  <si>
    <t>Folders 325</t>
  </si>
  <si>
    <t>ORD100836</t>
  </si>
  <si>
    <t>Notebook 526</t>
  </si>
  <si>
    <t>ORD100837</t>
  </si>
  <si>
    <t>Mouse 116</t>
  </si>
  <si>
    <t>ORD100838</t>
  </si>
  <si>
    <t>Paper 442</t>
  </si>
  <si>
    <t>ORD100839</t>
  </si>
  <si>
    <t>Laptop 356</t>
  </si>
  <si>
    <t>ORD100840</t>
  </si>
  <si>
    <t>ORD100841</t>
  </si>
  <si>
    <t>Cabinet 196</t>
  </si>
  <si>
    <t>ORD100842</t>
  </si>
  <si>
    <t>Folders 957</t>
  </si>
  <si>
    <t>ORD100843</t>
  </si>
  <si>
    <t>Folders 626</t>
  </si>
  <si>
    <t>ORD100844</t>
  </si>
  <si>
    <t>Headphones 908</t>
  </si>
  <si>
    <t>ORD100845</t>
  </si>
  <si>
    <t>Folders 655</t>
  </si>
  <si>
    <t>ORD100846</t>
  </si>
  <si>
    <t>Headphones 210</t>
  </si>
  <si>
    <t>ORD100847</t>
  </si>
  <si>
    <t>Bookshelf 285</t>
  </si>
  <si>
    <t>ORD100848</t>
  </si>
  <si>
    <t>Desk 295</t>
  </si>
  <si>
    <t>ORD100849</t>
  </si>
  <si>
    <t>Cabinet 797</t>
  </si>
  <si>
    <t>ORD100850</t>
  </si>
  <si>
    <t>Bookshelf 909</t>
  </si>
  <si>
    <t>ORD100851</t>
  </si>
  <si>
    <t>Keyboard 238</t>
  </si>
  <si>
    <t>ORD100852</t>
  </si>
  <si>
    <t>Pens 605</t>
  </si>
  <si>
    <t>ORD100853</t>
  </si>
  <si>
    <t>Printer Ink 148</t>
  </si>
  <si>
    <t>ORD100854</t>
  </si>
  <si>
    <t>Mouse 840</t>
  </si>
  <si>
    <t>ORD100855</t>
  </si>
  <si>
    <t>Folders 289</t>
  </si>
  <si>
    <t>ORD100856</t>
  </si>
  <si>
    <t>Pens 319</t>
  </si>
  <si>
    <t>ORD100857</t>
  </si>
  <si>
    <t>Cabinet 497</t>
  </si>
  <si>
    <t>ORD100858</t>
  </si>
  <si>
    <t>Desk 712</t>
  </si>
  <si>
    <t>ORD100859</t>
  </si>
  <si>
    <t>Chair 744</t>
  </si>
  <si>
    <t>ORD100860</t>
  </si>
  <si>
    <t>Printer Ink 355</t>
  </si>
  <si>
    <t>ORD100861</t>
  </si>
  <si>
    <t>Keyboard 366</t>
  </si>
  <si>
    <t>ORD100862</t>
  </si>
  <si>
    <t>Pens 839</t>
  </si>
  <si>
    <t>ORD100863</t>
  </si>
  <si>
    <t>Bookshelf 799</t>
  </si>
  <si>
    <t>ORD100864</t>
  </si>
  <si>
    <t>Folders 983</t>
  </si>
  <si>
    <t>ORD100865</t>
  </si>
  <si>
    <t>Notebook 717</t>
  </si>
  <si>
    <t>ORD100866</t>
  </si>
  <si>
    <t>Bookshelf 754</t>
  </si>
  <si>
    <t>ORD100867</t>
  </si>
  <si>
    <t>Paper 282</t>
  </si>
  <si>
    <t>ORD100868</t>
  </si>
  <si>
    <t>Notebook 966</t>
  </si>
  <si>
    <t>ORD100869</t>
  </si>
  <si>
    <t>ORD100870</t>
  </si>
  <si>
    <t>Laptop 317</t>
  </si>
  <si>
    <t>ORD100871</t>
  </si>
  <si>
    <t>Bookshelf 651</t>
  </si>
  <si>
    <t>ORD100872</t>
  </si>
  <si>
    <t>Mouse 404</t>
  </si>
  <si>
    <t>ORD100873</t>
  </si>
  <si>
    <t>Printer Ink 905</t>
  </si>
  <si>
    <t>ORD100874</t>
  </si>
  <si>
    <t>Monitor 765</t>
  </si>
  <si>
    <t>ORD100875</t>
  </si>
  <si>
    <t>Monitor 278</t>
  </si>
  <si>
    <t>ORD100876</t>
  </si>
  <si>
    <t>Desk 980</t>
  </si>
  <si>
    <t>ORD100877</t>
  </si>
  <si>
    <t>Keyboard 332</t>
  </si>
  <si>
    <t>ORD100878</t>
  </si>
  <si>
    <t>Notebook 808</t>
  </si>
  <si>
    <t>ORD100879</t>
  </si>
  <si>
    <t>Paper 831</t>
  </si>
  <si>
    <t>ORD100880</t>
  </si>
  <si>
    <t>ORD100881</t>
  </si>
  <si>
    <t>Paper 790</t>
  </si>
  <si>
    <t>ORD100882</t>
  </si>
  <si>
    <t>Monitor 119</t>
  </si>
  <si>
    <t>ORD100883</t>
  </si>
  <si>
    <t>Table 423</t>
  </si>
  <si>
    <t>ORD100884</t>
  </si>
  <si>
    <t>Pens 454</t>
  </si>
  <si>
    <t>ORD100885</t>
  </si>
  <si>
    <t>Notebook 941</t>
  </si>
  <si>
    <t>ORD100886</t>
  </si>
  <si>
    <t>Bookshelf 176</t>
  </si>
  <si>
    <t>ORD100887</t>
  </si>
  <si>
    <t>Chair 978</t>
  </si>
  <si>
    <t>ORD100888</t>
  </si>
  <si>
    <t>Notebook 705</t>
  </si>
  <si>
    <t>ORD100889</t>
  </si>
  <si>
    <t>Chair 636</t>
  </si>
  <si>
    <t>ORD100890</t>
  </si>
  <si>
    <t>Printer Ink 516</t>
  </si>
  <si>
    <t>ORD100891</t>
  </si>
  <si>
    <t>Cabinet 689</t>
  </si>
  <si>
    <t>ORD100892</t>
  </si>
  <si>
    <t>Table 787</t>
  </si>
  <si>
    <t>ORD100893</t>
  </si>
  <si>
    <t>Cabinet 277</t>
  </si>
  <si>
    <t>ORD100894</t>
  </si>
  <si>
    <t>Table 398</t>
  </si>
  <si>
    <t>ORD100895</t>
  </si>
  <si>
    <t>Mouse 805</t>
  </si>
  <si>
    <t>ORD100896</t>
  </si>
  <si>
    <t>Mouse 392</t>
  </si>
  <si>
    <t>ORD100897</t>
  </si>
  <si>
    <t>Pens 401</t>
  </si>
  <si>
    <t>ORD100898</t>
  </si>
  <si>
    <t>Bookshelf 928</t>
  </si>
  <si>
    <t>ORD100899</t>
  </si>
  <si>
    <t>Monitor 926</t>
  </si>
  <si>
    <t>ORD100900</t>
  </si>
  <si>
    <t>Folders 925</t>
  </si>
  <si>
    <t>ORD100901</t>
  </si>
  <si>
    <t>Cabinet 274</t>
  </si>
  <si>
    <t>ORD100902</t>
  </si>
  <si>
    <t>Folders 525</t>
  </si>
  <si>
    <t>ORD100903</t>
  </si>
  <si>
    <t>Notebook 400</t>
  </si>
  <si>
    <t>ORD100904</t>
  </si>
  <si>
    <t>Cabinet 852</t>
  </si>
  <si>
    <t>ORD100905</t>
  </si>
  <si>
    <t>ORD100906</t>
  </si>
  <si>
    <t>ORD100907</t>
  </si>
  <si>
    <t>Laptop 238</t>
  </si>
  <si>
    <t>ORD100908</t>
  </si>
  <si>
    <t>Printer Ink 660</t>
  </si>
  <si>
    <t>ORD100909</t>
  </si>
  <si>
    <t>Table 648</t>
  </si>
  <si>
    <t>ORD100910</t>
  </si>
  <si>
    <t>Keyboard 870</t>
  </si>
  <si>
    <t>ORD100911</t>
  </si>
  <si>
    <t>Cabinet 455</t>
  </si>
  <si>
    <t>ORD100912</t>
  </si>
  <si>
    <t>ORD100913</t>
  </si>
  <si>
    <t>Paper 609</t>
  </si>
  <si>
    <t>ORD100914</t>
  </si>
  <si>
    <t>Paper 658</t>
  </si>
  <si>
    <t>ORD100915</t>
  </si>
  <si>
    <t>Headphones 980</t>
  </si>
  <si>
    <t>ORD100916</t>
  </si>
  <si>
    <t>Mouse 440</t>
  </si>
  <si>
    <t>ORD100917</t>
  </si>
  <si>
    <t>ORD100918</t>
  </si>
  <si>
    <t>Printer Ink 293</t>
  </si>
  <si>
    <t>ORD100919</t>
  </si>
  <si>
    <t>Chair 774</t>
  </si>
  <si>
    <t>ORD100920</t>
  </si>
  <si>
    <t>Headphones 276</t>
  </si>
  <si>
    <t>ORD100921</t>
  </si>
  <si>
    <t>Cabinet 765</t>
  </si>
  <si>
    <t>ORD100922</t>
  </si>
  <si>
    <t>Pens 935</t>
  </si>
  <si>
    <t>ORD100923</t>
  </si>
  <si>
    <t>Pens 309</t>
  </si>
  <si>
    <t>ORD100924</t>
  </si>
  <si>
    <t>Table 930</t>
  </si>
  <si>
    <t>ORD100925</t>
  </si>
  <si>
    <t>Headphones 695</t>
  </si>
  <si>
    <t>ORD100926</t>
  </si>
  <si>
    <t>Monitor 958</t>
  </si>
  <si>
    <t>ORD100927</t>
  </si>
  <si>
    <t>Paper 673</t>
  </si>
  <si>
    <t>ORD100928</t>
  </si>
  <si>
    <t>Keyboard 379</t>
  </si>
  <si>
    <t>ORD100929</t>
  </si>
  <si>
    <t>Headphones 991</t>
  </si>
  <si>
    <t>ORD100930</t>
  </si>
  <si>
    <t>Desk 364</t>
  </si>
  <si>
    <t>ORD100931</t>
  </si>
  <si>
    <t>Mouse 809</t>
  </si>
  <si>
    <t>ORD100932</t>
  </si>
  <si>
    <t>Bookshelf 629</t>
  </si>
  <si>
    <t>ORD100933</t>
  </si>
  <si>
    <t>Pens 438</t>
  </si>
  <si>
    <t>ORD100934</t>
  </si>
  <si>
    <t>Bookshelf 809</t>
  </si>
  <si>
    <t>ORD100935</t>
  </si>
  <si>
    <t>Pens 363</t>
  </si>
  <si>
    <t>ORD100936</t>
  </si>
  <si>
    <t>Chair 569</t>
  </si>
  <si>
    <t>ORD100937</t>
  </si>
  <si>
    <t>Pens 599</t>
  </si>
  <si>
    <t>ORD100938</t>
  </si>
  <si>
    <t>Cabinet 242</t>
  </si>
  <si>
    <t>ORD100939</t>
  </si>
  <si>
    <t>Bookshelf 434</t>
  </si>
  <si>
    <t>ORD100940</t>
  </si>
  <si>
    <t>Bookshelf 196</t>
  </si>
  <si>
    <t>ORD100941</t>
  </si>
  <si>
    <t>Headphones 944</t>
  </si>
  <si>
    <t>ORD100942</t>
  </si>
  <si>
    <t>ORD100943</t>
  </si>
  <si>
    <t>Mouse 285</t>
  </si>
  <si>
    <t>ORD100944</t>
  </si>
  <si>
    <t>Pens 758</t>
  </si>
  <si>
    <t>ORD100945</t>
  </si>
  <si>
    <t>Folders 279</t>
  </si>
  <si>
    <t>ORD100946</t>
  </si>
  <si>
    <t>Mouse 847</t>
  </si>
  <si>
    <t>ORD100947</t>
  </si>
  <si>
    <t>Folders 266</t>
  </si>
  <si>
    <t>ORD100948</t>
  </si>
  <si>
    <t>Paper 533</t>
  </si>
  <si>
    <t>ORD100949</t>
  </si>
  <si>
    <t>Chair 555</t>
  </si>
  <si>
    <t>ORD100950</t>
  </si>
  <si>
    <t>Mouse 819</t>
  </si>
  <si>
    <t>ORD100951</t>
  </si>
  <si>
    <t>Desk 352</t>
  </si>
  <si>
    <t>ORD100952</t>
  </si>
  <si>
    <t>Cabinet 828</t>
  </si>
  <si>
    <t>ORD100953</t>
  </si>
  <si>
    <t>Bookshelf 494</t>
  </si>
  <si>
    <t>ORD100954</t>
  </si>
  <si>
    <t>Cabinet 984</t>
  </si>
  <si>
    <t>ORD100955</t>
  </si>
  <si>
    <t>Table 350</t>
  </si>
  <si>
    <t>ORD100956</t>
  </si>
  <si>
    <t>Paper 998</t>
  </si>
  <si>
    <t>ORD100957</t>
  </si>
  <si>
    <t>Printer Ink 810</t>
  </si>
  <si>
    <t>ORD100958</t>
  </si>
  <si>
    <t>Folders 115</t>
  </si>
  <si>
    <t>ORD100959</t>
  </si>
  <si>
    <t>ORD100960</t>
  </si>
  <si>
    <t>Desk 614</t>
  </si>
  <si>
    <t>ORD100961</t>
  </si>
  <si>
    <t>Headphones 682</t>
  </si>
  <si>
    <t>ORD100962</t>
  </si>
  <si>
    <t>Monitor 314</t>
  </si>
  <si>
    <t>ORD100963</t>
  </si>
  <si>
    <t>Pens 924</t>
  </si>
  <si>
    <t>ORD100964</t>
  </si>
  <si>
    <t>Monitor 140</t>
  </si>
  <si>
    <t>ORD100965</t>
  </si>
  <si>
    <t>Laptop 550</t>
  </si>
  <si>
    <t>ORD100966</t>
  </si>
  <si>
    <t>Folders 817</t>
  </si>
  <si>
    <t>ORD100967</t>
  </si>
  <si>
    <t>Printer Ink 319</t>
  </si>
  <si>
    <t>ORD100968</t>
  </si>
  <si>
    <t>Laptop 747</t>
  </si>
  <si>
    <t>ORD100969</t>
  </si>
  <si>
    <t>Monitor 605</t>
  </si>
  <si>
    <t>ORD100970</t>
  </si>
  <si>
    <t>Notebook 247</t>
  </si>
  <si>
    <t>ORD100971</t>
  </si>
  <si>
    <t>Desk 372</t>
  </si>
  <si>
    <t>ORD100972</t>
  </si>
  <si>
    <t>Cabinet 941</t>
  </si>
  <si>
    <t>ORD100973</t>
  </si>
  <si>
    <t>Bookshelf 617</t>
  </si>
  <si>
    <t>ORD100974</t>
  </si>
  <si>
    <t>Monitor 155</t>
  </si>
  <si>
    <t>ORD100975</t>
  </si>
  <si>
    <t>Keyboard 567</t>
  </si>
  <si>
    <t>ORD100976</t>
  </si>
  <si>
    <t>Mouse 329</t>
  </si>
  <si>
    <t>ORD100977</t>
  </si>
  <si>
    <t>Laptop 873</t>
  </si>
  <si>
    <t>ORD100978</t>
  </si>
  <si>
    <t>Cabinet 167</t>
  </si>
  <si>
    <t>ORD100979</t>
  </si>
  <si>
    <t>Folders 776</t>
  </si>
  <si>
    <t>ORD100980</t>
  </si>
  <si>
    <t>Paper 250</t>
  </si>
  <si>
    <t>ORD100981</t>
  </si>
  <si>
    <t>Paper 735</t>
  </si>
  <si>
    <t>ORD100982</t>
  </si>
  <si>
    <t>Desk 989</t>
  </si>
  <si>
    <t>ORD100983</t>
  </si>
  <si>
    <t>Cabinet 502</t>
  </si>
  <si>
    <t>ORD100984</t>
  </si>
  <si>
    <t>Folders 723</t>
  </si>
  <si>
    <t>ORD100985</t>
  </si>
  <si>
    <t>Keyboard 161</t>
  </si>
  <si>
    <t>ORD100986</t>
  </si>
  <si>
    <t>Notebook 737</t>
  </si>
  <si>
    <t>ORD100987</t>
  </si>
  <si>
    <t>Keyboard 710</t>
  </si>
  <si>
    <t>ORD100988</t>
  </si>
  <si>
    <t>Cabinet 110</t>
  </si>
  <si>
    <t>ORD100989</t>
  </si>
  <si>
    <t>Notebook 504</t>
  </si>
  <si>
    <t>ORD100990</t>
  </si>
  <si>
    <t>Monitor 510</t>
  </si>
  <si>
    <t>ORD100991</t>
  </si>
  <si>
    <t>Mouse 677</t>
  </si>
  <si>
    <t>ORD100992</t>
  </si>
  <si>
    <t>Headphones 400</t>
  </si>
  <si>
    <t>ORD100993</t>
  </si>
  <si>
    <t>Cabinet 271</t>
  </si>
  <si>
    <t>ORD100994</t>
  </si>
  <si>
    <t>Desk 105</t>
  </si>
  <si>
    <t>ORD100995</t>
  </si>
  <si>
    <t>Table 110</t>
  </si>
  <si>
    <t>ORD100996</t>
  </si>
  <si>
    <t>Headphones 836</t>
  </si>
  <si>
    <t>ORD100997</t>
  </si>
  <si>
    <t>Monitor 271</t>
  </si>
  <si>
    <t>ORD100998</t>
  </si>
  <si>
    <t>Chair 534</t>
  </si>
  <si>
    <t>ORD100999</t>
  </si>
  <si>
    <t>Mouse 245</t>
  </si>
  <si>
    <t>ORD101000</t>
  </si>
  <si>
    <t>Desk 746</t>
  </si>
  <si>
    <t>ORD101001</t>
  </si>
  <si>
    <t>Headphones 124</t>
  </si>
  <si>
    <t>SALES PERFORMANCE DASHBOARD</t>
  </si>
  <si>
    <r>
      <rPr>
        <sz val="16"/>
        <color rgb="FF595959"/>
        <rFont val="Calibri"/>
        <scheme val="minor"/>
      </rPr>
      <t xml:space="preserve">            Total Orders
</t>
    </r>
    <r>
      <rPr>
        <b/>
        <sz val="16"/>
        <color rgb="FF1F497D"/>
        <rFont val="Calibri"/>
        <scheme val="minor"/>
      </rPr>
      <t xml:space="preserve">                1000</t>
    </r>
  </si>
  <si>
    <r>
      <rPr>
        <sz val="16"/>
        <color rgb="FF808080"/>
        <rFont val="Calibri"/>
        <scheme val="minor"/>
      </rPr>
      <t xml:space="preserve">            </t>
    </r>
    <r>
      <rPr>
        <sz val="16"/>
        <color rgb="FF595959"/>
        <rFont val="Calibri"/>
        <scheme val="minor"/>
      </rPr>
      <t xml:space="preserve">Profit Margin
</t>
    </r>
    <r>
      <rPr>
        <b/>
        <sz val="16"/>
        <color rgb="FF1F497D"/>
        <rFont val="Calibri"/>
        <scheme val="minor"/>
      </rPr>
      <t xml:space="preserve">                 23.08%</t>
    </r>
  </si>
  <si>
    <r>
      <rPr>
        <sz val="16"/>
        <color rgb="FF808080"/>
        <rFont val="Calibri"/>
        <scheme val="minor"/>
      </rPr>
      <t xml:space="preserve">          Average Order Value
</t>
    </r>
    <r>
      <rPr>
        <b/>
        <sz val="16"/>
        <color rgb="FF1F497D"/>
        <rFont val="Calibri"/>
        <scheme val="minor"/>
      </rPr>
      <t xml:space="preserve">                 18,241</t>
    </r>
  </si>
  <si>
    <t>Sum of Revenue</t>
  </si>
  <si>
    <t>January</t>
  </si>
  <si>
    <t>February</t>
  </si>
  <si>
    <t>March</t>
  </si>
  <si>
    <t>April</t>
  </si>
  <si>
    <t>May</t>
  </si>
  <si>
    <t>Grand Total</t>
  </si>
  <si>
    <t>June</t>
  </si>
  <si>
    <t>July</t>
  </si>
  <si>
    <t>August</t>
  </si>
  <si>
    <t>September</t>
  </si>
  <si>
    <t>October</t>
  </si>
  <si>
    <t>November</t>
  </si>
  <si>
    <t>December</t>
  </si>
  <si>
    <t>2025 Total</t>
  </si>
  <si>
    <t>2026 Total</t>
  </si>
  <si>
    <t>Sum of Profit</t>
  </si>
  <si>
    <t>KPIs</t>
  </si>
  <si>
    <t>Total Revenue</t>
  </si>
  <si>
    <t>Total Profit</t>
  </si>
  <si>
    <t>Profit Margin</t>
  </si>
  <si>
    <t>Total Orders</t>
  </si>
  <si>
    <t>Average Order Value</t>
  </si>
  <si>
    <t>Top Region</t>
  </si>
  <si>
    <t>Top Category</t>
  </si>
  <si>
    <t>Monthly Revenue</t>
  </si>
  <si>
    <t>Top 10 Products</t>
  </si>
  <si>
    <t>Revenue by Salesperson</t>
  </si>
  <si>
    <t>Revenue by Channel</t>
  </si>
  <si>
    <r>
      <rPr>
        <sz val="16"/>
        <color rgb="FF595959"/>
        <rFont val="Calibri"/>
        <scheme val="minor"/>
      </rPr>
      <t xml:space="preserve">             Total Revenue
</t>
    </r>
    <r>
      <rPr>
        <b/>
        <sz val="22"/>
        <color rgb="FF1F497D"/>
        <rFont val="Calibri"/>
        <scheme val="minor"/>
      </rPr>
      <t xml:space="preserve">       </t>
    </r>
    <r>
      <rPr>
        <b/>
        <sz val="22"/>
        <color rgb="FF1F497D"/>
        <rFont val="Calibri"/>
        <family val="2"/>
      </rPr>
      <t>₹</t>
    </r>
    <r>
      <rPr>
        <b/>
        <sz val="22"/>
        <color rgb="FF1F497D"/>
        <rFont val="Calibri"/>
        <scheme val="minor"/>
      </rPr>
      <t>1,82,40,573</t>
    </r>
  </si>
  <si>
    <r>
      <rPr>
        <sz val="16"/>
        <color rgb="FF595959"/>
        <rFont val="Calibri"/>
        <scheme val="minor"/>
      </rPr>
      <t xml:space="preserve">              Total Profit
</t>
    </r>
    <r>
      <rPr>
        <sz val="22"/>
        <color rgb="FF1F497D"/>
        <rFont val="Calibri"/>
        <scheme val="minor"/>
      </rPr>
      <t xml:space="preserve">       </t>
    </r>
    <r>
      <rPr>
        <sz val="22"/>
        <color rgb="FF1F497D"/>
        <rFont val="Calibri"/>
        <family val="2"/>
      </rPr>
      <t>₹</t>
    </r>
    <r>
      <rPr>
        <b/>
        <sz val="22"/>
        <color rgb="FF1F497D"/>
        <rFont val="Calibri"/>
        <scheme val="minor"/>
      </rPr>
      <t>4,210,000</t>
    </r>
  </si>
</sst>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dd\-mmm\-yyyy"/>
    <numFmt numFmtId="165" formatCode="&quot;₹&quot;\ #,##0.00"/>
  </numFmts>
  <fonts count="15" x14ac:knownFonts="1">
    <font>
      <sz val="11"/>
      <color theme="1"/>
      <name val="Calibri"/>
      <family val="2"/>
      <scheme val="minor"/>
    </font>
    <font>
      <sz val="22"/>
      <color theme="1" tint="0.249977111117893"/>
      <name val="Calibri"/>
      <family val="2"/>
      <scheme val="minor"/>
    </font>
    <font>
      <b/>
      <sz val="22"/>
      <color rgb="FF1F497D"/>
      <name val="Calibri"/>
      <scheme val="minor"/>
    </font>
    <font>
      <sz val="12"/>
      <color rgb="FF808080"/>
      <name val="Calibri"/>
      <scheme val="minor"/>
    </font>
    <font>
      <sz val="16"/>
      <color rgb="FF595959"/>
      <name val="Calibri"/>
      <scheme val="minor"/>
    </font>
    <font>
      <sz val="22"/>
      <color rgb="FF1F497D"/>
      <name val="Calibri"/>
      <scheme val="minor"/>
    </font>
    <font>
      <b/>
      <sz val="16"/>
      <color rgb="FF1F497D"/>
      <name val="Calibri"/>
      <scheme val="minor"/>
    </font>
    <font>
      <sz val="16"/>
      <color rgb="FF808080"/>
      <name val="Calibri"/>
      <scheme val="minor"/>
    </font>
    <font>
      <sz val="16"/>
      <color theme="1"/>
      <name val="Calibri"/>
      <scheme val="minor"/>
    </font>
    <font>
      <b/>
      <sz val="28"/>
      <color theme="3"/>
      <name val="Calibri"/>
      <family val="2"/>
      <scheme val="minor"/>
    </font>
    <font>
      <sz val="28"/>
      <color theme="1"/>
      <name val="Calibri"/>
      <family val="2"/>
      <scheme val="minor"/>
    </font>
    <font>
      <b/>
      <sz val="36"/>
      <color theme="3"/>
      <name val="Calibri"/>
      <family val="2"/>
      <scheme val="minor"/>
    </font>
    <font>
      <b/>
      <sz val="22"/>
      <color rgb="FF1F497D"/>
      <name val="Calibri"/>
      <family val="2"/>
    </font>
    <font>
      <sz val="12"/>
      <color rgb="FF595959"/>
      <name val="Calibri"/>
      <family val="2"/>
      <scheme val="minor"/>
    </font>
    <font>
      <sz val="22"/>
      <color rgb="FF1F497D"/>
      <name val="Calibri"/>
      <family val="2"/>
    </font>
  </fonts>
  <fills count="4">
    <fill>
      <patternFill patternType="none"/>
    </fill>
    <fill>
      <patternFill patternType="gray125"/>
    </fill>
    <fill>
      <patternFill patternType="solid">
        <fgColor theme="0"/>
        <bgColor indexed="64"/>
      </patternFill>
    </fill>
    <fill>
      <patternFill patternType="solid">
        <fgColor theme="3" tint="0.79998168889431442"/>
        <bgColor indexed="64"/>
      </patternFill>
    </fill>
  </fills>
  <borders count="9">
    <border>
      <left/>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s>
  <cellStyleXfs count="1">
    <xf numFmtId="0" fontId="0" fillId="0" borderId="0"/>
  </cellStyleXfs>
  <cellXfs count="29">
    <xf numFmtId="0" fontId="0" fillId="0" borderId="0" xfId="0"/>
    <xf numFmtId="164" fontId="0" fillId="0" borderId="0" xfId="0" applyNumberFormat="1"/>
    <xf numFmtId="4" fontId="0" fillId="0" borderId="0" xfId="0" applyNumberFormat="1"/>
    <xf numFmtId="0" fontId="1" fillId="2" borderId="0" xfId="0" applyFont="1" applyFill="1" applyBorder="1" applyAlignment="1">
      <alignment vertical="top"/>
    </xf>
    <xf numFmtId="0" fontId="9" fillId="0" borderId="0" xfId="0" applyFont="1" applyAlignment="1"/>
    <xf numFmtId="0" fontId="10" fillId="0" borderId="0" xfId="0" applyFont="1" applyAlignment="1"/>
    <xf numFmtId="0" fontId="10" fillId="0" borderId="0" xfId="0" applyFont="1" applyAlignment="1">
      <alignment horizontal="right"/>
    </xf>
    <xf numFmtId="0" fontId="0" fillId="0" borderId="0" xfId="0" applyAlignment="1">
      <alignment horizontal="left" vertical="center"/>
    </xf>
    <xf numFmtId="0" fontId="10" fillId="0" borderId="0" xfId="0" applyFont="1" applyAlignment="1">
      <alignment horizontal="left" vertical="center"/>
    </xf>
    <xf numFmtId="0" fontId="0" fillId="0" borderId="0" xfId="0" pivotButton="1"/>
    <xf numFmtId="0" fontId="11" fillId="0" borderId="0" xfId="0" applyFont="1" applyAlignment="1">
      <alignment horizontal="left" vertical="center"/>
    </xf>
    <xf numFmtId="0" fontId="0" fillId="0" borderId="0" xfId="0" applyNumberFormat="1"/>
    <xf numFmtId="0" fontId="8" fillId="3" borderId="1" xfId="0" applyFont="1" applyFill="1" applyBorder="1" applyAlignment="1">
      <alignment vertical="top" wrapText="1"/>
    </xf>
    <xf numFmtId="0" fontId="0" fillId="3" borderId="2" xfId="0" applyFont="1" applyFill="1" applyBorder="1" applyAlignment="1">
      <alignment vertical="top"/>
    </xf>
    <xf numFmtId="0" fontId="0" fillId="3" borderId="3" xfId="0" applyFont="1" applyFill="1" applyBorder="1" applyAlignment="1">
      <alignment vertical="top"/>
    </xf>
    <xf numFmtId="0" fontId="0" fillId="3" borderId="4" xfId="0" applyFont="1" applyFill="1" applyBorder="1" applyAlignment="1">
      <alignment vertical="top"/>
    </xf>
    <xf numFmtId="0" fontId="0" fillId="3" borderId="0" xfId="0" applyFont="1" applyFill="1" applyBorder="1" applyAlignment="1">
      <alignment vertical="top"/>
    </xf>
    <xf numFmtId="0" fontId="0" fillId="3" borderId="5" xfId="0" applyFont="1" applyFill="1" applyBorder="1" applyAlignment="1">
      <alignment vertical="top"/>
    </xf>
    <xf numFmtId="0" fontId="0" fillId="3" borderId="6" xfId="0" applyFont="1" applyFill="1" applyBorder="1" applyAlignment="1">
      <alignment vertical="top"/>
    </xf>
    <xf numFmtId="0" fontId="0" fillId="3" borderId="7" xfId="0" applyFont="1" applyFill="1" applyBorder="1" applyAlignment="1">
      <alignment vertical="top"/>
    </xf>
    <xf numFmtId="0" fontId="0" fillId="3" borderId="8" xfId="0" applyFont="1" applyFill="1" applyBorder="1" applyAlignment="1">
      <alignment vertical="top"/>
    </xf>
    <xf numFmtId="0" fontId="4" fillId="3" borderId="1" xfId="0" applyFont="1" applyFill="1" applyBorder="1" applyAlignment="1">
      <alignment vertical="top" wrapText="1"/>
    </xf>
    <xf numFmtId="165" fontId="13" fillId="3" borderId="1" xfId="0" applyNumberFormat="1" applyFont="1" applyFill="1" applyBorder="1" applyAlignment="1">
      <alignment horizontal="left" vertical="center" wrapText="1"/>
    </xf>
    <xf numFmtId="165" fontId="3" fillId="3" borderId="3" xfId="0" applyNumberFormat="1" applyFont="1" applyFill="1" applyBorder="1" applyAlignment="1">
      <alignment horizontal="left" vertical="center" wrapText="1"/>
    </xf>
    <xf numFmtId="165" fontId="3" fillId="3" borderId="4" xfId="0" applyNumberFormat="1" applyFont="1" applyFill="1" applyBorder="1" applyAlignment="1">
      <alignment horizontal="left" vertical="center" wrapText="1"/>
    </xf>
    <xf numFmtId="165" fontId="3" fillId="3" borderId="5" xfId="0" applyNumberFormat="1" applyFont="1" applyFill="1" applyBorder="1" applyAlignment="1">
      <alignment horizontal="left" vertical="center" wrapText="1"/>
    </xf>
    <xf numFmtId="165" fontId="3" fillId="3" borderId="6" xfId="0" applyNumberFormat="1" applyFont="1" applyFill="1" applyBorder="1" applyAlignment="1">
      <alignment horizontal="left" vertical="center" wrapText="1"/>
    </xf>
    <xf numFmtId="165" fontId="3" fillId="3" borderId="8" xfId="0" applyNumberFormat="1" applyFont="1" applyFill="1" applyBorder="1" applyAlignment="1">
      <alignment horizontal="left" vertical="center" wrapText="1"/>
    </xf>
    <xf numFmtId="0" fontId="0" fillId="3" borderId="1" xfId="0" applyFont="1" applyFill="1" applyBorder="1" applyAlignment="1">
      <alignment vertical="top" wrapText="1"/>
    </xf>
  </cellXfs>
  <cellStyles count="1">
    <cellStyle name="Normal" xfId="0" builtinId="0"/>
  </cellStyles>
  <dxfs count="17">
    <dxf>
      <numFmt numFmtId="4" formatCode="#,##0.00"/>
    </dxf>
    <dxf>
      <numFmt numFmtId="4" formatCode="#,##0.00"/>
    </dxf>
    <dxf>
      <numFmt numFmtId="4" formatCode="#,##0.00"/>
    </dxf>
    <dxf>
      <numFmt numFmtId="4" formatCode="#,##0.00"/>
    </dxf>
    <dxf>
      <numFmt numFmtId="164" formatCode="dd\-mmm\-yyyy"/>
    </dxf>
    <dxf>
      <numFmt numFmtId="0" formatCode="General"/>
    </dxf>
    <dxf>
      <numFmt numFmtId="0" formatCode="General"/>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164" formatCode="dd\-mmm\-yyyy"/>
    </dxf>
    <dxf>
      <numFmt numFmtId="164" formatCode="dd\-mmm\-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5.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[Sahil-Sales Dashborard.xlsx]Pivot_Tables!PivotTable3</c:name>
    <c:fmtId val="6"/>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a:t>Monthly Revenue Trend</a:t>
            </a:r>
          </a:p>
        </c:rich>
      </c:tx>
      <c:layout/>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xmlns:c16r2="http://schemas.microsoft.com/office/drawing/2015/06/char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xmlns:c16r2="http://schemas.microsoft.com/office/drawing/2015/06/char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xmlns:c16r2="http://schemas.microsoft.com/office/drawing/2015/06/char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Pivot_Tables!$C$3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Pivot_Tables!$A$4:$B$24</c:f>
              <c:multiLvlStrCache>
                <c:ptCount val="18"/>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January</c:v>
                  </c:pt>
                  <c:pt idx="13">
                    <c:v>February</c:v>
                  </c:pt>
                  <c:pt idx="14">
                    <c:v>March</c:v>
                  </c:pt>
                  <c:pt idx="15">
                    <c:v>April</c:v>
                  </c:pt>
                  <c:pt idx="16">
                    <c:v>May</c:v>
                  </c:pt>
                  <c:pt idx="17">
                    <c:v>June</c:v>
                  </c:pt>
                </c:lvl>
                <c:lvl>
                  <c:pt idx="0">
                    <c:v>2025</c:v>
                  </c:pt>
                  <c:pt idx="12">
                    <c:v>2026</c:v>
                  </c:pt>
                </c:lvl>
              </c:multiLvlStrCache>
            </c:multiLvlStrRef>
          </c:cat>
          <c:val>
            <c:numRef>
              <c:f>Pivot_Tables!$C$4:$C$24</c:f>
              <c:numCache>
                <c:formatCode>#,##0.00</c:formatCode>
                <c:ptCount val="18"/>
                <c:pt idx="0">
                  <c:v>914642.04999999993</c:v>
                </c:pt>
                <c:pt idx="1">
                  <c:v>1080109.0499999996</c:v>
                </c:pt>
                <c:pt idx="2">
                  <c:v>861234.1</c:v>
                </c:pt>
                <c:pt idx="3">
                  <c:v>1054088.4599999997</c:v>
                </c:pt>
                <c:pt idx="4">
                  <c:v>817013.85</c:v>
                </c:pt>
                <c:pt idx="5">
                  <c:v>698205.00999999989</c:v>
                </c:pt>
                <c:pt idx="6">
                  <c:v>1073886.9600000002</c:v>
                </c:pt>
                <c:pt idx="7">
                  <c:v>893658.7200000002</c:v>
                </c:pt>
                <c:pt idx="8">
                  <c:v>1408498.4100000001</c:v>
                </c:pt>
                <c:pt idx="9">
                  <c:v>1120747.21</c:v>
                </c:pt>
                <c:pt idx="10">
                  <c:v>1003787.1499999998</c:v>
                </c:pt>
                <c:pt idx="11">
                  <c:v>1005299.2100000003</c:v>
                </c:pt>
                <c:pt idx="12">
                  <c:v>1003846.1599999997</c:v>
                </c:pt>
                <c:pt idx="13">
                  <c:v>1022432.4900000002</c:v>
                </c:pt>
                <c:pt idx="14">
                  <c:v>1152022.8999999997</c:v>
                </c:pt>
                <c:pt idx="15">
                  <c:v>1309873.9499999997</c:v>
                </c:pt>
                <c:pt idx="16">
                  <c:v>760366.49000000022</c:v>
                </c:pt>
                <c:pt idx="17">
                  <c:v>1060861.5</c:v>
                </c:pt>
              </c:numCache>
            </c:numRef>
          </c:val>
          <c:smooth val="0"/>
          <c:extLst xmlns:c16r2="http://schemas.microsoft.com/office/drawing/2015/06/chart">
            <c:ext xmlns:c16="http://schemas.microsoft.com/office/drawing/2014/chart" uri="{C3380CC4-5D6E-409C-BE32-E72D297353CC}">
              <c16:uniqueId val="{00000000-7A72-4628-A361-6F51731AC613}"/>
            </c:ext>
          </c:extLst>
        </c:ser>
        <c:dLbls>
          <c:showLegendKey val="0"/>
          <c:showVal val="0"/>
          <c:showCatName val="0"/>
          <c:showSerName val="0"/>
          <c:showPercent val="0"/>
          <c:showBubbleSize val="0"/>
        </c:dLbls>
        <c:marker val="1"/>
        <c:smooth val="0"/>
        <c:axId val="202847360"/>
        <c:axId val="202849280"/>
      </c:lineChart>
      <c:catAx>
        <c:axId val="202847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49280"/>
        <c:crosses val="autoZero"/>
        <c:auto val="1"/>
        <c:lblAlgn val="ctr"/>
        <c:lblOffset val="100"/>
        <c:noMultiLvlLbl val="0"/>
      </c:catAx>
      <c:valAx>
        <c:axId val="202849280"/>
        <c:scaling>
          <c:orientation val="minMax"/>
        </c:scaling>
        <c:delete val="0"/>
        <c:axPos val="l"/>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47360"/>
        <c:crosses val="autoZero"/>
        <c:crossBetween val="between"/>
      </c:valAx>
      <c:spPr>
        <a:noFill/>
        <a:ln>
          <a:noFill/>
        </a:ln>
        <a:effectLst/>
      </c:spPr>
    </c:plotArea>
    <c:plotVisOnly val="1"/>
    <c:dispBlanksAs val="gap"/>
    <c:showDLblsOverMax val="0"/>
  </c:chart>
  <c:spPr>
    <a:solidFill>
      <a:srgbClr val="FFFFFF"/>
    </a:solidFill>
    <a:ln w="25400"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a:t>Revenue by Region</a:t>
            </a:r>
          </a:p>
        </c:rich>
      </c:tx>
      <c:layout/>
      <c:overlay val="0"/>
      <c:spPr>
        <a:noFill/>
        <a:ln>
          <a:noFill/>
        </a:ln>
        <a:effectLst/>
      </c:sp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4"/>
              <c:pt idx="0">
                <c:v>East</c:v>
              </c:pt>
              <c:pt idx="1">
                <c:v>North</c:v>
              </c:pt>
              <c:pt idx="2">
                <c:v>South</c:v>
              </c:pt>
              <c:pt idx="3">
                <c:v>West</c:v>
              </c:pt>
            </c:strLit>
          </c:cat>
          <c:val>
            <c:numLit>
              <c:formatCode>General</c:formatCode>
              <c:ptCount val="4"/>
              <c:pt idx="0">
                <c:v>5066636.2300000042</c:v>
              </c:pt>
              <c:pt idx="1">
                <c:v>4154651.2499999995</c:v>
              </c:pt>
              <c:pt idx="2">
                <c:v>5087208.3599999994</c:v>
              </c:pt>
              <c:pt idx="3">
                <c:v>3919476.2799999989</c:v>
              </c:pt>
            </c:numLit>
          </c:val>
          <c:extLst xmlns:c16r2="http://schemas.microsoft.com/office/drawing/2015/06/chart">
            <c:ext xmlns:c16="http://schemas.microsoft.com/office/drawing/2014/chart" uri="{C3380CC4-5D6E-409C-BE32-E72D297353CC}">
              <c16:uniqueId val="{00000000-A3AC-49F7-89EF-6ED73DF5AA12}"/>
            </c:ext>
          </c:extLst>
        </c:ser>
        <c:dLbls>
          <c:showLegendKey val="0"/>
          <c:showVal val="0"/>
          <c:showCatName val="0"/>
          <c:showSerName val="0"/>
          <c:showPercent val="0"/>
          <c:showBubbleSize val="0"/>
        </c:dLbls>
        <c:gapWidth val="219"/>
        <c:overlap val="-27"/>
        <c:axId val="202377088"/>
        <c:axId val="202378624"/>
      </c:barChart>
      <c:catAx>
        <c:axId val="202377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78624"/>
        <c:crosses val="autoZero"/>
        <c:auto val="1"/>
        <c:lblAlgn val="ctr"/>
        <c:lblOffset val="100"/>
        <c:noMultiLvlLbl val="0"/>
      </c:catAx>
      <c:valAx>
        <c:axId val="202378624"/>
        <c:scaling>
          <c:orientation val="minMax"/>
        </c:scaling>
        <c:delete val="0"/>
        <c:axPos val="l"/>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770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[Sahil-Sales Dashborard.xlsx]Pivot_Tables!PivotTable13</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Revenue by Category</a:t>
            </a:r>
          </a:p>
        </c:rich>
      </c:tx>
      <c:layout/>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marker>
          <c:symbol val="none"/>
        </c:marker>
      </c:pivotFmt>
      <c:pivotFmt>
        <c:idx val="17"/>
        <c:spPr>
          <a:solidFill>
            <a:schemeClr val="accent1"/>
          </a:solidFill>
          <a:ln w="19050">
            <a:solidFill>
              <a:schemeClr val="lt1"/>
            </a:solidFill>
          </a:ln>
          <a:effectLst/>
        </c:spPr>
      </c:pivotFmt>
      <c:pivotFmt>
        <c:idx val="18"/>
        <c:spPr>
          <a:solidFill>
            <a:schemeClr val="accent2"/>
          </a:solidFill>
          <a:ln w="19050">
            <a:solidFill>
              <a:schemeClr val="lt1"/>
            </a:solidFill>
          </a:ln>
          <a:effectLst/>
        </c:spPr>
      </c:pivotFmt>
      <c:pivotFmt>
        <c:idx val="19"/>
        <c:spPr>
          <a:solidFill>
            <a:schemeClr val="accent3"/>
          </a:solidFill>
          <a:ln w="19050">
            <a:solidFill>
              <a:schemeClr val="lt1"/>
            </a:solidFill>
          </a:ln>
          <a:effectLst/>
        </c:spPr>
      </c:pivotFmt>
    </c:pivotFmts>
    <c:plotArea>
      <c:layout/>
      <c:doughnutChart>
        <c:varyColors val="1"/>
        <c:ser>
          <c:idx val="0"/>
          <c:order val="0"/>
          <c:tx>
            <c:strRef>
              <c:f>Pivot_Tables!$B$27</c:f>
              <c:strCache>
                <c:ptCount val="1"/>
                <c:pt idx="0">
                  <c:v>Total</c:v>
                </c:pt>
              </c:strCache>
            </c:strRef>
          </c:tx>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1-BDCB-46E5-9793-BCAA54EC52C9}"/>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3-BDCB-46E5-9793-BCAA54EC52C9}"/>
              </c:ext>
            </c:extLst>
          </c:dPt>
          <c:dPt>
            <c:idx val="2"/>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05-BDCB-46E5-9793-BCAA54EC52C9}"/>
              </c:ext>
            </c:extLst>
          </c:dPt>
          <c:cat>
            <c:strRef>
              <c:f>Pivot_Tables!$A$28:$A$31</c:f>
              <c:strCache>
                <c:ptCount val="3"/>
                <c:pt idx="0">
                  <c:v>Electronics</c:v>
                </c:pt>
                <c:pt idx="1">
                  <c:v>Furniture</c:v>
                </c:pt>
                <c:pt idx="2">
                  <c:v>Office Supplies</c:v>
                </c:pt>
              </c:strCache>
            </c:strRef>
          </c:cat>
          <c:val>
            <c:numRef>
              <c:f>Pivot_Tables!$B$28:$B$31</c:f>
              <c:numCache>
                <c:formatCode>#,##0.00</c:formatCode>
                <c:ptCount val="3"/>
                <c:pt idx="0">
                  <c:v>6059849.2599999979</c:v>
                </c:pt>
                <c:pt idx="1">
                  <c:v>6388006.9300000006</c:v>
                </c:pt>
                <c:pt idx="2">
                  <c:v>5780115.9299999969</c:v>
                </c:pt>
              </c:numCache>
            </c:numRef>
          </c:val>
          <c:extLst xmlns:c16r2="http://schemas.microsoft.com/office/drawing/2015/06/chart">
            <c:ext xmlns:c16="http://schemas.microsoft.com/office/drawing/2014/chart" uri="{C3380CC4-5D6E-409C-BE32-E72D297353CC}">
              <c16:uniqueId val="{00000006-BDCB-46E5-9793-BCAA54EC52C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[Sahil-Sales Dashborard.xlsx]Pivot_Tables!PivotTable15</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Top Products</a:t>
            </a:r>
          </a:p>
        </c:rich>
      </c:tx>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bar"/>
        <c:grouping val="clustered"/>
        <c:varyColors val="0"/>
        <c:ser>
          <c:idx val="0"/>
          <c:order val="0"/>
          <c:tx>
            <c:strRef>
              <c:f>Pivot_Tables!$B$40</c:f>
              <c:strCache>
                <c:ptCount val="1"/>
                <c:pt idx="0">
                  <c:v>Total</c:v>
                </c:pt>
              </c:strCache>
            </c:strRef>
          </c:tx>
          <c:spPr>
            <a:solidFill>
              <a:schemeClr val="accent1"/>
            </a:solidFill>
            <a:ln>
              <a:noFill/>
            </a:ln>
            <a:effectLst/>
          </c:spPr>
          <c:invertIfNegative val="0"/>
          <c:cat>
            <c:strRef>
              <c:f>Pivot_Tables!$A$41:$A$51</c:f>
              <c:strCache>
                <c:ptCount val="10"/>
                <c:pt idx="0">
                  <c:v>Bookshelf 150</c:v>
                </c:pt>
                <c:pt idx="1">
                  <c:v>Bookshelf 627</c:v>
                </c:pt>
                <c:pt idx="2">
                  <c:v>Bookshelf 681</c:v>
                </c:pt>
                <c:pt idx="3">
                  <c:v>Headphones 210</c:v>
                </c:pt>
                <c:pt idx="4">
                  <c:v>Headphones 374</c:v>
                </c:pt>
                <c:pt idx="5">
                  <c:v>Keyboard 987</c:v>
                </c:pt>
                <c:pt idx="6">
                  <c:v>Printer Ink 819</c:v>
                </c:pt>
                <c:pt idx="7">
                  <c:v>Table 231</c:v>
                </c:pt>
                <c:pt idx="8">
                  <c:v>Table 232</c:v>
                </c:pt>
                <c:pt idx="9">
                  <c:v>Table 497</c:v>
                </c:pt>
              </c:strCache>
            </c:strRef>
          </c:cat>
          <c:val>
            <c:numRef>
              <c:f>Pivot_Tables!$B$41:$B$51</c:f>
              <c:numCache>
                <c:formatCode>#,##0.00</c:formatCode>
                <c:ptCount val="10"/>
                <c:pt idx="0">
                  <c:v>73639.929999999993</c:v>
                </c:pt>
                <c:pt idx="1">
                  <c:v>67903.960000000006</c:v>
                </c:pt>
                <c:pt idx="2">
                  <c:v>67463.149999999994</c:v>
                </c:pt>
                <c:pt idx="3">
                  <c:v>70165.289999999994</c:v>
                </c:pt>
                <c:pt idx="4">
                  <c:v>77604.509999999995</c:v>
                </c:pt>
                <c:pt idx="5">
                  <c:v>83807.320000000007</c:v>
                </c:pt>
                <c:pt idx="6">
                  <c:v>63361.77</c:v>
                </c:pt>
                <c:pt idx="7">
                  <c:v>64623.9</c:v>
                </c:pt>
                <c:pt idx="8">
                  <c:v>62990.07</c:v>
                </c:pt>
                <c:pt idx="9">
                  <c:v>65947</c:v>
                </c:pt>
              </c:numCache>
            </c:numRef>
          </c:val>
          <c:extLst xmlns:c16r2="http://schemas.microsoft.com/office/drawing/2015/06/chart">
            <c:ext xmlns:c16="http://schemas.microsoft.com/office/drawing/2014/chart" uri="{C3380CC4-5D6E-409C-BE32-E72D297353CC}">
              <c16:uniqueId val="{00000000-219F-43A2-B55C-61C58D125C6F}"/>
            </c:ext>
          </c:extLst>
        </c:ser>
        <c:dLbls>
          <c:showLegendKey val="0"/>
          <c:showVal val="0"/>
          <c:showCatName val="0"/>
          <c:showSerName val="0"/>
          <c:showPercent val="0"/>
          <c:showBubbleSize val="0"/>
        </c:dLbls>
        <c:gapWidth val="182"/>
        <c:axId val="204200960"/>
        <c:axId val="204206848"/>
      </c:barChart>
      <c:catAx>
        <c:axId val="20420096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206848"/>
        <c:crosses val="autoZero"/>
        <c:auto val="1"/>
        <c:lblAlgn val="ctr"/>
        <c:lblOffset val="100"/>
        <c:noMultiLvlLbl val="0"/>
      </c:catAx>
      <c:valAx>
        <c:axId val="204206848"/>
        <c:scaling>
          <c:orientation val="minMax"/>
        </c:scaling>
        <c:delete val="1"/>
        <c:axPos val="t"/>
        <c:numFmt formatCode="#,##0.00" sourceLinked="1"/>
        <c:majorTickMark val="none"/>
        <c:minorTickMark val="none"/>
        <c:tickLblPos val="nextTo"/>
        <c:crossAx val="2042009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[Sahil-Sales Dashborard.xlsx]Pivot_Tables!PivotTable14</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Top Salespersons</a:t>
            </a:r>
          </a:p>
        </c:rich>
      </c:tx>
      <c:layout/>
      <c:overlay val="0"/>
      <c:spPr>
        <a:noFill/>
        <a:ln>
          <a:noFill/>
        </a:ln>
        <a:effectLst/>
      </c:sp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4"/>
        <c:spPr>
          <a:solidFill>
            <a:srgbClr val="0070C0"/>
          </a:solidFill>
          <a:ln>
            <a:noFill/>
          </a:ln>
          <a:effectLst/>
        </c:spPr>
        <c:marker>
          <c:symbol val="none"/>
        </c:marker>
      </c:pivotFmt>
    </c:pivotFmts>
    <c:plotArea>
      <c:layout/>
      <c:barChart>
        <c:barDir val="bar"/>
        <c:grouping val="clustered"/>
        <c:varyColors val="0"/>
        <c:ser>
          <c:idx val="0"/>
          <c:order val="0"/>
          <c:tx>
            <c:strRef>
              <c:f>Pivot_Tables!$G$27</c:f>
              <c:strCache>
                <c:ptCount val="1"/>
                <c:pt idx="0">
                  <c:v>Total</c:v>
                </c:pt>
              </c:strCache>
            </c:strRef>
          </c:tx>
          <c:spPr>
            <a:solidFill>
              <a:srgbClr val="0070C0"/>
            </a:solidFill>
            <a:ln>
              <a:noFill/>
            </a:ln>
            <a:effectLst/>
          </c:spPr>
          <c:invertIfNegative val="0"/>
          <c:cat>
            <c:strRef>
              <c:f>Pivot_Tables!$F$28:$F$36</c:f>
              <c:strCache>
                <c:ptCount val="8"/>
                <c:pt idx="0">
                  <c:v>Riya</c:v>
                </c:pt>
                <c:pt idx="1">
                  <c:v>Karan</c:v>
                </c:pt>
                <c:pt idx="2">
                  <c:v>Priya</c:v>
                </c:pt>
                <c:pt idx="3">
                  <c:v>Neha</c:v>
                </c:pt>
                <c:pt idx="4">
                  <c:v>Vikram</c:v>
                </c:pt>
                <c:pt idx="5">
                  <c:v>Rahul</c:v>
                </c:pt>
                <c:pt idx="6">
                  <c:v>Aman</c:v>
                </c:pt>
                <c:pt idx="7">
                  <c:v>Simran</c:v>
                </c:pt>
              </c:strCache>
            </c:strRef>
          </c:cat>
          <c:val>
            <c:numRef>
              <c:f>Pivot_Tables!$G$28:$G$36</c:f>
              <c:numCache>
                <c:formatCode>#,##0.00</c:formatCode>
                <c:ptCount val="8"/>
                <c:pt idx="0">
                  <c:v>2519580.33</c:v>
                </c:pt>
                <c:pt idx="1">
                  <c:v>2411705.6299999985</c:v>
                </c:pt>
                <c:pt idx="2">
                  <c:v>2367762.9299999997</c:v>
                </c:pt>
                <c:pt idx="3">
                  <c:v>2341508.1700000004</c:v>
                </c:pt>
                <c:pt idx="4">
                  <c:v>2336477.0399999991</c:v>
                </c:pt>
                <c:pt idx="5">
                  <c:v>2286974.2800000003</c:v>
                </c:pt>
                <c:pt idx="6">
                  <c:v>2225711.0399999982</c:v>
                </c:pt>
                <c:pt idx="7">
                  <c:v>1738252.6999999997</c:v>
                </c:pt>
              </c:numCache>
            </c:numRef>
          </c:val>
          <c:extLst xmlns:c16r2="http://schemas.microsoft.com/office/drawing/2015/06/chart">
            <c:ext xmlns:c16="http://schemas.microsoft.com/office/drawing/2014/chart" uri="{C3380CC4-5D6E-409C-BE32-E72D297353CC}">
              <c16:uniqueId val="{00000000-1A4C-43FB-9587-E51A7016183D}"/>
            </c:ext>
          </c:extLst>
        </c:ser>
        <c:dLbls>
          <c:showLegendKey val="0"/>
          <c:showVal val="0"/>
          <c:showCatName val="0"/>
          <c:showSerName val="0"/>
          <c:showPercent val="0"/>
          <c:showBubbleSize val="0"/>
        </c:dLbls>
        <c:gapWidth val="182"/>
        <c:axId val="204260864"/>
        <c:axId val="204262400"/>
      </c:barChart>
      <c:catAx>
        <c:axId val="20426086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262400"/>
        <c:crosses val="autoZero"/>
        <c:auto val="1"/>
        <c:lblAlgn val="ctr"/>
        <c:lblOffset val="100"/>
        <c:noMultiLvlLbl val="0"/>
      </c:catAx>
      <c:valAx>
        <c:axId val="204262400"/>
        <c:scaling>
          <c:orientation val="minMax"/>
        </c:scaling>
        <c:delete val="1"/>
        <c:axPos val="t"/>
        <c:numFmt formatCode="#,##0.00" sourceLinked="1"/>
        <c:majorTickMark val="none"/>
        <c:minorTickMark val="none"/>
        <c:tickLblPos val="nextTo"/>
        <c:crossAx val="2042608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[Sahil-Sales Dashborard.xlsx]Pivot_Tables!PivotTable16</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Revenue by Channel</a:t>
            </a:r>
          </a:p>
        </c:rich>
      </c:tx>
      <c:layout/>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marker>
          <c:symbol val="none"/>
        </c:marker>
      </c:pivotFmt>
      <c:pivotFmt>
        <c:idx val="17"/>
        <c:spPr>
          <a:solidFill>
            <a:schemeClr val="accent1"/>
          </a:solidFill>
          <a:ln w="19050">
            <a:solidFill>
              <a:schemeClr val="lt1"/>
            </a:solidFill>
          </a:ln>
          <a:effectLst/>
        </c:spPr>
      </c:pivotFmt>
      <c:pivotFmt>
        <c:idx val="18"/>
        <c:spPr>
          <a:solidFill>
            <a:schemeClr val="accent2"/>
          </a:solidFill>
          <a:ln w="19050">
            <a:solidFill>
              <a:schemeClr val="lt1"/>
            </a:solidFill>
          </a:ln>
          <a:effectLst/>
        </c:spPr>
      </c:pivotFmt>
      <c:pivotFmt>
        <c:idx val="19"/>
        <c:spPr>
          <a:solidFill>
            <a:schemeClr val="accent3"/>
          </a:solidFill>
          <a:ln w="19050">
            <a:solidFill>
              <a:schemeClr val="lt1"/>
            </a:solidFill>
          </a:ln>
          <a:effectLst/>
        </c:spPr>
      </c:pivotFmt>
    </c:pivotFmts>
    <c:plotArea>
      <c:layout/>
      <c:pieChart>
        <c:varyColors val="1"/>
        <c:ser>
          <c:idx val="0"/>
          <c:order val="0"/>
          <c:tx>
            <c:strRef>
              <c:f>Pivot_Tables!$G$40</c:f>
              <c:strCache>
                <c:ptCount val="1"/>
                <c:pt idx="0">
                  <c:v>Total</c:v>
                </c:pt>
              </c:strCache>
            </c:strRef>
          </c:tx>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1-B9AB-48CA-BD32-4666EB4341C5}"/>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3-B9AB-48CA-BD32-4666EB4341C5}"/>
              </c:ext>
            </c:extLst>
          </c:dPt>
          <c:dPt>
            <c:idx val="2"/>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05-B9AB-48CA-BD32-4666EB4341C5}"/>
              </c:ext>
            </c:extLst>
          </c:dPt>
          <c:cat>
            <c:strRef>
              <c:f>Pivot_Tables!$F$41:$F$44</c:f>
              <c:strCache>
                <c:ptCount val="3"/>
                <c:pt idx="0">
                  <c:v>Distributor</c:v>
                </c:pt>
                <c:pt idx="1">
                  <c:v>Online</c:v>
                </c:pt>
                <c:pt idx="2">
                  <c:v>Retail</c:v>
                </c:pt>
              </c:strCache>
            </c:strRef>
          </c:cat>
          <c:val>
            <c:numRef>
              <c:f>Pivot_Tables!$G$41:$G$44</c:f>
              <c:numCache>
                <c:formatCode>#,##0.00</c:formatCode>
                <c:ptCount val="3"/>
                <c:pt idx="0">
                  <c:v>6471907.9999999972</c:v>
                </c:pt>
                <c:pt idx="1">
                  <c:v>5302219.8600000022</c:v>
                </c:pt>
                <c:pt idx="2">
                  <c:v>6453844.259999997</c:v>
                </c:pt>
              </c:numCache>
            </c:numRef>
          </c:val>
          <c:extLst xmlns:c16r2="http://schemas.microsoft.com/office/drawing/2015/06/chart">
            <c:ext xmlns:c16="http://schemas.microsoft.com/office/drawing/2014/chart" uri="{C3380CC4-5D6E-409C-BE32-E72D297353CC}">
              <c16:uniqueId val="{00000006-B9AB-48CA-BD32-4666EB4341C5}"/>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[Sahil-Sales Dashborard.xlsx]Pivot_Tables!PivotTable17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Category</a:t>
            </a:r>
          </a:p>
        </c:rich>
      </c:tx>
      <c:layout/>
      <c:overlay val="0"/>
      <c:spPr>
        <a:noFill/>
        <a:ln>
          <a:noFill/>
        </a:ln>
        <a:effectLst/>
      </c:sp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5"/>
        <c:spPr>
          <a:solidFill>
            <a:schemeClr val="accent1"/>
          </a:solidFill>
          <a:ln>
            <a:solidFill>
              <a:srgbClr val="92D050"/>
            </a:solidFill>
          </a:ln>
          <a:effectLst/>
        </c:spPr>
        <c:marker>
          <c:symbol val="none"/>
        </c:marker>
      </c:pivotFmt>
      <c:pivotFmt>
        <c:idx val="6"/>
        <c:spPr>
          <a:solidFill>
            <a:srgbClr val="92D050"/>
          </a:solidFill>
          <a:ln>
            <a:solidFill>
              <a:srgbClr val="92D050"/>
            </a:solidFill>
          </a:ln>
          <a:effectLst/>
        </c:spPr>
      </c:pivotFmt>
      <c:pivotFmt>
        <c:idx val="7"/>
        <c:spPr>
          <a:solidFill>
            <a:srgbClr val="92D050"/>
          </a:solidFill>
          <a:ln>
            <a:solidFill>
              <a:srgbClr val="92D050"/>
            </a:solidFill>
          </a:ln>
          <a:effectLst/>
        </c:spPr>
      </c:pivotFmt>
      <c:pivotFmt>
        <c:idx val="8"/>
        <c:spPr>
          <a:solidFill>
            <a:srgbClr val="92D050"/>
          </a:solidFill>
          <a:ln>
            <a:solidFill>
              <a:srgbClr val="92D050"/>
            </a:solidFill>
          </a:ln>
          <a:effectLst/>
        </c:spPr>
      </c:pivotFmt>
    </c:pivotFmts>
    <c:plotArea>
      <c:layout/>
      <c:barChart>
        <c:barDir val="bar"/>
        <c:grouping val="clustered"/>
        <c:varyColors val="0"/>
        <c:ser>
          <c:idx val="0"/>
          <c:order val="0"/>
          <c:tx>
            <c:strRef>
              <c:f>Pivot_Tables!$B$54</c:f>
              <c:strCache>
                <c:ptCount val="1"/>
                <c:pt idx="0">
                  <c:v>Total</c:v>
                </c:pt>
              </c:strCache>
            </c:strRef>
          </c:tx>
          <c:spPr>
            <a:solidFill>
              <a:schemeClr val="accent1"/>
            </a:solidFill>
            <a:ln>
              <a:solidFill>
                <a:srgbClr val="92D050"/>
              </a:solidFill>
            </a:ln>
            <a:effectLst/>
          </c:spPr>
          <c:invertIfNegative val="0"/>
          <c:dPt>
            <c:idx val="0"/>
            <c:invertIfNegative val="0"/>
            <c:bubble3D val="0"/>
            <c:spPr>
              <a:solidFill>
                <a:srgbClr val="92D050"/>
              </a:solidFill>
              <a:ln>
                <a:solidFill>
                  <a:srgbClr val="92D050"/>
                </a:solidFill>
              </a:ln>
              <a:effectLst/>
            </c:spPr>
          </c:dPt>
          <c:dPt>
            <c:idx val="1"/>
            <c:invertIfNegative val="0"/>
            <c:bubble3D val="0"/>
            <c:spPr>
              <a:solidFill>
                <a:srgbClr val="92D050"/>
              </a:solidFill>
              <a:ln>
                <a:solidFill>
                  <a:srgbClr val="92D050"/>
                </a:solidFill>
              </a:ln>
              <a:effectLst/>
            </c:spPr>
          </c:dPt>
          <c:dPt>
            <c:idx val="2"/>
            <c:invertIfNegative val="0"/>
            <c:bubble3D val="0"/>
            <c:spPr>
              <a:solidFill>
                <a:srgbClr val="92D050"/>
              </a:solidFill>
              <a:ln>
                <a:solidFill>
                  <a:srgbClr val="92D050"/>
                </a:solidFill>
              </a:ln>
              <a:effectLst/>
            </c:spPr>
          </c:dPt>
          <c:cat>
            <c:strRef>
              <c:f>Pivot_Tables!$A$55:$A$58</c:f>
              <c:strCache>
                <c:ptCount val="3"/>
                <c:pt idx="0">
                  <c:v>Electronics</c:v>
                </c:pt>
                <c:pt idx="1">
                  <c:v>Furniture</c:v>
                </c:pt>
                <c:pt idx="2">
                  <c:v>Office Supplies</c:v>
                </c:pt>
              </c:strCache>
            </c:strRef>
          </c:cat>
          <c:val>
            <c:numRef>
              <c:f>Pivot_Tables!$B$55:$B$58</c:f>
              <c:numCache>
                <c:formatCode>#,##0.00</c:formatCode>
                <c:ptCount val="3"/>
                <c:pt idx="0">
                  <c:v>1913920.8299999996</c:v>
                </c:pt>
                <c:pt idx="1">
                  <c:v>2022017.0399999991</c:v>
                </c:pt>
                <c:pt idx="2">
                  <c:v>1835691.4100000008</c:v>
                </c:pt>
              </c:numCache>
            </c:numRef>
          </c:val>
          <c:extLst xmlns:c16r2="http://schemas.microsoft.com/office/drawing/2015/06/chart">
            <c:ext xmlns:c16="http://schemas.microsoft.com/office/drawing/2014/chart" uri="{C3380CC4-5D6E-409C-BE32-E72D297353CC}">
              <c16:uniqueId val="{00000000-36E8-4E53-8C0E-BC6A698CA6DD}"/>
            </c:ext>
          </c:extLst>
        </c:ser>
        <c:dLbls>
          <c:showLegendKey val="0"/>
          <c:showVal val="0"/>
          <c:showCatName val="0"/>
          <c:showSerName val="0"/>
          <c:showPercent val="0"/>
          <c:showBubbleSize val="0"/>
        </c:dLbls>
        <c:gapWidth val="182"/>
        <c:axId val="204449664"/>
        <c:axId val="204451200"/>
      </c:barChart>
      <c:catAx>
        <c:axId val="20444966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51200"/>
        <c:crosses val="autoZero"/>
        <c:auto val="1"/>
        <c:lblAlgn val="ctr"/>
        <c:lblOffset val="100"/>
        <c:noMultiLvlLbl val="0"/>
      </c:catAx>
      <c:valAx>
        <c:axId val="204451200"/>
        <c:scaling>
          <c:orientation val="minMax"/>
        </c:scaling>
        <c:delete val="1"/>
        <c:axPos val="t"/>
        <c:numFmt formatCode="#,##0.00" sourceLinked="1"/>
        <c:majorTickMark val="none"/>
        <c:minorTickMark val="none"/>
        <c:tickLblPos val="nextTo"/>
        <c:crossAx val="2044496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sVisible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576943</xdr:colOff>
      <xdr:row>11</xdr:row>
      <xdr:rowOff>32657</xdr:rowOff>
    </xdr:from>
    <xdr:to>
      <xdr:col>23</xdr:col>
      <xdr:colOff>129268</xdr:colOff>
      <xdr:row>21</xdr:row>
      <xdr:rowOff>23133</xdr:rowOff>
    </xdr:to>
    <xdr:graphicFrame macro="">
      <xdr:nvGraphicFramePr>
        <xdr:cNvPr id="3" name="Chart 2">
          <a:extLst>
            <a:ext uri="{FF2B5EF4-FFF2-40B4-BE49-F238E27FC236}">
              <a16:creationId xmlns="" xmlns:a16="http://schemas.microsoft.com/office/drawing/2014/main" id="{D67EC81C-72EE-4342-8B60-CFBD1F90479E}"/>
            </a:ext>
            <a:ext uri="{147F2762-F138-4A5C-976F-8EAC2B608ADB}">
              <a16:predDERef xmlns="" xmlns:a16="http://schemas.microsoft.com/office/drawing/2014/main" pred="{D7A910CA-F750-495E-B1B8-CF487BCAE7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615043</xdr:colOff>
      <xdr:row>22</xdr:row>
      <xdr:rowOff>119743</xdr:rowOff>
    </xdr:from>
    <xdr:to>
      <xdr:col>7</xdr:col>
      <xdr:colOff>24493</xdr:colOff>
      <xdr:row>35</xdr:row>
      <xdr:rowOff>96611</xdr:rowOff>
    </xdr:to>
    <xdr:graphicFrame macro="">
      <xdr:nvGraphicFramePr>
        <xdr:cNvPr id="4" name="Chart 3">
          <a:extLst>
            <a:ext uri="{FF2B5EF4-FFF2-40B4-BE49-F238E27FC236}">
              <a16:creationId xmlns="" xmlns:a16="http://schemas.microsoft.com/office/drawing/2014/main" id="{E738C0C6-AD63-4EDB-B5ED-6E8641FD1AB7}"/>
            </a:ext>
            <a:ext uri="{147F2762-F138-4A5C-976F-8EAC2B608ADB}">
              <a16:predDERef xmlns="" xmlns:a16="http://schemas.microsoft.com/office/drawing/2014/main" pred="{D67EC81C-72EE-4342-8B60-CFBD1F9047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141514</xdr:colOff>
      <xdr:row>22</xdr:row>
      <xdr:rowOff>115660</xdr:rowOff>
    </xdr:from>
    <xdr:to>
      <xdr:col>16</xdr:col>
      <xdr:colOff>398689</xdr:colOff>
      <xdr:row>35</xdr:row>
      <xdr:rowOff>54428</xdr:rowOff>
    </xdr:to>
    <xdr:graphicFrame macro="">
      <xdr:nvGraphicFramePr>
        <xdr:cNvPr id="2" name="Chart 1">
          <a:extLst>
            <a:ext uri="{FF2B5EF4-FFF2-40B4-BE49-F238E27FC236}">
              <a16:creationId xmlns="" xmlns:a16="http://schemas.microsoft.com/office/drawing/2014/main" id="{73D235CC-F44F-4F48-851E-9311C0AE3120}"/>
            </a:ext>
            <a:ext uri="{147F2762-F138-4A5C-976F-8EAC2B608ADB}">
              <a16:predDERef xmlns="" xmlns:a16="http://schemas.microsoft.com/office/drawing/2014/main" pred="{E738C0C6-AD63-4EDB-B5ED-6E8641FD1A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597353</xdr:colOff>
      <xdr:row>37</xdr:row>
      <xdr:rowOff>31296</xdr:rowOff>
    </xdr:from>
    <xdr:to>
      <xdr:col>7</xdr:col>
      <xdr:colOff>54428</xdr:colOff>
      <xdr:row>47</xdr:row>
      <xdr:rowOff>50346</xdr:rowOff>
    </xdr:to>
    <xdr:graphicFrame macro="">
      <xdr:nvGraphicFramePr>
        <xdr:cNvPr id="5" name="Chart 4">
          <a:extLst>
            <a:ext uri="{FF2B5EF4-FFF2-40B4-BE49-F238E27FC236}">
              <a16:creationId xmlns="" xmlns:a16="http://schemas.microsoft.com/office/drawing/2014/main" id="{950E1C92-A5F2-46E2-819A-BA9876589B81}"/>
            </a:ext>
            <a:ext uri="{147F2762-F138-4A5C-976F-8EAC2B608ADB}">
              <a16:predDERef xmlns="" xmlns:a16="http://schemas.microsoft.com/office/drawing/2014/main" pred="{73D235CC-F44F-4F48-851E-9311C0AE31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104775</xdr:colOff>
      <xdr:row>37</xdr:row>
      <xdr:rowOff>73478</xdr:rowOff>
    </xdr:from>
    <xdr:to>
      <xdr:col>16</xdr:col>
      <xdr:colOff>333375</xdr:colOff>
      <xdr:row>47</xdr:row>
      <xdr:rowOff>141514</xdr:rowOff>
    </xdr:to>
    <xdr:graphicFrame macro="">
      <xdr:nvGraphicFramePr>
        <xdr:cNvPr id="6" name="Chart 5">
          <a:extLst>
            <a:ext uri="{FF2B5EF4-FFF2-40B4-BE49-F238E27FC236}">
              <a16:creationId xmlns="" xmlns:a16="http://schemas.microsoft.com/office/drawing/2014/main" id="{6DE28060-EB0B-4E1C-B5DC-9829555D8046}"/>
            </a:ext>
            <a:ext uri="{147F2762-F138-4A5C-976F-8EAC2B608ADB}">
              <a16:predDERef xmlns="" xmlns:a16="http://schemas.microsoft.com/office/drawing/2014/main" pred="{950E1C92-A5F2-46E2-819A-BA9876589B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559254</xdr:colOff>
      <xdr:row>48</xdr:row>
      <xdr:rowOff>92529</xdr:rowOff>
    </xdr:from>
    <xdr:to>
      <xdr:col>6</xdr:col>
      <xdr:colOff>578304</xdr:colOff>
      <xdr:row>59</xdr:row>
      <xdr:rowOff>133351</xdr:rowOff>
    </xdr:to>
    <xdr:graphicFrame macro="">
      <xdr:nvGraphicFramePr>
        <xdr:cNvPr id="7" name="Chart 6">
          <a:extLst>
            <a:ext uri="{FF2B5EF4-FFF2-40B4-BE49-F238E27FC236}">
              <a16:creationId xmlns="" xmlns:a16="http://schemas.microsoft.com/office/drawing/2014/main" id="{3001EB9C-A9BE-463F-A8A0-97B2487F02AB}"/>
            </a:ext>
            <a:ext uri="{147F2762-F138-4A5C-976F-8EAC2B608ADB}">
              <a16:predDERef xmlns="" xmlns:a16="http://schemas.microsoft.com/office/drawing/2014/main" pred="{6DE28060-EB0B-4E1C-B5DC-9829555D80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127907</xdr:colOff>
      <xdr:row>49</xdr:row>
      <xdr:rowOff>5442</xdr:rowOff>
    </xdr:from>
    <xdr:to>
      <xdr:col>16</xdr:col>
      <xdr:colOff>299357</xdr:colOff>
      <xdr:row>60</xdr:row>
      <xdr:rowOff>84364</xdr:rowOff>
    </xdr:to>
    <xdr:graphicFrame macro="">
      <xdr:nvGraphicFramePr>
        <xdr:cNvPr id="8" name="Chart 7">
          <a:extLst>
            <a:ext uri="{FF2B5EF4-FFF2-40B4-BE49-F238E27FC236}">
              <a16:creationId xmlns="" xmlns:a16="http://schemas.microsoft.com/office/drawing/2014/main" id="{F9B2B6CB-EF20-446D-B16A-7A6B7DF84A08}"/>
            </a:ext>
            <a:ext uri="{147F2762-F138-4A5C-976F-8EAC2B608ADB}">
              <a16:predDERef xmlns="" xmlns:a16="http://schemas.microsoft.com/office/drawing/2014/main" pred="{3001EB9C-A9BE-463F-A8A0-97B2487F02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20</xdr:col>
      <xdr:colOff>293915</xdr:colOff>
      <xdr:row>25</xdr:row>
      <xdr:rowOff>32660</xdr:rowOff>
    </xdr:from>
    <xdr:to>
      <xdr:col>23</xdr:col>
      <xdr:colOff>65315</xdr:colOff>
      <xdr:row>30</xdr:row>
      <xdr:rowOff>21773</xdr:rowOff>
    </xdr:to>
    <mc:AlternateContent xmlns:mc="http://schemas.openxmlformats.org/markup-compatibility/2006" xmlns:a14="http://schemas.microsoft.com/office/drawing/2010/main">
      <mc:Choice Requires="a14">
        <xdr:graphicFrame macro="">
          <xdr:nvGraphicFramePr>
            <xdr:cNvPr id="14"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4045774" y="4954284"/>
              <a:ext cx="1600200" cy="885583"/>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283028</xdr:colOff>
      <xdr:row>30</xdr:row>
      <xdr:rowOff>141513</xdr:rowOff>
    </xdr:from>
    <xdr:to>
      <xdr:col>23</xdr:col>
      <xdr:colOff>21771</xdr:colOff>
      <xdr:row>38</xdr:row>
      <xdr:rowOff>119743</xdr:rowOff>
    </xdr:to>
    <mc:AlternateContent xmlns:mc="http://schemas.openxmlformats.org/markup-compatibility/2006" xmlns:a14="http://schemas.microsoft.com/office/drawing/2010/main">
      <mc:Choice Requires="a14">
        <xdr:graphicFrame macro="">
          <xdr:nvGraphicFramePr>
            <xdr:cNvPr id="15"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034887" y="5959607"/>
              <a:ext cx="1567543" cy="1412583"/>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261257</xdr:colOff>
      <xdr:row>39</xdr:row>
      <xdr:rowOff>65316</xdr:rowOff>
    </xdr:from>
    <xdr:to>
      <xdr:col>23</xdr:col>
      <xdr:colOff>32657</xdr:colOff>
      <xdr:row>46</xdr:row>
      <xdr:rowOff>0</xdr:rowOff>
    </xdr:to>
    <mc:AlternateContent xmlns:mc="http://schemas.openxmlformats.org/markup-compatibility/2006" xmlns:a14="http://schemas.microsoft.com/office/drawing/2010/main">
      <mc:Choice Requires="a14">
        <xdr:graphicFrame macro="">
          <xdr:nvGraphicFramePr>
            <xdr:cNvPr id="16"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4013116" y="7497057"/>
              <a:ext cx="1600200" cy="1189743"/>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261256</xdr:colOff>
      <xdr:row>46</xdr:row>
      <xdr:rowOff>119744</xdr:rowOff>
    </xdr:from>
    <xdr:to>
      <xdr:col>23</xdr:col>
      <xdr:colOff>21771</xdr:colOff>
      <xdr:row>51</xdr:row>
      <xdr:rowOff>141515</xdr:rowOff>
    </xdr:to>
    <mc:AlternateContent xmlns:mc="http://schemas.openxmlformats.org/markup-compatibility/2006" xmlns:a14="http://schemas.microsoft.com/office/drawing/2010/main">
      <mc:Choice Requires="a14">
        <xdr:graphicFrame macro="">
          <xdr:nvGraphicFramePr>
            <xdr:cNvPr id="17" name="Salesperson"/>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14013115" y="8806544"/>
              <a:ext cx="1589315" cy="909277"/>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250374</xdr:colOff>
      <xdr:row>52</xdr:row>
      <xdr:rowOff>97972</xdr:rowOff>
    </xdr:from>
    <xdr:to>
      <xdr:col>23</xdr:col>
      <xdr:colOff>87088</xdr:colOff>
      <xdr:row>59</xdr:row>
      <xdr:rowOff>76202</xdr:rowOff>
    </xdr:to>
    <mc:AlternateContent xmlns:mc="http://schemas.openxmlformats.org/markup-compatibility/2006" xmlns:a14="http://schemas.microsoft.com/office/drawing/2010/main">
      <mc:Choice Requires="a14">
        <xdr:graphicFrame macro="">
          <xdr:nvGraphicFramePr>
            <xdr:cNvPr id="18" name="Channel 1"/>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mlns="">
        <xdr:sp macro="" textlink="">
          <xdr:nvSpPr>
            <xdr:cNvPr id="0" name=""/>
            <xdr:cNvSpPr>
              <a:spLocks noTextEdit="1"/>
            </xdr:cNvSpPr>
          </xdr:nvSpPr>
          <xdr:spPr>
            <a:xfrm>
              <a:off x="14002233" y="9851572"/>
              <a:ext cx="1665514" cy="1233289"/>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oneCellAnchor>
    <xdr:from>
      <xdr:col>20</xdr:col>
      <xdr:colOff>315687</xdr:colOff>
      <xdr:row>22</xdr:row>
      <xdr:rowOff>163287</xdr:rowOff>
    </xdr:from>
    <xdr:ext cx="892628" cy="391885"/>
    <xdr:sp macro="" textlink="">
      <xdr:nvSpPr>
        <xdr:cNvPr id="19" name="TextBox 18"/>
        <xdr:cNvSpPr txBox="1"/>
      </xdr:nvSpPr>
      <xdr:spPr>
        <a:xfrm>
          <a:off x="14075230" y="4680858"/>
          <a:ext cx="892628" cy="391885"/>
        </a:xfrm>
        <a:prstGeom prst="rect">
          <a:avLst/>
        </a:prstGeom>
        <a:solidFill>
          <a:schemeClr val="tx2">
            <a:lumMod val="20000"/>
            <a:lumOff val="80000"/>
          </a:schemeClr>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2400">
              <a:solidFill>
                <a:schemeClr val="tx1"/>
              </a:solidFill>
            </a:rPr>
            <a:t>Filters</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Excel Services" refreshedDate="46214.666079050927" createdVersion="8" refreshedVersion="8" minRefreshableVersion="3" recordCount="999">
  <cacheSource type="worksheet">
    <worksheetSource ref="A1:S1000" sheet="SalesData"/>
  </cacheSource>
  <cacheFields count="19">
    <cacheField name="Order ID" numFmtId="0">
      <sharedItems/>
    </cacheField>
    <cacheField name="Order Date" numFmtId="164">
      <sharedItems containsSemiMixedTypes="0" containsNonDate="0" containsDate="1" containsString="0" minDate="2025-01-01T00:00:00" maxDate="2026-07-01T00:00:00"/>
    </cacheField>
    <cacheField name="Region" numFmtId="0">
      <sharedItems count="4">
        <s v="West"/>
        <s v="North"/>
        <s v="South"/>
        <s v="East"/>
      </sharedItems>
    </cacheField>
    <cacheField name="State" numFmtId="0">
      <sharedItems/>
    </cacheField>
    <cacheField name="Salesperson" numFmtId="0">
      <sharedItems count="8">
        <s v="Neha"/>
        <s v="Simran"/>
        <s v="Karan"/>
        <s v="Aman"/>
        <s v="Riya"/>
        <s v="Vikram"/>
        <s v="Rahul"/>
        <s v="Priya"/>
      </sharedItems>
    </cacheField>
    <cacheField name="Customer Segment" numFmtId="0">
      <sharedItems count="3">
        <s v="Corporate"/>
        <s v="Consumer"/>
        <s v="Small Business"/>
      </sharedItems>
    </cacheField>
    <cacheField name="Category" numFmtId="0">
      <sharedItems count="3">
        <s v="Electronics"/>
        <s v="Furniture"/>
        <s v="Office Supplies"/>
      </sharedItems>
    </cacheField>
    <cacheField name="Sub-Category" numFmtId="0">
      <sharedItems/>
    </cacheField>
    <cacheField name="Product" numFmtId="0">
      <sharedItems count="957">
        <s v="Monitor 977"/>
        <s v="Keyboard 106"/>
        <s v="Desk 729"/>
        <s v="Notebook 529"/>
        <s v="Folders 214"/>
        <s v="Mouse 811"/>
        <s v="Notebook 563"/>
        <s v="Table 945"/>
        <s v="Pens 263"/>
        <s v="Bookshelf 801"/>
        <s v="Bookshelf 923"/>
        <s v="Folders 718"/>
        <s v="Keyboard 343"/>
        <s v="Table 196"/>
        <s v="Monitor 553"/>
        <s v="Notebook 986"/>
        <s v="Chair 892"/>
        <s v="Folders 124"/>
        <s v="Monitor 310"/>
        <s v="Desk 591"/>
        <s v="Desk 319"/>
        <s v="Desk 988"/>
        <s v="Desk 832"/>
        <s v="Cabinet 739"/>
        <s v="Desk 548"/>
        <s v="Table 231"/>
        <s v="Monitor 993"/>
        <s v="Mouse 698"/>
        <s v="Folders 978"/>
        <s v="Keyboard 708"/>
        <s v="Paper 900"/>
        <s v="Bookshelf 409"/>
        <s v="Table 762"/>
        <s v="Cabinet 255"/>
        <s v="Bookshelf 578"/>
        <s v="Headphones 959"/>
        <s v="Folders 391"/>
        <s v="Chair 798"/>
        <s v="Folders 463"/>
        <s v="Monitor 190"/>
        <s v="Mouse 139"/>
        <s v="Desk 827"/>
        <s v="Paper 634"/>
        <s v="Paper 843"/>
        <s v="Folders 924"/>
        <s v="Table 721"/>
        <s v="Cabinet 458"/>
        <s v="Printer Ink 873"/>
        <s v="Chair 470"/>
        <s v="Bookshelf 990"/>
        <s v="Monitor 114"/>
        <s v="Printer Ink 219"/>
        <s v="Laptop 321"/>
        <s v="Monitor 601"/>
        <s v="Paper 813"/>
        <s v="Headphones 910"/>
        <s v="Pens 384"/>
        <s v="Chair 861"/>
        <s v="Headphones 637"/>
        <s v="Paper 262"/>
        <s v="Notebook 785"/>
        <s v="Desk 469"/>
        <s v="Printer Ink 841"/>
        <s v="Chair 319"/>
        <s v="Pens 674"/>
        <s v="Table 245"/>
        <s v="Chair 134"/>
        <s v="Paper 723"/>
        <s v="Bookshelf 305"/>
        <s v="Paper 971"/>
        <s v="Headphones 943"/>
        <s v="Notebook 347"/>
        <s v="Paper 713"/>
        <s v="Bookshelf 557"/>
        <s v="Folders 754"/>
        <s v="Laptop 894"/>
        <s v="Folders 493"/>
        <s v="Mouse 893"/>
        <s v="Printer Ink 539"/>
        <s v="Monitor 668"/>
        <s v="Paper 687"/>
        <s v="Headphones 784"/>
        <s v="Monitor 195"/>
        <s v="Notebook 465"/>
        <s v="Bookshelf 886"/>
        <s v="Headphones 615"/>
        <s v="Desk 202"/>
        <s v="Chair 997"/>
        <s v="Bookshelf 751"/>
        <s v="Printer Ink 413"/>
        <s v="Bookshelf 729"/>
        <s v="Mouse 209"/>
        <s v="Paper 376"/>
        <s v="Keyboard 412"/>
        <s v="Printer Ink 710"/>
        <s v="Mouse 795"/>
        <s v="Mouse 787"/>
        <s v="Mouse 670"/>
        <s v="Headphones 827"/>
        <s v="Desk 569"/>
        <s v="Keyboard 608"/>
        <s v="Bookshelf 175"/>
        <s v="Headphones 255"/>
        <s v="Keyboard 705"/>
        <s v="Headphones 855"/>
        <s v="Keyboard 475"/>
        <s v="Notebook 490"/>
        <s v="Monitor 421"/>
        <s v="Laptop 694"/>
        <s v="Cabinet 383"/>
        <s v="Desk 253"/>
        <s v="Mouse 551"/>
        <s v="Printer Ink 171"/>
        <s v="Paper 446"/>
        <s v="Folders 427"/>
        <s v="Headphones 977"/>
        <s v="Paper 978"/>
        <s v="Monitor 876"/>
        <s v="Table 525"/>
        <s v="Mouse 195"/>
        <s v="Headphones 297"/>
        <s v="Table 544"/>
        <s v="Cabinet 979"/>
        <s v="Chair 176"/>
        <s v="Monitor 404"/>
        <s v="Cabinet 756"/>
        <s v="Monitor 307"/>
        <s v="Mouse 675"/>
        <s v="Folders 713"/>
        <s v="Table 536"/>
        <s v="Cabinet 354"/>
        <s v="Monitor 943"/>
        <s v="Desk 793"/>
        <s v="Desk 458"/>
        <s v="Desk 480"/>
        <s v="Cabinet 217"/>
        <s v="Mouse 886"/>
        <s v="Notebook 493"/>
        <s v="Keyboard 126"/>
        <s v="Notebook 702"/>
        <s v="Folders 102"/>
        <s v="Folders 688"/>
        <s v="Mouse 560"/>
        <s v="Notebook 418"/>
        <s v="Printer Ink 694"/>
        <s v="Notebook 161"/>
        <s v="Pens 538"/>
        <s v="Mouse 579"/>
        <s v="Monitor 465"/>
        <s v="Notebook 978"/>
        <s v="Desk 758"/>
        <s v="Paper 905"/>
        <s v="Notebook 639"/>
        <s v="Headphones 174"/>
        <s v="Cabinet 469"/>
        <s v="Desk 602"/>
        <s v="Pens 738"/>
        <s v="Pens 252"/>
        <s v="Table 229"/>
        <s v="Mouse 234"/>
        <s v="Desk 848"/>
        <s v="Bookshelf 982"/>
        <s v="Laptop 234"/>
        <s v="Table 699"/>
        <s v="Paper 393"/>
        <s v="Table 497"/>
        <s v="Folders 506"/>
        <s v="Printer Ink 926"/>
        <s v="Notebook 894"/>
        <s v="Notebook 801"/>
        <s v="Pens 518"/>
        <s v="Bookshelf 744"/>
        <s v="Desk 936"/>
        <s v="Headphones 791"/>
        <s v="Folders 405"/>
        <s v="Bookshelf 810"/>
        <s v="Laptop 973"/>
        <s v="Bookshelf 672"/>
        <s v="Monitor 230"/>
        <s v="Mouse 989"/>
        <s v="Keyboard 362"/>
        <s v="Keyboard 202"/>
        <s v="Monitor 444"/>
        <s v="Cabinet 740"/>
        <s v="Notebook 632"/>
        <s v="Folders 590"/>
        <s v="Laptop 713"/>
        <s v="Desk 221"/>
        <s v="Table 314"/>
        <s v="Desk 686"/>
        <s v="Printer Ink 904"/>
        <s v="Paper 835"/>
        <s v="Bookshelf 150"/>
        <s v="Laptop 458"/>
        <s v="Folders 368"/>
        <s v="Desk 389"/>
        <s v="Paper 487"/>
        <s v="Desk 803"/>
        <s v="Chair 668"/>
        <s v="Mouse 624"/>
        <s v="Desk 120"/>
        <s v="Monitor 171"/>
        <s v="Table 382"/>
        <s v="Notebook 303"/>
        <s v="Monitor 101"/>
        <s v="Cabinet 518"/>
        <s v="Keyboard 513"/>
        <s v="Mouse 381"/>
        <s v="Pens 366"/>
        <s v="Mouse 594"/>
        <s v="Chair 895"/>
        <s v="Headphones 437"/>
        <s v="Cabinet 179"/>
        <s v="Headphones 355"/>
        <s v="Laptop 647"/>
        <s v="Folders 609"/>
        <s v="Cabinet 982"/>
        <s v="Monitor 368"/>
        <s v="Printer Ink 274"/>
        <s v="Paper 332"/>
        <s v="Notebook 431"/>
        <s v="Printer Ink 452"/>
        <s v="Paper 371"/>
        <s v="Pens 547"/>
        <s v="Laptop 446"/>
        <s v="Folders 141"/>
        <s v="Cabinet 321"/>
        <s v="Paper 350"/>
        <s v="Printer Ink 318"/>
        <s v="Folders 640"/>
        <s v="Headphones 919"/>
        <s v="Pens 374"/>
        <s v="Laptop 165"/>
        <s v="Monitor 806"/>
        <s v="Printer Ink 466"/>
        <s v="Monitor 453"/>
        <s v="Mouse 432"/>
        <s v="Mouse 867"/>
        <s v="Desk 486"/>
        <s v="Table 193"/>
        <s v="Headphones 166"/>
        <s v="Laptop 232"/>
        <s v="Pens 383"/>
        <s v="Headphones 882"/>
        <s v="Cabinet 589"/>
        <s v="Mouse 752"/>
        <s v="Headphones 242"/>
        <s v="Headphones 817"/>
        <s v="Notebook 948"/>
        <s v="Monitor 626"/>
        <s v="Laptop 927"/>
        <s v="Desk 692"/>
        <s v="Notebook 790"/>
        <s v="Desk 574"/>
        <s v="Headphones 250"/>
        <s v="Monitor 546"/>
        <s v="Monitor 552"/>
        <s v="Notebook 127"/>
        <s v="Keyboard 189"/>
        <s v="Paper 239"/>
        <s v="Pens 333"/>
        <s v="Mouse 849"/>
        <s v="Mouse 898"/>
        <s v="Bookshelf 661"/>
        <s v="Chair 411"/>
        <s v="Monitor 680"/>
        <s v="Folders 702"/>
        <s v="Mouse 977"/>
        <s v="Monitor 461"/>
        <s v="Chair 462"/>
        <s v="Cabinet 294"/>
        <s v="Printer Ink 428"/>
        <s v="Laptop 612"/>
        <s v="Headphones 951"/>
        <s v="Paper 848"/>
        <s v="Chair 363"/>
        <s v="Mouse 642"/>
        <s v="Printer Ink 977"/>
        <s v="Cabinet 332"/>
        <s v="Cabinet 737"/>
        <s v="Paper 958"/>
        <s v="Printer Ink 489"/>
        <s v="Mouse 239"/>
        <s v="Bookshelf 136"/>
        <s v="Pens 977"/>
        <s v="Folders 121"/>
        <s v="Keyboard 248"/>
        <s v="Laptop 524"/>
        <s v="Headphones 662"/>
        <s v="Table 259"/>
        <s v="Mouse 403"/>
        <s v="Folders 159"/>
        <s v="Printer Ink 365"/>
        <s v="Desk 698"/>
        <s v="Bookshelf 230"/>
        <s v="Headphones 173"/>
        <s v="Laptop 423"/>
        <s v="Pens 104"/>
        <s v="Mouse 658"/>
        <s v="Table 232"/>
        <s v="Pens 986"/>
        <s v="Monitor 898"/>
        <s v="Keyboard 491"/>
        <s v="Headphones 388"/>
        <s v="Desk 530"/>
        <s v="Laptop 798"/>
        <s v="Headphones 141"/>
        <s v="Headphones 672"/>
        <s v="Chair 910"/>
        <s v="Laptop 287"/>
        <s v="Cabinet 890"/>
        <s v="Bookshelf 734"/>
        <s v="Mouse 585"/>
        <s v="Headphones 779"/>
        <s v="Keyboard 241"/>
        <s v="Folders 236"/>
        <s v="Chair 877"/>
        <s v="Mouse 550"/>
        <s v="Paper 392"/>
        <s v="Printer Ink 526"/>
        <s v="Bookshelf 762"/>
        <s v="Laptop 107"/>
        <s v="Keyboard 271"/>
        <s v="Chair 897"/>
        <s v="Monitor 996"/>
        <s v="Bookshelf 681"/>
        <s v="Headphones 374"/>
        <s v="Desk 939"/>
        <s v="Folders 538"/>
        <s v="Folders 308"/>
        <s v="Paper 364"/>
        <s v="Pens 982"/>
        <s v="Table 917"/>
        <s v="Bookshelf 806"/>
        <s v="Notebook 155"/>
        <s v="Cabinet 202"/>
        <s v="Keyboard 342"/>
        <s v="Paper 697"/>
        <s v="Chair 598"/>
        <s v="Chair 862"/>
        <s v="Pens 817"/>
        <s v="Chair 812"/>
        <s v="Laptop 558"/>
        <s v="Folders 767"/>
        <s v="Pens 787"/>
        <s v="Headphones 163"/>
        <s v="Monitor 839"/>
        <s v="Cabinet 298"/>
        <s v="Laptop 779"/>
        <s v="Folders 608"/>
        <s v="Paper 546"/>
        <s v="Desk 838"/>
        <s v="Monitor 458"/>
        <s v="Folders 664"/>
        <s v="Table 681"/>
        <s v="Mouse 591"/>
        <s v="Pens 763"/>
        <s v="Mouse 176"/>
        <s v="Table 453"/>
        <s v="Bookshelf 742"/>
        <s v="Mouse 888"/>
        <s v="Cabinet 351"/>
        <s v="Pens 682"/>
        <s v="Pens 792"/>
        <s v="Laptop 875"/>
        <s v="Keyboard 585"/>
        <s v="Chair 299"/>
        <s v="Chair 799"/>
        <s v="Notebook 839"/>
        <s v="Cabinet 263"/>
        <s v="Mouse 460"/>
        <s v="Chair 924"/>
        <s v="Mouse 220"/>
        <s v="Paper 401"/>
        <s v="Table 278"/>
        <s v="Notebook 851"/>
        <s v="Notebook 261"/>
        <s v="Pens 214"/>
        <s v="Notebook 833"/>
        <s v="Paper 141"/>
        <s v="Chair 187"/>
        <s v="Table 159"/>
        <s v="Paper 694"/>
        <s v="Monitor 359"/>
        <s v="Bookshelf 131"/>
        <s v="Notebook 939"/>
        <s v="Laptop 920"/>
        <s v="Laptop 591"/>
        <s v="Pens 176"/>
        <s v="Cabinet 971"/>
        <s v="Mouse 952"/>
        <s v="Chair 611"/>
        <s v="Folders 196"/>
        <s v="Paper 770"/>
        <s v="Chair 524"/>
        <s v="Bookshelf 440"/>
        <s v="Cabinet 296"/>
        <s v="Keyboard 886"/>
        <s v="Bookshelf 573"/>
        <s v="Keyboard 920"/>
        <s v="Mouse 386"/>
        <s v="Mouse 538"/>
        <s v="Table 523"/>
        <s v="Printer Ink 587"/>
        <s v="Desk 802"/>
        <s v="Mouse 236"/>
        <s v="Notebook 852"/>
        <s v="Keyboard 658"/>
        <s v="Chair 224"/>
        <s v="Paper 726"/>
        <s v="Mouse 264"/>
        <s v="Mouse 999"/>
        <s v="Mouse 839"/>
        <s v="Table 224"/>
        <s v="Folders 824"/>
        <s v="Headphones 459"/>
        <s v="Desk 426"/>
        <s v="Keyboard 204"/>
        <s v="Keyboard 890"/>
        <s v="Keyboard 873"/>
        <s v="Paper 677"/>
        <s v="Paper 842"/>
        <s v="Bookshelf 332"/>
        <s v="Chair 690"/>
        <s v="Headphones 816"/>
        <s v="Keyboard 550"/>
        <s v="Chair 702"/>
        <s v="Bookshelf 580"/>
        <s v="Pens 604"/>
        <s v="Desk 575"/>
        <s v="Cabinet 662"/>
        <s v="Chair 662"/>
        <s v="Bookshelf 438"/>
        <s v="Laptop 110"/>
        <s v="Folders 811"/>
        <s v="Desk 102"/>
        <s v="Desk 691"/>
        <s v="Laptop 657"/>
        <s v="Pens 484"/>
        <s v="Mouse 383"/>
        <s v="Mouse 828"/>
        <s v="Headphones 294"/>
        <s v="Pens 332"/>
        <s v="Desk 954"/>
        <s v="Keyboard 987"/>
        <s v="Notebook 397"/>
        <s v="Headphones 208"/>
        <s v="Chair 580"/>
        <s v="Table 502"/>
        <s v="Folders 567"/>
        <s v="Laptop 970"/>
        <s v="Printer Ink 800"/>
        <s v="Printer Ink 773"/>
        <s v="Folders 853"/>
        <s v="Chair 685"/>
        <s v="Folders 572"/>
        <s v="Keyboard 997"/>
        <s v="Folders 975"/>
        <s v="Desk 265"/>
        <s v="Bookshelf 300"/>
        <s v="Table 793"/>
        <s v="Printer Ink 966"/>
        <s v="Table 397"/>
        <s v="Keyboard 736"/>
        <s v="Bookshelf 671"/>
        <s v="Monitor 342"/>
        <s v="Printer Ink 722"/>
        <s v="Cabinet 453"/>
        <s v="Printer Ink 989"/>
        <s v="Keyboard 208"/>
        <s v="Monitor 153"/>
        <s v="Keyboard 364"/>
        <s v="Keyboard 522"/>
        <s v="Laptop 329"/>
        <s v="Paper 750"/>
        <s v="Paper 646"/>
        <s v="Desk 452"/>
        <s v="Cabinet 252"/>
        <s v="Pens 524"/>
        <s v="Cabinet 844"/>
        <s v="Folders 260"/>
        <s v="Table 974"/>
        <s v="Keyboard 481"/>
        <s v="Folders 365"/>
        <s v="Monitor 883"/>
        <s v="Printer Ink 651"/>
        <s v="Bookshelf 743"/>
        <s v="Mouse 399"/>
        <s v="Cabinet 770"/>
        <s v="Folders 327"/>
        <s v="Printer Ink 329"/>
        <s v="Folders 468"/>
        <s v="Folders 535"/>
        <s v="Cabinet 638"/>
        <s v="Laptop 170"/>
        <s v="Monitor 249"/>
        <s v="Keyboard 600"/>
        <s v="Monitor 861"/>
        <s v="Desk 514"/>
        <s v="Laptop 251"/>
        <s v="Headphones 603"/>
        <s v="Table 712"/>
        <s v="Paper 930"/>
        <s v="Table 356"/>
        <s v="Laptop 801"/>
        <s v="Pens 776"/>
        <s v="Folders 641"/>
        <s v="Paper 583"/>
        <s v="Laptop 606"/>
        <s v="Table 459"/>
        <s v="Table 576"/>
        <s v="Pens 400"/>
        <s v="Printer Ink 398"/>
        <s v="Monitor 238"/>
        <s v="Pens 571"/>
        <s v="Laptop 200"/>
        <s v="Mouse 822"/>
        <s v="Table 959"/>
        <s v="Notebook 819"/>
        <s v="Table 487"/>
        <s v="Folders 223"/>
        <s v="Keyboard 372"/>
        <s v="Notebook 861"/>
        <s v="Laptop 699"/>
        <s v="Printer Ink 805"/>
        <s v="Headphones 171"/>
        <s v="Bookshelf 975"/>
        <s v="Chair 437"/>
        <s v="Monitor 924"/>
        <s v="Pens 200"/>
        <s v="Pens 594"/>
        <s v="Chair 163"/>
        <s v="Mouse 857"/>
        <s v="Paper 637"/>
        <s v="Pens 361"/>
        <s v="Desk 972"/>
        <s v="Chair 964"/>
        <s v="Paper 448"/>
        <s v="Desk 775"/>
        <s v="Bookshelf 170"/>
        <s v="Monitor 945"/>
        <s v="Cabinet 908"/>
        <s v="Notebook 297"/>
        <s v="Printer Ink 412"/>
        <s v="Bookshelf 371"/>
        <s v="Notebook 689"/>
        <s v="Keyboard 165"/>
        <s v="Table 392"/>
        <s v="Pens 541"/>
        <s v="Table 543"/>
        <s v="Laptop 486"/>
        <s v="Mouse 167"/>
        <s v="Laptop 638"/>
        <s v="Bookshelf 876"/>
        <s v="Headphones 990"/>
        <s v="Cabinet 503"/>
        <s v="Bookshelf 281"/>
        <s v="Printer Ink 224"/>
        <s v="Chair 275"/>
        <s v="Pens 974"/>
        <s v="Monitor 864"/>
        <s v="Pens 906"/>
        <s v="Laptop 471"/>
        <s v="Laptop 691"/>
        <s v="Bookshelf 186"/>
        <s v="Cabinet 272"/>
        <s v="Paper 514"/>
        <s v="Chair 300"/>
        <s v="Cabinet 914"/>
        <s v="Printer Ink 819"/>
        <s v="Keyboard 876"/>
        <s v="Chair 731"/>
        <s v="Monitor 305"/>
        <s v="Keyboard 719"/>
        <s v="Mouse 605"/>
        <s v="Mouse 792"/>
        <s v="Paper 940"/>
        <s v="Notebook 655"/>
        <s v="Bookshelf 241"/>
        <s v="Desk 101"/>
        <s v="Keyboard 806"/>
        <s v="Monitor 793"/>
        <s v="Table 432"/>
        <s v="Folders 684"/>
        <s v="Printer Ink 284"/>
        <s v="Headphones 875"/>
        <s v="Cabinet 864"/>
        <s v="Cabinet 846"/>
        <s v="Mouse 231"/>
        <s v="Bookshelf 733"/>
        <s v="Cabinet 540"/>
        <s v="Cabinet 309"/>
        <s v="Paper 530"/>
        <s v="Table 106"/>
        <s v="Chair 688"/>
        <s v="Printer Ink 375"/>
        <s v="Folders 240"/>
        <s v="Printer Ink 635"/>
        <s v="Bookshelf 243"/>
        <s v="Headphones 566"/>
        <s v="Paper 690"/>
        <s v="Laptop 762"/>
        <s v="Pens 498"/>
        <s v="Cabinet 140"/>
        <s v="Monitor 541"/>
        <s v="Paper 577"/>
        <s v="Cabinet 264"/>
        <s v="Bookshelf 483"/>
        <s v="Mouse 577"/>
        <s v="Notebook 871"/>
        <s v="Table 500"/>
        <s v="Keyboard 801"/>
        <s v="Monitor 697"/>
        <s v="Paper 792"/>
        <s v="Chair 518"/>
        <s v="Pens 888"/>
        <s v="Bookshelf 591"/>
        <s v="Mouse 711"/>
        <s v="Cabinet 300"/>
        <s v="Folders 661"/>
        <s v="Paper 243"/>
        <s v="Table 616"/>
        <s v="Notebook 664"/>
        <s v="Mouse 280"/>
        <s v="Chair 703"/>
        <s v="Headphones 725"/>
        <s v="Monitor 291"/>
        <s v="Desk 740"/>
        <s v="Printer Ink 417"/>
        <s v="Chair 590"/>
        <s v="Folders 384"/>
        <s v="Folders 441"/>
        <s v="Desk 920"/>
        <s v="Bookshelf 627"/>
        <s v="Desk 635"/>
        <s v="Desk 564"/>
        <s v="Mouse 569"/>
        <s v="Paper 751"/>
        <s v="Cabinet 621"/>
        <s v="Mouse 319"/>
        <s v="Keyboard 626"/>
        <s v="Table 125"/>
        <s v="Printer Ink 243"/>
        <s v="Keyboard 570"/>
        <s v="Cabinet 643"/>
        <s v="Desk 861"/>
        <s v="Folders 173"/>
        <s v="Folders 759"/>
        <s v="Mouse 788"/>
        <s v="Chair 737"/>
        <s v="Mouse 626"/>
        <s v="Paper 280"/>
        <s v="Table 139"/>
        <s v="Chair 844"/>
        <s v="Bookshelf 468"/>
        <s v="Cabinet 558"/>
        <s v="Headphones 774"/>
        <s v="Printer Ink 775"/>
        <s v="Pens 321"/>
        <s v="Chair 153"/>
        <s v="Folders 191"/>
        <s v="Table 918"/>
        <s v="Laptop 456"/>
        <s v="Pens 380"/>
        <s v="Table 258"/>
        <s v="Bookshelf 903"/>
        <s v="Printer Ink 577"/>
        <s v="Notebook 789"/>
        <s v="Desk 561"/>
        <s v="Cabinet 306"/>
        <s v="Laptop 196"/>
        <s v="Desk 697"/>
        <s v="Notebook 754"/>
        <s v="Laptop 826"/>
        <s v="Chair 249"/>
        <s v="Monitor 255"/>
        <s v="Laptop 123"/>
        <s v="Monitor 704"/>
        <s v="Monitor 126"/>
        <s v="Table 996"/>
        <s v="Headphones 373"/>
        <s v="Headphones 782"/>
        <s v="Table 409"/>
        <s v="Headphones 214"/>
        <s v="Paper 654"/>
        <s v="Mouse 993"/>
        <s v="Monitor 647"/>
        <s v="Chair 738"/>
        <s v="Mouse 747"/>
        <s v="Notebook 564"/>
        <s v="Desk 417"/>
        <s v="Monitor 937"/>
        <s v="Headphones 747"/>
        <s v="Printer Ink 836"/>
        <s v="Paper 906"/>
        <s v="Keyboard 370"/>
        <s v="Laptop 561"/>
        <s v="Cabinet 667"/>
        <s v="Printer Ink 592"/>
        <s v="Laptop 511"/>
        <s v="Folders 793"/>
        <s v="Table 853"/>
        <s v="Mouse 798"/>
        <s v="Paper 189"/>
        <s v="Cabinet 554"/>
        <s v="Laptop 652"/>
        <s v="Pens 959"/>
        <s v="Headphones 975"/>
        <s v="Notebook 158"/>
        <s v="Printer Ink 602"/>
        <s v="Laptop 831"/>
        <s v="Paper 759"/>
        <s v="Table 236"/>
        <s v="Desk 783"/>
        <s v="Pens 209"/>
        <s v="Monitor 402"/>
        <s v="Keyboard 164"/>
        <s v="Cabinet 990"/>
        <s v="Notebook 524"/>
        <s v="Cabinet 949"/>
        <s v="Printer Ink 956"/>
        <s v="Bookshelf 907"/>
        <s v="Notebook 241"/>
        <s v="Table 257"/>
        <s v="Pens 477"/>
        <s v="Pens 265"/>
        <s v="Printer Ink 971"/>
        <s v="Chair 240"/>
        <s v="Cabinet 243"/>
        <s v="Cabinet 284"/>
        <s v="Table 323"/>
        <s v="Pens 358"/>
        <s v="Bookshelf 630"/>
        <s v="Headphones 734"/>
        <s v="Desk 823"/>
        <s v="Chair 117"/>
        <s v="Chair 977"/>
        <s v="Cabinet 111"/>
        <s v="Printer Ink 379"/>
        <s v="Pens 678"/>
        <s v="Headphones 993"/>
        <s v="Folders 315"/>
        <s v="Pens 410"/>
        <s v="Paper 765"/>
        <s v="Chair 498"/>
        <s v="Paper 529"/>
        <s v="Keyboard 752"/>
        <s v="Headphones 700"/>
        <s v="Pens 371"/>
        <s v="Laptop 688"/>
        <s v="Cabinet 663"/>
        <s v="Desk 457"/>
        <s v="Bookshelf 951"/>
        <s v="Desk 694"/>
        <s v="Mouse 539"/>
        <s v="Paper 527"/>
        <s v="Monitor 422"/>
        <s v="Folders 317"/>
        <s v="Notebook 487"/>
        <s v="Notebook 720"/>
        <s v="Bookshelf 870"/>
        <s v="Desk 982"/>
        <s v="Notebook 194"/>
        <s v="Folders 262"/>
        <s v="Desk 916"/>
        <s v="Notebook 209"/>
        <s v="Bookshelf 649"/>
        <s v="Paper 991"/>
        <s v="Notebook 129"/>
        <s v="Chair 109"/>
        <s v="Mouse 597"/>
        <s v="Cabinet 893"/>
        <s v="Laptop 689"/>
        <s v="Paper 491"/>
        <s v="Printer Ink 643"/>
        <s v="Pens 872"/>
        <s v="Keyboard 240"/>
        <s v="Mouse 717"/>
        <s v="Notebook 460"/>
        <s v="Headphones 492"/>
        <s v="Mouse 927"/>
        <s v="Cabinet 116"/>
        <s v="Bookshelf 163"/>
        <s v="Table 781"/>
        <s v="Printer Ink 492"/>
        <s v="Printer Ink 596"/>
        <s v="Bookshelf 416"/>
        <s v="Paper 270"/>
        <s v="Monitor 147"/>
        <s v="Keyboard 995"/>
        <s v="Table 321"/>
        <s v="Keyboard 411"/>
        <s v="Headphones 263"/>
        <s v="Folders 613"/>
        <s v="Printer Ink 182"/>
        <s v="Mouse 126"/>
        <s v="Chair 369"/>
        <s v="Headphones 803"/>
        <s v="Table 924"/>
        <s v="Bookshelf 566"/>
        <s v="Folders 325"/>
        <s v="Notebook 526"/>
        <s v="Mouse 116"/>
        <s v="Paper 442"/>
        <s v="Laptop 356"/>
        <s v="Cabinet 196"/>
        <s v="Folders 957"/>
        <s v="Folders 626"/>
        <s v="Headphones 908"/>
        <s v="Folders 655"/>
        <s v="Headphones 210"/>
        <s v="Bookshelf 285"/>
        <s v="Desk 295"/>
        <s v="Cabinet 797"/>
        <s v="Bookshelf 909"/>
        <s v="Keyboard 238"/>
        <s v="Pens 605"/>
        <s v="Printer Ink 148"/>
        <s v="Mouse 840"/>
        <s v="Folders 289"/>
        <s v="Pens 319"/>
        <s v="Cabinet 497"/>
        <s v="Desk 712"/>
        <s v="Chair 744"/>
        <s v="Printer Ink 355"/>
        <s v="Keyboard 366"/>
        <s v="Pens 839"/>
        <s v="Bookshelf 799"/>
        <s v="Folders 983"/>
        <s v="Notebook 717"/>
        <s v="Bookshelf 754"/>
        <s v="Paper 282"/>
        <s v="Notebook 966"/>
        <s v="Laptop 317"/>
        <s v="Bookshelf 651"/>
        <s v="Mouse 404"/>
        <s v="Printer Ink 905"/>
        <s v="Monitor 765"/>
        <s v="Monitor 278"/>
        <s v="Desk 980"/>
        <s v="Keyboard 332"/>
        <s v="Notebook 808"/>
        <s v="Paper 831"/>
        <s v="Paper 790"/>
        <s v="Monitor 119"/>
        <s v="Table 423"/>
        <s v="Pens 454"/>
        <s v="Notebook 941"/>
        <s v="Bookshelf 176"/>
        <s v="Chair 978"/>
        <s v="Notebook 705"/>
        <s v="Chair 636"/>
        <s v="Printer Ink 516"/>
        <s v="Cabinet 689"/>
        <s v="Table 787"/>
        <s v="Cabinet 277"/>
        <s v="Table 398"/>
        <s v="Mouse 805"/>
        <s v="Mouse 392"/>
        <s v="Pens 401"/>
        <s v="Bookshelf 928"/>
        <s v="Monitor 926"/>
        <s v="Folders 925"/>
        <s v="Cabinet 274"/>
        <s v="Folders 525"/>
        <s v="Notebook 400"/>
        <s v="Cabinet 852"/>
        <s v="Laptop 238"/>
        <s v="Printer Ink 660"/>
        <s v="Table 648"/>
        <s v="Keyboard 870"/>
        <s v="Cabinet 455"/>
        <s v="Paper 609"/>
        <s v="Paper 658"/>
        <s v="Headphones 980"/>
        <s v="Mouse 440"/>
        <s v="Printer Ink 293"/>
        <s v="Chair 774"/>
        <s v="Headphones 276"/>
        <s v="Cabinet 765"/>
        <s v="Pens 935"/>
        <s v="Pens 309"/>
        <s v="Table 930"/>
        <s v="Headphones 695"/>
        <s v="Monitor 958"/>
        <s v="Paper 673"/>
        <s v="Keyboard 379"/>
        <s v="Headphones 991"/>
        <s v="Desk 364"/>
        <s v="Mouse 809"/>
        <s v="Bookshelf 629"/>
        <s v="Pens 438"/>
        <s v="Bookshelf 809"/>
        <s v="Pens 363"/>
        <s v="Chair 569"/>
        <s v="Pens 599"/>
        <s v="Cabinet 242"/>
        <s v="Bookshelf 434"/>
        <s v="Bookshelf 196"/>
        <s v="Headphones 944"/>
        <s v="Mouse 285"/>
        <s v="Pens 758"/>
        <s v="Folders 279"/>
        <s v="Mouse 847"/>
        <s v="Folders 266"/>
        <s v="Paper 533"/>
        <s v="Chair 555"/>
        <s v="Mouse 819"/>
        <s v="Desk 352"/>
        <s v="Cabinet 828"/>
        <s v="Bookshelf 494"/>
        <s v="Cabinet 984"/>
        <s v="Table 350"/>
        <s v="Paper 998"/>
        <s v="Printer Ink 810"/>
        <s v="Folders 115"/>
        <s v="Desk 614"/>
        <s v="Headphones 682"/>
        <s v="Monitor 314"/>
        <s v="Pens 924"/>
        <s v="Monitor 140"/>
        <s v="Laptop 550"/>
        <s v="Folders 817"/>
        <s v="Printer Ink 319"/>
        <s v="Laptop 747"/>
        <s v="Monitor 605"/>
        <s v="Notebook 247"/>
        <s v="Desk 372"/>
        <s v="Cabinet 941"/>
        <s v="Bookshelf 617"/>
        <s v="Monitor 155"/>
        <s v="Keyboard 567"/>
        <s v="Mouse 329"/>
        <s v="Laptop 873"/>
        <s v="Cabinet 167"/>
        <s v="Folders 776"/>
        <s v="Paper 250"/>
        <s v="Paper 735"/>
        <s v="Desk 989"/>
        <s v="Cabinet 502"/>
        <s v="Folders 723"/>
        <s v="Keyboard 161"/>
        <s v="Notebook 737"/>
        <s v="Keyboard 710"/>
        <s v="Cabinet 110"/>
        <s v="Notebook 504"/>
        <s v="Monitor 510"/>
        <s v="Mouse 677"/>
        <s v="Headphones 400"/>
        <s v="Cabinet 271"/>
        <s v="Desk 105"/>
        <s v="Table 110"/>
        <s v="Headphones 836"/>
        <s v="Monitor 271"/>
        <s v="Chair 534"/>
        <s v="Mouse 245"/>
        <s v="Desk 746"/>
      </sharedItems>
    </cacheField>
    <cacheField name="Units" numFmtId="0">
      <sharedItems containsSemiMixedTypes="0" containsString="0" containsNumber="1" containsInteger="1" minValue="1" maxValue="15"/>
    </cacheField>
    <cacheField name="Unit Price" numFmtId="4">
      <sharedItems containsSemiMixedTypes="0" containsString="0" containsNumber="1" minValue="203.18" maxValue="4997.2700000000004"/>
    </cacheField>
    <cacheField name="Discount %" numFmtId="0">
      <sharedItems containsSemiMixedTypes="0" containsString="0" containsNumber="1" containsInteger="1" minValue="0" maxValue="20"/>
    </cacheField>
    <cacheField name="Revenue" numFmtId="4">
      <sharedItems containsSemiMixedTypes="0" containsString="0" containsNumber="1" minValue="240.56" maxValue="70165.289999999994" count="999">
        <n v="21996.799999999999"/>
        <n v="41400.6"/>
        <n v="45597.27"/>
        <n v="44207.45"/>
        <n v="20608.54"/>
        <n v="42906.2"/>
        <n v="4275.3900000000003"/>
        <n v="18082.009999999998"/>
        <n v="53125.94"/>
        <n v="18727.419999999998"/>
        <n v="12781.8"/>
        <n v="9791.6200000000008"/>
        <n v="817.43"/>
        <n v="34223.440000000002"/>
        <n v="12702.6"/>
        <n v="9985.9699999999993"/>
        <n v="3382.08"/>
        <n v="17442.04"/>
        <n v="23921.1"/>
        <n v="6079.71"/>
        <n v="44504.83"/>
        <n v="4412.8500000000004"/>
        <n v="4235.04"/>
        <n v="3877.87"/>
        <n v="17821.54"/>
        <n v="7780.51"/>
        <n v="7019.42"/>
        <n v="3311.1"/>
        <n v="24762.59"/>
        <n v="1089.8"/>
        <n v="17654.5"/>
        <n v="48229.599999999999"/>
        <n v="20473.63"/>
        <n v="15385.97"/>
        <n v="3688.3"/>
        <n v="29133.84"/>
        <n v="1987.94"/>
        <n v="6634.37"/>
        <n v="41025.160000000003"/>
        <n v="45219.8"/>
        <n v="7326.12"/>
        <n v="20999.89"/>
        <n v="35530.910000000003"/>
        <n v="3882.15"/>
        <n v="1709.41"/>
        <n v="6662.39"/>
        <n v="7014.3"/>
        <n v="12500.74"/>
        <n v="11485.37"/>
        <n v="56543.38"/>
        <n v="10764.84"/>
        <n v="41876.410000000003"/>
        <n v="22315.74"/>
        <n v="736.24"/>
        <n v="2004.8"/>
        <n v="8982.92"/>
        <n v="17717.060000000001"/>
        <n v="31187.65"/>
        <n v="56184.57"/>
        <n v="51821.75"/>
        <n v="37579.18"/>
        <n v="35035.339999999997"/>
        <n v="2158.6"/>
        <n v="1907.07"/>
        <n v="6534.58"/>
        <n v="13905.48"/>
        <n v="29562.39"/>
        <n v="14895.64"/>
        <n v="15759.84"/>
        <n v="34147.26"/>
        <n v="21297.86"/>
        <n v="26272.92"/>
        <n v="17586.669999999998"/>
        <n v="59474.54"/>
        <n v="1898.27"/>
        <n v="9126.68"/>
        <n v="1884.23"/>
        <n v="4248.5600000000004"/>
        <n v="30997.1"/>
        <n v="26614.44"/>
        <n v="10980.94"/>
        <n v="9064.5"/>
        <n v="36291.519999999997"/>
        <n v="1533.3"/>
        <n v="4818.5600000000004"/>
        <n v="7857.13"/>
        <n v="26167.9"/>
        <n v="33382.559999999998"/>
        <n v="31517.42"/>
        <n v="3892.39"/>
        <n v="37666.080000000002"/>
        <n v="59731.75"/>
        <n v="22544.82"/>
        <n v="5279.67"/>
        <n v="6182.33"/>
        <n v="30943.81"/>
        <n v="18648.669999999998"/>
        <n v="12932.96"/>
        <n v="34278.089999999997"/>
        <n v="46358.23"/>
        <n v="12312.22"/>
        <n v="25595.279999999999"/>
        <n v="2532.91"/>
        <n v="11520.81"/>
        <n v="7946.44"/>
        <n v="39046.04"/>
        <n v="11082.79"/>
        <n v="23912.47"/>
        <n v="47847.360000000001"/>
        <n v="3865.18"/>
        <n v="11116.08"/>
        <n v="25613.06"/>
        <n v="17927.41"/>
        <n v="27404.73"/>
        <n v="48204.6"/>
        <n v="37685.64"/>
        <n v="13336.89"/>
        <n v="27795.41"/>
        <n v="2865.35"/>
        <n v="23632.18"/>
        <n v="8693.68"/>
        <n v="2320.64"/>
        <n v="20782.939999999999"/>
        <n v="24055.77"/>
        <n v="28730.77"/>
        <n v="7419.05"/>
        <n v="6110.58"/>
        <n v="8038.44"/>
        <n v="50241.3"/>
        <n v="8619.83"/>
        <n v="3968.2"/>
        <n v="22814.400000000001"/>
        <n v="20420.330000000002"/>
        <n v="24546.05"/>
        <n v="17235.400000000001"/>
        <n v="18191.78"/>
        <n v="3731.76"/>
        <n v="717.39"/>
        <n v="13232.72"/>
        <n v="6515.43"/>
        <n v="5039.2299999999996"/>
        <n v="18877.400000000001"/>
        <n v="4329.5"/>
        <n v="12263.16"/>
        <n v="4316.57"/>
        <n v="16360.7"/>
        <n v="27478.12"/>
        <n v="21083.33"/>
        <n v="10774.97"/>
        <n v="8794.6"/>
        <n v="12054.39"/>
        <n v="28248.959999999999"/>
        <n v="35755.379999999997"/>
        <n v="15667.39"/>
        <n v="47298.89"/>
        <n v="9547.74"/>
        <n v="15564.59"/>
        <n v="23226.91"/>
        <n v="20859.12"/>
        <n v="7586.21"/>
        <n v="4012.82"/>
        <n v="37129.730000000003"/>
        <n v="10582.11"/>
        <n v="22605.67"/>
        <n v="34505.040000000001"/>
        <n v="30137.8"/>
        <n v="17081.47"/>
        <n v="22509.19"/>
        <n v="65947"/>
        <n v="10516.95"/>
        <n v="51114.02"/>
        <n v="10535.27"/>
        <n v="52459.11"/>
        <n v="3402.77"/>
        <n v="5100.0600000000004"/>
        <n v="5715.5"/>
        <n v="12009.09"/>
        <n v="41685.800000000003"/>
        <n v="4052.22"/>
        <n v="9572.19"/>
        <n v="2799.3"/>
        <n v="6653.57"/>
        <n v="5877.76"/>
        <n v="6973.64"/>
        <n v="13555.62"/>
        <n v="14366.11"/>
        <n v="22895.66"/>
        <n v="16634.62"/>
        <n v="28517.1"/>
        <n v="6370.98"/>
        <n v="29945.86"/>
        <n v="6995.56"/>
        <n v="17784.2"/>
        <n v="7321.36"/>
        <n v="30315.89"/>
        <n v="3716.43"/>
        <n v="35656.92"/>
        <n v="4921.3999999999996"/>
        <n v="5178.82"/>
        <n v="12849.09"/>
        <n v="7484.06"/>
        <n v="8192.5400000000009"/>
        <n v="27534.86"/>
        <n v="23067.29"/>
        <n v="7178.62"/>
        <n v="8295.73"/>
        <n v="1952.89"/>
        <n v="4883.8100000000004"/>
        <n v="34844.639999999999"/>
        <n v="6095.02"/>
        <n v="4359.04"/>
        <n v="1920.82"/>
        <n v="24226.38"/>
        <n v="52654.8"/>
        <n v="5975.86"/>
        <n v="41314.21"/>
        <n v="23846.32"/>
        <n v="9113.35"/>
        <n v="11160.6"/>
        <n v="16066.38"/>
        <n v="3219.39"/>
        <n v="19222.919999999998"/>
        <n v="16239.27"/>
        <n v="39017.07"/>
        <n v="4057.97"/>
        <n v="1631.97"/>
        <n v="3291.2"/>
        <n v="16532.04"/>
        <n v="12551.63"/>
        <n v="10222.780000000001"/>
        <n v="51776.06"/>
        <n v="46425.84"/>
        <n v="15639.39"/>
        <n v="18278.13"/>
        <n v="14952.15"/>
        <n v="8240.94"/>
        <n v="14986.95"/>
        <n v="24194.81"/>
        <n v="45583.53"/>
        <n v="6686.66"/>
        <n v="8555.16"/>
        <n v="12407.76"/>
        <n v="2461.2600000000002"/>
        <n v="3934.28"/>
        <n v="21872.79"/>
        <n v="1147.9000000000001"/>
        <n v="35876.089999999997"/>
        <n v="1402.43"/>
        <n v="4509.16"/>
        <n v="8062.47"/>
        <n v="21076.68"/>
        <n v="8792.5300000000007"/>
        <n v="49928.95"/>
        <n v="23646.92"/>
        <n v="38423.699999999997"/>
        <n v="13986.96"/>
        <n v="12881.7"/>
        <n v="45933.66"/>
        <n v="4276.2"/>
        <n v="5687.57"/>
        <n v="10615.24"/>
        <n v="45171.7"/>
        <n v="9086.98"/>
        <n v="27889.919999999998"/>
        <n v="3055.92"/>
        <n v="5880.13"/>
        <n v="7487.26"/>
        <n v="44019.53"/>
        <n v="25935.84"/>
        <n v="24009.279999999999"/>
        <n v="22933.27"/>
        <n v="9098.0400000000009"/>
        <n v="9802.2999999999993"/>
        <n v="18018.53"/>
        <n v="10279.379999999999"/>
        <n v="5891.16"/>
        <n v="26751.83"/>
        <n v="20333.7"/>
        <n v="9939.3799999999992"/>
        <n v="32001"/>
        <n v="6959.3"/>
        <n v="5133.5"/>
        <n v="5850.72"/>
        <n v="3256.66"/>
        <n v="14184.28"/>
        <n v="3531.58"/>
        <n v="16059.49"/>
        <n v="21977.93"/>
        <n v="23892.94"/>
        <n v="27681.58"/>
        <n v="46696.3"/>
        <n v="45952.43"/>
        <n v="13714.96"/>
        <n v="47993.68"/>
        <n v="4872.21"/>
        <n v="12513.32"/>
        <n v="30990.6"/>
        <n v="4269.34"/>
        <n v="21910.240000000002"/>
        <n v="3825.87"/>
        <n v="17341.89"/>
        <n v="28485.11"/>
        <n v="2233.12"/>
        <n v="3539.71"/>
        <n v="12350.16"/>
        <n v="11879.62"/>
        <n v="42015.17"/>
        <n v="62990.07"/>
        <n v="39378.080000000002"/>
        <n v="31888.080000000002"/>
        <n v="5632.07"/>
        <n v="21251.34"/>
        <n v="3392.82"/>
        <n v="5027.04"/>
        <n v="10914.95"/>
        <n v="24819.74"/>
        <n v="24518.31"/>
        <n v="57655.32"/>
        <n v="12199.03"/>
        <n v="18617.439999999999"/>
        <n v="14080.25"/>
        <n v="11881.84"/>
        <n v="4334.08"/>
        <n v="3007"/>
        <n v="18756.36"/>
        <n v="5731.08"/>
        <n v="19639.12"/>
        <n v="7947.68"/>
        <n v="28635.64"/>
        <n v="35981.279999999999"/>
        <n v="6610.25"/>
        <n v="11247.88"/>
        <n v="703.07"/>
        <n v="67463.149999999994"/>
        <n v="47159.63"/>
        <n v="21945"/>
        <n v="7256.2"/>
        <n v="9489.59"/>
        <n v="546.65"/>
        <n v="16712.63"/>
        <n v="30458.53"/>
        <n v="2080.65"/>
        <n v="4638.0200000000004"/>
        <n v="3987.9"/>
        <n v="21028.01"/>
        <n v="11557.44"/>
        <n v="50086.47"/>
        <n v="4991.22"/>
        <n v="20001.07"/>
        <n v="22024.2"/>
        <n v="23465.41"/>
        <n v="6429.7"/>
        <n v="23972.02"/>
        <n v="18766.23"/>
        <n v="14703.88"/>
        <n v="3583.5"/>
        <n v="15040.49"/>
        <n v="44252.55"/>
        <n v="24142.1"/>
        <n v="30029.57"/>
        <n v="2154.1"/>
        <n v="4359.88"/>
        <n v="16887.900000000001"/>
        <n v="11803.51"/>
        <n v="5044.2"/>
        <n v="9832.59"/>
        <n v="8285"/>
        <n v="17944.849999999999"/>
        <n v="1724.88"/>
        <n v="16282.07"/>
        <n v="35134.559999999998"/>
        <n v="47038.19"/>
        <n v="5541.6"/>
        <n v="10796.37"/>
        <n v="6493.93"/>
        <n v="7959.84"/>
        <n v="17600.759999999998"/>
        <n v="30093.72"/>
        <n v="17024.669999999998"/>
        <n v="46952.44"/>
        <n v="35948.61"/>
        <n v="3423.56"/>
        <n v="10061.17"/>
        <n v="2488.16"/>
        <n v="868.08"/>
        <n v="27901.46"/>
        <n v="19722.96"/>
        <n v="14047.88"/>
        <n v="11831.15"/>
        <n v="2779.03"/>
        <n v="1904.31"/>
        <n v="4683.0200000000004"/>
        <n v="39658.559999999998"/>
        <n v="21173.57"/>
        <n v="26355.19"/>
        <n v="50187.98"/>
        <n v="37159.54"/>
        <n v="11238"/>
        <n v="30212.69"/>
        <n v="3453.39"/>
        <n v="2343.98"/>
        <n v="16498.400000000001"/>
        <n v="13017.23"/>
        <n v="26078.14"/>
        <n v="18430.34"/>
        <n v="18279.29"/>
        <n v="18436.009999999998"/>
        <n v="26778.77"/>
        <n v="33213.74"/>
        <n v="2011.48"/>
        <n v="48739.45"/>
        <n v="31063.34"/>
        <n v="21135.03"/>
        <n v="10915.25"/>
        <n v="58093.08"/>
        <n v="1063.42"/>
        <n v="3280"/>
        <n v="28936.799999999999"/>
        <n v="4194.93"/>
        <n v="47061.7"/>
        <n v="4956.67"/>
        <n v="7109.82"/>
        <n v="4044.44"/>
        <n v="30535.52"/>
        <n v="16438.8"/>
        <n v="33381.120000000003"/>
        <n v="21092.85"/>
        <n v="10849.2"/>
        <n v="16547.189999999999"/>
        <n v="3681.4"/>
        <n v="21887.72"/>
        <n v="4015.27"/>
        <n v="28496.31"/>
        <n v="11558.74"/>
        <n v="11884.45"/>
        <n v="40610.019999999997"/>
        <n v="7134.84"/>
        <n v="5912.86"/>
        <n v="23523.97"/>
        <n v="5852.35"/>
        <n v="43690.77"/>
        <n v="3400.71"/>
        <n v="14241.72"/>
        <n v="41583.26"/>
        <n v="3628.58"/>
        <n v="9607.27"/>
        <n v="25670.46"/>
        <n v="1146.67"/>
        <n v="9678.6200000000008"/>
        <n v="9963.84"/>
        <n v="17597.07"/>
        <n v="37505.1"/>
        <n v="18451.55"/>
        <n v="12477.93"/>
        <n v="6888.1"/>
        <n v="16017.46"/>
        <n v="3756.48"/>
        <n v="36760.019999999997"/>
        <n v="4355.29"/>
        <n v="9091.02"/>
        <n v="14503.02"/>
        <n v="22950.85"/>
        <n v="48909.1"/>
        <n v="22140.65"/>
        <n v="35646.699999999997"/>
        <n v="22565.97"/>
        <n v="58229.79"/>
        <n v="50911.61"/>
        <n v="1557.54"/>
        <n v="7659.75"/>
        <n v="13849.02"/>
        <n v="9909.73"/>
        <n v="16301.63"/>
        <n v="28459.97"/>
        <n v="29389.71"/>
        <n v="26588.48"/>
        <n v="1035.52"/>
        <n v="3821.05"/>
        <n v="19684"/>
        <n v="2153.06"/>
        <n v="16801.2"/>
        <n v="5239.17"/>
        <n v="12002.94"/>
        <n v="47047.3"/>
        <n v="330.52"/>
        <n v="46156.78"/>
        <n v="19050.939999999999"/>
        <n v="38840.800000000003"/>
        <n v="4366.71"/>
        <n v="24275.69"/>
        <n v="34270.17"/>
        <n v="3471.59"/>
        <n v="2846.62"/>
        <n v="1778.22"/>
        <n v="50001.21"/>
        <n v="7481.06"/>
        <n v="16274.88"/>
        <n v="8719.08"/>
        <n v="8648.5499999999993"/>
        <n v="4377.57"/>
        <n v="31979.22"/>
        <n v="37720.44"/>
        <n v="29197.42"/>
        <n v="17716.84"/>
        <n v="3675.52"/>
        <n v="2373.88"/>
        <n v="8893.42"/>
        <n v="15423.42"/>
        <n v="7300.59"/>
        <n v="2695.22"/>
        <n v="39368.160000000003"/>
        <n v="41867.699999999997"/>
        <n v="5979.92"/>
        <n v="2529.8200000000002"/>
        <n v="4514.88"/>
        <n v="13828.32"/>
        <n v="5180.28"/>
        <n v="11630.21"/>
        <n v="4669.3100000000004"/>
        <n v="19096.45"/>
        <n v="7170.82"/>
        <n v="24298.22"/>
        <n v="19813.86"/>
        <n v="6594.44"/>
        <n v="3949.24"/>
        <n v="15507.86"/>
        <n v="10005.040000000001"/>
        <n v="17083.98"/>
        <n v="1359.15"/>
        <n v="17909.64"/>
        <n v="30440.01"/>
        <n v="3647.9"/>
        <n v="4567.75"/>
        <n v="21793.27"/>
        <n v="3810.91"/>
        <n v="11326.07"/>
        <n v="32031.3"/>
        <n v="32610.799999999999"/>
        <n v="3052.2"/>
        <n v="13215.15"/>
        <n v="27254.9"/>
        <n v="24825.85"/>
        <n v="23461.65"/>
        <n v="5171.6000000000004"/>
        <n v="18029.759999999998"/>
        <n v="3171.69"/>
        <n v="36932.639999999999"/>
        <n v="18184.16"/>
        <n v="8988.1200000000008"/>
        <n v="11620.1"/>
        <n v="16290.86"/>
        <n v="6875.82"/>
        <n v="25093.32"/>
        <n v="12454.27"/>
        <n v="6923.62"/>
        <n v="30345.08"/>
        <n v="50769.55"/>
        <n v="15573.32"/>
        <n v="58264.11"/>
        <n v="3028.46"/>
        <n v="19461.900000000001"/>
        <n v="7323.9"/>
        <n v="3300.05"/>
        <n v="11983.34"/>
        <n v="2495.38"/>
        <n v="27171.040000000001"/>
        <n v="15401.04"/>
        <n v="24566.77"/>
        <n v="2632.9"/>
        <n v="32251.040000000001"/>
        <n v="35472.44"/>
        <n v="44472.06"/>
        <n v="9985.32"/>
        <n v="3324.22"/>
        <n v="43899.17"/>
        <n v="4527.22"/>
        <n v="40662.1"/>
        <n v="31657.1"/>
        <n v="1765.76"/>
        <n v="2710.67"/>
        <n v="19420.8"/>
        <n v="4845.34"/>
        <n v="4553.4399999999996"/>
        <n v="12102.69"/>
        <n v="9784.89"/>
        <n v="63361.77"/>
        <n v="52274.79"/>
        <n v="45172.39"/>
        <n v="11060.76"/>
        <n v="17363.5"/>
        <n v="23037.24"/>
        <n v="52164.38"/>
        <n v="44840.79"/>
        <n v="670.71"/>
        <n v="3241.44"/>
        <n v="7278.18"/>
        <n v="43872.31"/>
        <n v="1990.8"/>
        <n v="32110.38"/>
        <n v="3955.97"/>
        <n v="9719.2199999999993"/>
        <n v="12945.17"/>
        <n v="46045.86"/>
        <n v="51418.2"/>
        <n v="15117.16"/>
        <n v="5011.53"/>
        <n v="7340.47"/>
        <n v="7563.93"/>
        <n v="8080.78"/>
        <n v="19030.61"/>
        <n v="2755.5"/>
        <n v="26898.12"/>
        <n v="45936.98"/>
        <n v="2339.69"/>
        <n v="12946.88"/>
        <n v="33117.599999999999"/>
        <n v="35193.769999999997"/>
        <n v="26634.47"/>
        <n v="31500.92"/>
        <n v="3215.04"/>
        <n v="25372.49"/>
        <n v="7097.26"/>
        <n v="24252.35"/>
        <n v="10567.72"/>
        <n v="986.29"/>
        <n v="41633.760000000002"/>
        <n v="3685.84"/>
        <n v="34860.239999999998"/>
        <n v="5929.34"/>
        <n v="15503.23"/>
        <n v="31855.37"/>
        <n v="21479.13"/>
        <n v="21036.65"/>
        <n v="1645"/>
        <n v="3340.94"/>
        <n v="8140.63"/>
        <n v="40635.269999999997"/>
        <n v="646.11"/>
        <n v="8039.46"/>
        <n v="16440"/>
        <n v="775.78"/>
        <n v="36093.870000000003"/>
        <n v="18760.32"/>
        <n v="38199.120000000003"/>
        <n v="12566.04"/>
        <n v="2754.7"/>
        <n v="36442.28"/>
        <n v="30326.66"/>
        <n v="1402.24"/>
        <n v="12026.72"/>
        <n v="67903.960000000006"/>
        <n v="22133.040000000001"/>
        <n v="29191.82"/>
        <n v="15146.57"/>
        <n v="780.04"/>
        <n v="1145.24"/>
        <n v="28284.84"/>
        <n v="52133.26"/>
        <n v="24865.42"/>
        <n v="35917.51"/>
        <n v="39592.58"/>
        <n v="32879.68"/>
        <n v="1564.14"/>
        <n v="7112.38"/>
        <n v="6063.6"/>
        <n v="3607.64"/>
        <n v="31254.720000000001"/>
        <n v="10922.19"/>
        <n v="19157.13"/>
        <n v="3042.78"/>
        <n v="7609.93"/>
        <n v="52229.77"/>
        <n v="28257.22"/>
        <n v="8072.02"/>
        <n v="16451.419999999998"/>
        <n v="23563.119999999999"/>
        <n v="2068.9899999999998"/>
        <n v="4133.92"/>
        <n v="3236.61"/>
        <n v="11460.34"/>
        <n v="2630.76"/>
        <n v="48198.35"/>
        <n v="9536.18"/>
        <n v="6031.99"/>
        <n v="4711.68"/>
        <n v="1044.73"/>
        <n v="27353.759999999998"/>
        <n v="240.56"/>
        <n v="24492.44"/>
        <n v="37369.360000000001"/>
        <n v="33133.72"/>
        <n v="1180.0999999999999"/>
        <n v="51922.79"/>
        <n v="4520.53"/>
        <n v="7098.26"/>
        <n v="9322.9"/>
        <n v="11275.23"/>
        <n v="20687.8"/>
        <n v="14033.98"/>
        <n v="12018.05"/>
        <n v="8520.1200000000008"/>
        <n v="7043.54"/>
        <n v="4828.01"/>
        <n v="4552.75"/>
        <n v="6845.9"/>
        <n v="8466.1"/>
        <n v="4425.7"/>
        <n v="35211.22"/>
        <n v="724.35"/>
        <n v="31692.57"/>
        <n v="39412.879999999997"/>
        <n v="42056.639999999999"/>
        <n v="4510.75"/>
        <n v="3623.19"/>
        <n v="17445.830000000002"/>
        <n v="1970.42"/>
        <n v="2642.83"/>
        <n v="10629.18"/>
        <n v="11690.9"/>
        <n v="8072.47"/>
        <n v="7004.77"/>
        <n v="36916.050000000003"/>
        <n v="41825.4"/>
        <n v="33528.480000000003"/>
        <n v="2759.79"/>
        <n v="2806.2"/>
        <n v="15457.72"/>
        <n v="12567.66"/>
        <n v="11116.6"/>
        <n v="1495.7"/>
        <n v="45753.74"/>
        <n v="5562.75"/>
        <n v="4011.09"/>
        <n v="26458.94"/>
        <n v="28574.22"/>
        <n v="8224.25"/>
        <n v="12577.9"/>
        <n v="4054.38"/>
        <n v="2279.6799999999998"/>
        <n v="17541.32"/>
        <n v="29969.54"/>
        <n v="21014.63"/>
        <n v="6025.13"/>
        <n v="4652.4799999999996"/>
        <n v="7794.14"/>
        <n v="56843.39"/>
        <n v="13240.5"/>
        <n v="6282.39"/>
        <n v="32230.959999999999"/>
        <n v="2179.69"/>
        <n v="6967.82"/>
        <n v="8350.7800000000007"/>
        <n v="4200.5600000000004"/>
        <n v="13115.2"/>
        <n v="19501.78"/>
        <n v="19760.25"/>
        <n v="35370.239999999998"/>
        <n v="31304.77"/>
        <n v="12072.08"/>
        <n v="19589.560000000001"/>
        <n v="7207.68"/>
        <n v="10279.61"/>
        <n v="4497.4399999999996"/>
        <n v="34632.57"/>
        <n v="17549.310000000001"/>
        <n v="35041.54"/>
        <n v="6573.28"/>
        <n v="15928.2"/>
        <n v="3624.13"/>
        <n v="34937.07"/>
        <n v="4002.16"/>
        <n v="41220.129999999997"/>
        <n v="10092.99"/>
        <n v="5082.22"/>
        <n v="2803.03"/>
        <n v="30856.5"/>
        <n v="47198.45"/>
        <n v="24139.46"/>
        <n v="31792.02"/>
        <n v="24609.98"/>
        <n v="14641.76"/>
        <n v="3610.6"/>
        <n v="41226.15"/>
        <n v="6363.84"/>
        <n v="38336.44"/>
        <n v="2980.12"/>
        <n v="3730.3"/>
        <n v="44394.73"/>
        <n v="24241.14"/>
        <n v="23719.52"/>
        <n v="32043.75"/>
        <n v="24145.41"/>
        <n v="1101.17"/>
        <n v="3093.45"/>
        <n v="1421.73"/>
        <n v="35531.5"/>
        <n v="3111.14"/>
        <n v="59896.69"/>
        <n v="24154.2"/>
        <n v="37644.89"/>
        <n v="19230"/>
        <n v="5089.93"/>
        <n v="645.88"/>
        <n v="43468.56"/>
        <n v="5311.68"/>
        <n v="32254.37"/>
        <n v="11552.23"/>
        <n v="9247.06"/>
        <n v="39750.94"/>
        <n v="30317.85"/>
        <n v="21773"/>
        <n v="35854.46"/>
        <n v="9088.68"/>
        <n v="9320.4"/>
        <n v="14603.52"/>
        <n v="12681.12"/>
        <n v="14359.26"/>
        <n v="1482.4"/>
        <n v="20187.87"/>
        <n v="10322.799999999999"/>
        <n v="36440.480000000003"/>
        <n v="26489.9"/>
        <n v="11015.08"/>
        <n v="34294.78"/>
        <n v="1117.56"/>
        <n v="7265.38"/>
        <n v="14510.43"/>
        <n v="1027.8499999999999"/>
        <n v="20792.96"/>
        <n v="3618.88"/>
        <n v="4391.51"/>
        <n v="6982.79"/>
        <n v="7726.4"/>
        <n v="5926.61"/>
        <n v="21675.68"/>
        <n v="2782.72"/>
        <n v="31926.38"/>
        <n v="40115.660000000003"/>
        <n v="30444.880000000001"/>
        <n v="16281.31"/>
        <n v="11961.31"/>
        <n v="15432.57"/>
        <n v="16146.02"/>
        <n v="1924.8"/>
        <n v="70165.289999999994"/>
        <n v="12247.8"/>
        <n v="22572.98"/>
        <n v="33637.42"/>
        <n v="21746.7"/>
        <n v="2174.4899999999998"/>
        <n v="32047.89"/>
        <n v="29105.21"/>
        <n v="5649.41"/>
        <n v="39714.720000000001"/>
        <n v="27987.25"/>
        <n v="1768.61"/>
        <n v="43946.19"/>
        <n v="13147.12"/>
        <n v="18279.28"/>
        <n v="2465.27"/>
        <n v="2207.2800000000002"/>
        <n v="27472.37"/>
        <n v="13433.81"/>
        <n v="8169.34"/>
        <n v="23234.98"/>
        <n v="18904.43"/>
        <n v="19775.48"/>
        <n v="17711.21"/>
        <n v="1040.3699999999999"/>
        <n v="5468.71"/>
        <n v="54236.01"/>
        <n v="24108.79"/>
        <n v="1438.89"/>
        <n v="26663.46"/>
        <n v="24767.84"/>
        <n v="26825.4"/>
        <n v="2819.87"/>
        <n v="2047.36"/>
        <n v="43921.35"/>
        <n v="11104.94"/>
        <n v="54906.9"/>
        <n v="15942.29"/>
        <n v="19415.3"/>
        <n v="17727.5"/>
        <n v="6770.35"/>
        <n v="22715.01"/>
        <n v="1488.05"/>
        <n v="3638.96"/>
        <n v="19818.5"/>
        <n v="5069.7299999999996"/>
        <n v="45731.33"/>
        <n v="45208.41"/>
        <n v="13988.64"/>
        <n v="16498.88"/>
        <n v="20055.95"/>
        <n v="24059.23"/>
        <n v="31463.360000000001"/>
        <n v="12696.98"/>
        <n v="10409.56"/>
        <n v="3953.49"/>
        <n v="1710.85"/>
        <n v="48977.71"/>
        <n v="31679.1"/>
        <n v="40508.879999999997"/>
        <n v="13569.71"/>
        <n v="16328.78"/>
        <n v="3138.6"/>
        <n v="10183.280000000001"/>
        <n v="4180.4799999999996"/>
        <n v="4848.18"/>
        <n v="20745.3"/>
        <n v="8280.2099999999991"/>
        <n v="3041.52"/>
        <n v="14061.44"/>
        <n v="3139.93"/>
        <n v="7215.04"/>
        <n v="19617.98"/>
        <n v="27749.599999999999"/>
        <n v="42465.24"/>
        <n v="5317.57"/>
        <n v="5226.7"/>
        <n v="12833.38"/>
        <n v="1915.62"/>
        <n v="20966.89"/>
        <n v="28116.1"/>
        <n v="9103.64"/>
        <n v="19928.45"/>
        <n v="2744"/>
        <n v="20901.759999999998"/>
        <n v="4479.53"/>
        <n v="19522.310000000001"/>
        <n v="30437.37"/>
        <n v="30177.4"/>
        <n v="35779.82"/>
        <n v="8214.76"/>
        <n v="9898.5"/>
        <n v="5610.37"/>
        <n v="2950.38"/>
        <n v="40745.1"/>
        <n v="15670.34"/>
        <n v="1991.89"/>
        <n v="1608.98"/>
        <n v="21051.68"/>
        <n v="17083.080000000002"/>
        <n v="32558.54"/>
        <n v="3770.17"/>
        <n v="21115.119999999999"/>
        <n v="21883.52"/>
        <n v="29009.86"/>
        <n v="10874.61"/>
        <n v="18772.13"/>
        <n v="7773.61"/>
        <n v="2334.88"/>
        <n v="6181.91"/>
        <n v="22288.6"/>
        <n v="8014.72"/>
        <n v="9252.35"/>
        <n v="37983.01"/>
        <n v="60115.99"/>
        <n v="11276.93"/>
        <n v="1109.3599999999999"/>
        <n v="28906.81"/>
        <n v="7168.8"/>
        <n v="1779.15"/>
        <n v="35065.870000000003"/>
        <n v="6621.7"/>
        <n v="12373.82"/>
        <n v="23706.959999999999"/>
        <n v="8932.68"/>
        <n v="13948.92"/>
        <n v="7280.93"/>
        <n v="5510.63"/>
        <n v="12548.3"/>
        <n v="11537.02"/>
        <n v="20039.169999999998"/>
        <n v="27215.48"/>
        <n v="24020.7"/>
        <n v="36924.379999999997"/>
        <n v="18352.87"/>
        <n v="13049.86"/>
        <n v="25272.37"/>
        <n v="49866.12"/>
        <n v="4257.96"/>
        <n v="11370.05"/>
        <n v="54317.4"/>
        <n v="22500.61"/>
        <n v="54227.75"/>
        <n v="4722.68"/>
        <n v="25757.16"/>
        <n v="44305.43"/>
        <n v="10559.8"/>
        <n v="8229.77"/>
        <n v="10241.86"/>
        <n v="27262.87"/>
        <n v="12624.44"/>
        <n v="4936.32"/>
        <n v="19413.32"/>
        <n v="34912.699999999997"/>
        <n v="21914.03"/>
      </sharedItems>
    </cacheField>
    <cacheField name="Cost" numFmtId="4">
      <sharedItems containsSemiMixedTypes="0" containsString="0" containsNumber="1" minValue="196.98" maxValue="51266.77"/>
    </cacheField>
    <cacheField name="Profit" numFmtId="4">
      <sharedItems containsSemiMixedTypes="0" containsString="0" containsNumber="1" minValue="43.58" maxValue="30229.13"/>
    </cacheField>
    <cacheField name="Channel" numFmtId="0">
      <sharedItems count="3">
        <s v="Online"/>
        <s v="Retail"/>
        <s v="Distributor"/>
      </sharedItems>
    </cacheField>
    <cacheField name="Payment" numFmtId="0">
      <sharedItems/>
    </cacheField>
    <cacheField name="Month" numFmtId="0">
      <sharedItems/>
    </cacheField>
    <cacheField name="Year" numFmtId="0">
      <sharedItems containsSemiMixedTypes="0" containsString="0" containsNumber="1" containsInteger="1" minValue="2025" maxValue="2026"/>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Excel Services" refreshedDate="46214.685645833335" createdVersion="8" refreshedVersion="8" minRefreshableVersion="3" recordCount="1000">
  <cacheSource type="worksheet">
    <worksheetSource name="Table1"/>
  </cacheSource>
  <cacheFields count="19">
    <cacheField name="Order ID" numFmtId="0">
      <sharedItems/>
    </cacheField>
    <cacheField name="Order Date" numFmtId="164">
      <sharedItems containsSemiMixedTypes="0" containsNonDate="0" containsDate="1" containsString="0" minDate="2025-01-01T00:00:00" maxDate="2026-07-01T00:00:00"/>
    </cacheField>
    <cacheField name="Region" numFmtId="0">
      <sharedItems count="4">
        <s v="West"/>
        <s v="North"/>
        <s v="South"/>
        <s v="East"/>
      </sharedItems>
    </cacheField>
    <cacheField name="State" numFmtId="0">
      <sharedItems/>
    </cacheField>
    <cacheField name="Salesperson" numFmtId="0">
      <sharedItems count="8">
        <s v="Neha"/>
        <s v="Simran"/>
        <s v="Karan"/>
        <s v="Aman"/>
        <s v="Riya"/>
        <s v="Vikram"/>
        <s v="Rahul"/>
        <s v="Priya"/>
      </sharedItems>
    </cacheField>
    <cacheField name="Customer Segment" numFmtId="0">
      <sharedItems/>
    </cacheField>
    <cacheField name="Category" numFmtId="0">
      <sharedItems count="3">
        <s v="Electronics"/>
        <s v="Furniture"/>
        <s v="Office Supplies"/>
      </sharedItems>
    </cacheField>
    <cacheField name="Sub-Category" numFmtId="0">
      <sharedItems/>
    </cacheField>
    <cacheField name="Product" numFmtId="0">
      <sharedItems count="958">
        <s v="Monitor 977"/>
        <s v="Keyboard 106"/>
        <s v="Desk 729"/>
        <s v="Notebook 529"/>
        <s v="Folders 214"/>
        <s v="Mouse 811"/>
        <s v="Notebook 563"/>
        <s v="Table 945"/>
        <s v="Pens 263"/>
        <s v="Bookshelf 801"/>
        <s v="Bookshelf 923"/>
        <s v="Folders 718"/>
        <s v="Keyboard 343"/>
        <s v="Table 196"/>
        <s v="Monitor 553"/>
        <s v="Notebook 986"/>
        <s v="Chair 892"/>
        <s v="Folders 124"/>
        <s v="Monitor 310"/>
        <s v="Desk 591"/>
        <s v="Desk 319"/>
        <s v="Desk 988"/>
        <s v="Desk 832"/>
        <s v="Cabinet 739"/>
        <s v="Desk 548"/>
        <s v="Table 231"/>
        <s v="Monitor 993"/>
        <s v="Mouse 698"/>
        <s v="Folders 978"/>
        <s v="Keyboard 708"/>
        <s v="Paper 900"/>
        <s v="Bookshelf 409"/>
        <s v="Table 762"/>
        <s v="Cabinet 255"/>
        <s v="Bookshelf 578"/>
        <s v="Headphones 959"/>
        <s v="Folders 391"/>
        <s v="Chair 798"/>
        <s v="Folders 463"/>
        <s v="Monitor 190"/>
        <s v="Mouse 139"/>
        <s v="Desk 827"/>
        <s v="Paper 634"/>
        <s v="Paper 843"/>
        <s v="Folders 924"/>
        <s v="Table 721"/>
        <s v="Cabinet 458"/>
        <s v="Printer Ink 873"/>
        <s v="Chair 470"/>
        <s v="Bookshelf 990"/>
        <s v="Monitor 114"/>
        <s v="Printer Ink 219"/>
        <s v="Laptop 321"/>
        <s v="Monitor 601"/>
        <s v="Paper 813"/>
        <s v="Headphones 910"/>
        <s v="Pens 384"/>
        <s v="Chair 861"/>
        <s v="Headphones 637"/>
        <s v="Paper 262"/>
        <s v="Notebook 785"/>
        <s v="Desk 469"/>
        <s v="Printer Ink 841"/>
        <s v="Chair 319"/>
        <s v="Pens 674"/>
        <s v="Table 245"/>
        <s v="Chair 134"/>
        <s v="Paper 723"/>
        <s v="Bookshelf 305"/>
        <s v="Paper 971"/>
        <s v="Headphones 943"/>
        <s v="Notebook 347"/>
        <s v="Paper 713"/>
        <s v="Bookshelf 557"/>
        <s v="Folders 754"/>
        <s v="Laptop 894"/>
        <s v="Folders 493"/>
        <s v="Mouse 893"/>
        <s v="Printer Ink 539"/>
        <s v="Monitor 668"/>
        <s v="Paper 687"/>
        <s v="Headphones 784"/>
        <s v="Monitor 195"/>
        <s v="Notebook 465"/>
        <s v="Bookshelf 886"/>
        <s v="Headphones 615"/>
        <s v="Desk 202"/>
        <s v="Chair 997"/>
        <s v="Bookshelf 751"/>
        <s v="Printer Ink 413"/>
        <s v="Bookshelf 729"/>
        <s v="Mouse 209"/>
        <s v="Paper 376"/>
        <s v="Keyboard 412"/>
        <s v="Printer Ink 710"/>
        <s v="Mouse 795"/>
        <s v="Mouse 787"/>
        <s v="Mouse 670"/>
        <s v="Headphones 827"/>
        <s v="Desk 569"/>
        <s v="Keyboard 608"/>
        <s v="Bookshelf 175"/>
        <s v="Headphones 255"/>
        <s v="Keyboard 705"/>
        <s v="Headphones 855"/>
        <s v="Keyboard 475"/>
        <s v="Notebook 490"/>
        <s v="Monitor 421"/>
        <s v="Laptop 694"/>
        <s v="Cabinet 383"/>
        <s v="Desk 253"/>
        <s v="Mouse 551"/>
        <s v="Printer Ink 171"/>
        <s v="Paper 446"/>
        <s v="Folders 427"/>
        <s v="Headphones 977"/>
        <s v="Paper 978"/>
        <s v="Monitor 876"/>
        <s v="Table 525"/>
        <s v="Mouse 195"/>
        <s v="Headphones 297"/>
        <s v="Table 544"/>
        <s v="Cabinet 979"/>
        <s v="Chair 176"/>
        <s v="Monitor 404"/>
        <s v="Cabinet 756"/>
        <s v="Monitor 307"/>
        <s v="Mouse 675"/>
        <s v="Folders 713"/>
        <s v="Table 536"/>
        <s v="Cabinet 354"/>
        <s v="Monitor 943"/>
        <s v="Desk 793"/>
        <s v="Desk 458"/>
        <s v="Desk 480"/>
        <s v="Cabinet 217"/>
        <s v="Mouse 886"/>
        <s v="Notebook 493"/>
        <s v="Keyboard 126"/>
        <s v="Notebook 702"/>
        <s v="Folders 102"/>
        <s v="Folders 688"/>
        <s v="Mouse 560"/>
        <s v="Notebook 418"/>
        <s v="Printer Ink 694"/>
        <s v="Notebook 161"/>
        <s v="Pens 538"/>
        <s v="Mouse 579"/>
        <s v="Monitor 465"/>
        <s v="Notebook 978"/>
        <s v="Desk 758"/>
        <s v="Paper 905"/>
        <s v="Notebook 639"/>
        <s v="Headphones 174"/>
        <s v="Cabinet 469"/>
        <s v="Desk 602"/>
        <s v="Pens 738"/>
        <s v="Pens 252"/>
        <s v="Table 229"/>
        <s v="Mouse 234"/>
        <s v="Desk 848"/>
        <s v="Bookshelf 982"/>
        <s v="Laptop 234"/>
        <s v="Table 699"/>
        <s v="Paper 393"/>
        <s v="Table 497"/>
        <s v="Folders 506"/>
        <s v="Printer Ink 926"/>
        <s v="Notebook 894"/>
        <s v="Notebook 801"/>
        <s v="Pens 518"/>
        <s v="Bookshelf 744"/>
        <s v="Desk 936"/>
        <s v="Headphones 791"/>
        <s v="Folders 405"/>
        <s v="Bookshelf 810"/>
        <s v="Laptop 973"/>
        <s v="Bookshelf 672"/>
        <s v="Monitor 230"/>
        <s v="Mouse 989"/>
        <s v="Keyboard 362"/>
        <s v="Keyboard 202"/>
        <s v="Monitor 444"/>
        <s v="Cabinet 740"/>
        <s v="Notebook 632"/>
        <s v="Folders 590"/>
        <s v="Laptop 713"/>
        <s v="Desk 221"/>
        <s v="Table 314"/>
        <s v="Desk 686"/>
        <s v="Printer Ink 904"/>
        <s v="Paper 835"/>
        <s v="Bookshelf 150"/>
        <s v="Laptop 458"/>
        <s v="Folders 368"/>
        <s v="Desk 389"/>
        <s v="Paper 487"/>
        <s v="Desk 803"/>
        <s v="Chair 668"/>
        <s v="Mouse 624"/>
        <s v="Desk 120"/>
        <s v="Monitor 171"/>
        <s v="Table 382"/>
        <s v="Notebook 303"/>
        <s v="Monitor 101"/>
        <s v="Cabinet 518"/>
        <s v="Keyboard 513"/>
        <s v="Mouse 381"/>
        <s v="Pens 366"/>
        <s v="Mouse 594"/>
        <s v="Chair 895"/>
        <s v="Headphones 437"/>
        <s v="Cabinet 179"/>
        <s v="Headphones 355"/>
        <s v="Laptop 647"/>
        <s v="Folders 609"/>
        <s v="Cabinet 982"/>
        <s v="Monitor 368"/>
        <s v="Printer Ink 274"/>
        <s v="Paper 332"/>
        <s v="Notebook 431"/>
        <s v="Printer Ink 452"/>
        <s v="Paper 371"/>
        <s v="Pens 547"/>
        <s v="Laptop 446"/>
        <s v="Folders 141"/>
        <s v="Cabinet 321"/>
        <s v="Paper 350"/>
        <s v="Printer Ink 318"/>
        <s v="Folders 640"/>
        <s v="Headphones 919"/>
        <s v="Pens 374"/>
        <s v="Laptop 165"/>
        <s v="Monitor 806"/>
        <s v="Printer Ink 466"/>
        <s v="Monitor 453"/>
        <s v="Mouse 432"/>
        <s v="Mouse 867"/>
        <s v="Desk 486"/>
        <s v="Table 193"/>
        <s v="Headphones 166"/>
        <s v="Laptop 232"/>
        <s v="Pens 383"/>
        <s v="Headphones 882"/>
        <s v="Cabinet 589"/>
        <s v="Mouse 752"/>
        <s v="Headphones 242"/>
        <s v="Headphones 817"/>
        <s v="Notebook 948"/>
        <s v="Monitor 626"/>
        <s v="Laptop 927"/>
        <s v="Desk 692"/>
        <s v="Notebook 790"/>
        <s v="Desk 574"/>
        <s v="Headphones 250"/>
        <s v="Monitor 546"/>
        <s v="Monitor 552"/>
        <s v="Notebook 127"/>
        <s v="Keyboard 189"/>
        <s v="Paper 239"/>
        <s v="Pens 333"/>
        <s v="Mouse 849"/>
        <s v="Mouse 898"/>
        <s v="Bookshelf 661"/>
        <s v="Chair 411"/>
        <s v="Monitor 680"/>
        <s v="Folders 702"/>
        <s v="Mouse 977"/>
        <s v="Monitor 461"/>
        <s v="Chair 462"/>
        <s v="Cabinet 294"/>
        <s v="Printer Ink 428"/>
        <s v="Laptop 612"/>
        <s v="Headphones 951"/>
        <s v="Paper 848"/>
        <s v="Chair 363"/>
        <s v="Mouse 642"/>
        <s v="Printer Ink 977"/>
        <s v="Cabinet 332"/>
        <s v="Cabinet 737"/>
        <s v="Paper 958"/>
        <s v="Printer Ink 489"/>
        <s v="Mouse 239"/>
        <s v="Bookshelf 136"/>
        <s v="Pens 977"/>
        <s v="Folders 121"/>
        <s v="Keyboard 248"/>
        <s v="Laptop 524"/>
        <s v="Headphones 662"/>
        <s v="Table 259"/>
        <s v="Mouse 403"/>
        <s v="Folders 159"/>
        <s v="Printer Ink 365"/>
        <s v="Desk 698"/>
        <s v="Bookshelf 230"/>
        <s v="Headphones 173"/>
        <s v="Laptop 423"/>
        <s v="Pens 104"/>
        <s v="Mouse 658"/>
        <s v="Table 232"/>
        <s v="Pens 986"/>
        <s v="Monitor 898"/>
        <s v="Keyboard 491"/>
        <s v="Headphones 388"/>
        <s v="Desk 530"/>
        <s v="Laptop 798"/>
        <s v="Headphones 141"/>
        <s v="Headphones 672"/>
        <s v="Chair 910"/>
        <s v="Laptop 287"/>
        <s v="Cabinet 890"/>
        <s v="Bookshelf 734"/>
        <s v="Mouse 585"/>
        <s v="Headphones 779"/>
        <s v="Keyboard 241"/>
        <s v="Folders 236"/>
        <s v="Chair 877"/>
        <s v="Mouse 550"/>
        <s v="Paper 392"/>
        <s v="Printer Ink 526"/>
        <s v="Bookshelf 762"/>
        <s v="Laptop 107"/>
        <s v="Keyboard 271"/>
        <s v="Chair 897"/>
        <s v="Monitor 996"/>
        <s v="Bookshelf 681"/>
        <s v="Headphones 374"/>
        <s v="Desk 939"/>
        <s v="Folders 538"/>
        <s v="Folders 308"/>
        <s v="Paper 364"/>
        <s v="Pens 982"/>
        <s v="Table 917"/>
        <s v="Bookshelf 806"/>
        <s v="Notebook 155"/>
        <s v="Cabinet 202"/>
        <s v="Keyboard 342"/>
        <s v="Paper 697"/>
        <s v="Chair 598"/>
        <s v="Chair 862"/>
        <s v="Pens 817"/>
        <s v="Chair 812"/>
        <s v="Laptop 558"/>
        <s v="Folders 767"/>
        <s v="Pens 787"/>
        <s v="Headphones 163"/>
        <s v="Monitor 839"/>
        <s v="Cabinet 298"/>
        <s v="Laptop 779"/>
        <s v="Folders 608"/>
        <s v="Paper 546"/>
        <s v="Desk 838"/>
        <s v="Monitor 458"/>
        <s v="Folders 664"/>
        <s v="Table 681"/>
        <s v="Mouse 591"/>
        <s v="Pens 763"/>
        <s v="Mouse 176"/>
        <s v="Table 453"/>
        <s v="Bookshelf 742"/>
        <s v="Mouse 888"/>
        <s v="Cabinet 351"/>
        <s v="Pens 682"/>
        <s v="Pens 792"/>
        <s v="Laptop 875"/>
        <s v="Keyboard 585"/>
        <s v="Chair 299"/>
        <s v="Chair 799"/>
        <s v="Notebook 839"/>
        <s v="Cabinet 263"/>
        <s v="Mouse 460"/>
        <s v="Chair 924"/>
        <s v="Mouse 220"/>
        <s v="Paper 401"/>
        <s v="Table 278"/>
        <s v="Notebook 851"/>
        <s v="Notebook 261"/>
        <s v="Pens 214"/>
        <s v="Notebook 833"/>
        <s v="Paper 141"/>
        <s v="Chair 187"/>
        <s v="Table 159"/>
        <s v="Paper 694"/>
        <s v="Monitor 359"/>
        <s v="Bookshelf 131"/>
        <s v="Notebook 939"/>
        <s v="Laptop 920"/>
        <s v="Laptop 591"/>
        <s v="Pens 176"/>
        <s v="Cabinet 971"/>
        <s v="Mouse 952"/>
        <s v="Chair 611"/>
        <s v="Folders 196"/>
        <s v="Paper 770"/>
        <s v="Chair 524"/>
        <s v="Bookshelf 440"/>
        <s v="Cabinet 296"/>
        <s v="Keyboard 886"/>
        <s v="Bookshelf 573"/>
        <s v="Keyboard 920"/>
        <s v="Mouse 386"/>
        <s v="Mouse 538"/>
        <s v="Table 523"/>
        <s v="Printer Ink 587"/>
        <s v="Desk 802"/>
        <s v="Mouse 236"/>
        <s v="Notebook 852"/>
        <s v="Keyboard 658"/>
        <s v="Chair 224"/>
        <s v="Paper 726"/>
        <s v="Mouse 264"/>
        <s v="Mouse 999"/>
        <s v="Mouse 839"/>
        <s v="Table 224"/>
        <s v="Folders 824"/>
        <s v="Headphones 459"/>
        <s v="Desk 426"/>
        <s v="Keyboard 204"/>
        <s v="Keyboard 890"/>
        <s v="Keyboard 873"/>
        <s v="Paper 677"/>
        <s v="Paper 842"/>
        <s v="Bookshelf 332"/>
        <s v="Chair 690"/>
        <s v="Headphones 816"/>
        <s v="Keyboard 550"/>
        <s v="Chair 702"/>
        <s v="Bookshelf 580"/>
        <s v="Pens 604"/>
        <s v="Desk 575"/>
        <s v="Cabinet 662"/>
        <s v="Chair 662"/>
        <s v="Bookshelf 438"/>
        <s v="Laptop 110"/>
        <s v="Folders 811"/>
        <s v="Desk 102"/>
        <s v="Desk 691"/>
        <s v="Laptop 657"/>
        <s v="Pens 484"/>
        <s v="Mouse 383"/>
        <s v="Mouse 828"/>
        <s v="Headphones 294"/>
        <s v="Pens 332"/>
        <s v="Desk 954"/>
        <s v="Keyboard 987"/>
        <s v="Notebook 397"/>
        <s v="Headphones 208"/>
        <s v="Chair 580"/>
        <s v="Table 502"/>
        <s v="Folders 567"/>
        <s v="Laptop 970"/>
        <s v="Printer Ink 800"/>
        <s v="Printer Ink 773"/>
        <s v="Folders 853"/>
        <s v="Chair 685"/>
        <s v="Folders 572"/>
        <s v="Keyboard 997"/>
        <s v="Folders 975"/>
        <s v="Desk 265"/>
        <s v="Bookshelf 300"/>
        <s v="Table 793"/>
        <s v="Printer Ink 966"/>
        <s v="Table 397"/>
        <s v="Keyboard 736"/>
        <s v="Bookshelf 671"/>
        <s v="Monitor 342"/>
        <s v="Printer Ink 722"/>
        <s v="Cabinet 453"/>
        <s v="Printer Ink 989"/>
        <s v="Keyboard 208"/>
        <s v="Monitor 153"/>
        <s v="Keyboard 364"/>
        <s v="Keyboard 522"/>
        <s v="Laptop 329"/>
        <s v="Paper 750"/>
        <s v="Paper 646"/>
        <s v="Desk 452"/>
        <s v="Cabinet 252"/>
        <s v="Pens 524"/>
        <s v="Cabinet 844"/>
        <s v="Folders 260"/>
        <s v="Table 974"/>
        <s v="Keyboard 481"/>
        <s v="Folders 365"/>
        <s v="Monitor 883"/>
        <s v="Printer Ink 651"/>
        <s v="Bookshelf 743"/>
        <s v="Mouse 399"/>
        <s v="Cabinet 770"/>
        <s v="Folders 327"/>
        <s v="Printer Ink 329"/>
        <s v="Folders 468"/>
        <s v="Folders 535"/>
        <s v="Cabinet 638"/>
        <s v="Laptop 170"/>
        <s v="Monitor 249"/>
        <s v="Keyboard 600"/>
        <s v="Monitor 861"/>
        <s v="Desk 514"/>
        <s v="Laptop 251"/>
        <s v="Headphones 603"/>
        <s v="Table 712"/>
        <s v="Paper 930"/>
        <s v="Table 356"/>
        <s v="Laptop 801"/>
        <s v="Pens 776"/>
        <s v="Folders 641"/>
        <s v="Paper 583"/>
        <s v="Laptop 606"/>
        <s v="Table 459"/>
        <s v="Table 576"/>
        <s v="Pens 400"/>
        <s v="Printer Ink 398"/>
        <s v="Monitor 238"/>
        <s v="Pens 571"/>
        <s v="Laptop 200"/>
        <s v="Mouse 822"/>
        <s v="Table 959"/>
        <s v="Notebook 819"/>
        <s v="Table 487"/>
        <s v="Folders 223"/>
        <s v="Keyboard 372"/>
        <s v="Notebook 861"/>
        <s v="Laptop 699"/>
        <s v="Printer Ink 805"/>
        <s v="Headphones 171"/>
        <s v="Bookshelf 975"/>
        <s v="Chair 437"/>
        <s v="Monitor 924"/>
        <s v="Pens 200"/>
        <s v="Pens 594"/>
        <s v="Chair 163"/>
        <s v="Mouse 857"/>
        <s v="Paper 637"/>
        <s v="Pens 361"/>
        <s v="Desk 972"/>
        <s v="Chair 964"/>
        <s v="Paper 448"/>
        <s v="Desk 775"/>
        <s v="Bookshelf 170"/>
        <s v="Monitor 945"/>
        <s v="Cabinet 908"/>
        <s v="Notebook 297"/>
        <s v="Printer Ink 412"/>
        <s v="Bookshelf 371"/>
        <s v="Notebook 689"/>
        <s v="Keyboard 165"/>
        <s v="Table 392"/>
        <s v="Pens 541"/>
        <s v="Table 543"/>
        <s v="Laptop 486"/>
        <s v="Mouse 167"/>
        <s v="Laptop 638"/>
        <s v="Bookshelf 876"/>
        <s v="Headphones 990"/>
        <s v="Cabinet 503"/>
        <s v="Bookshelf 281"/>
        <s v="Printer Ink 224"/>
        <s v="Chair 275"/>
        <s v="Pens 974"/>
        <s v="Monitor 864"/>
        <s v="Pens 906"/>
        <s v="Laptop 471"/>
        <s v="Laptop 691"/>
        <s v="Bookshelf 186"/>
        <s v="Cabinet 272"/>
        <s v="Paper 514"/>
        <s v="Chair 300"/>
        <s v="Cabinet 914"/>
        <s v="Printer Ink 819"/>
        <s v="Keyboard 876"/>
        <s v="Chair 731"/>
        <s v="Monitor 305"/>
        <s v="Keyboard 719"/>
        <s v="Mouse 605"/>
        <s v="Mouse 792"/>
        <s v="Paper 940"/>
        <s v="Notebook 655"/>
        <s v="Bookshelf 241"/>
        <s v="Desk 101"/>
        <s v="Keyboard 806"/>
        <s v="Monitor 793"/>
        <s v="Table 432"/>
        <s v="Folders 684"/>
        <s v="Printer Ink 284"/>
        <s v="Headphones 875"/>
        <s v="Cabinet 864"/>
        <s v="Cabinet 846"/>
        <s v="Mouse 231"/>
        <s v="Bookshelf 733"/>
        <s v="Cabinet 540"/>
        <s v="Cabinet 309"/>
        <s v="Paper 530"/>
        <s v="Table 106"/>
        <s v="Chair 688"/>
        <s v="Printer Ink 375"/>
        <s v="Folders 240"/>
        <s v="Printer Ink 635"/>
        <s v="Bookshelf 243"/>
        <s v="Headphones 566"/>
        <s v="Paper 690"/>
        <s v="Laptop 762"/>
        <s v="Pens 498"/>
        <s v="Cabinet 140"/>
        <s v="Monitor 541"/>
        <s v="Paper 577"/>
        <s v="Cabinet 264"/>
        <s v="Bookshelf 483"/>
        <s v="Mouse 577"/>
        <s v="Notebook 871"/>
        <s v="Table 500"/>
        <s v="Keyboard 801"/>
        <s v="Monitor 697"/>
        <s v="Paper 792"/>
        <s v="Chair 518"/>
        <s v="Pens 888"/>
        <s v="Bookshelf 591"/>
        <s v="Mouse 711"/>
        <s v="Cabinet 300"/>
        <s v="Folders 661"/>
        <s v="Paper 243"/>
        <s v="Table 616"/>
        <s v="Notebook 664"/>
        <s v="Mouse 280"/>
        <s v="Chair 703"/>
        <s v="Headphones 725"/>
        <s v="Monitor 291"/>
        <s v="Desk 740"/>
        <s v="Printer Ink 417"/>
        <s v="Chair 590"/>
        <s v="Folders 384"/>
        <s v="Folders 441"/>
        <s v="Desk 920"/>
        <s v="Bookshelf 627"/>
        <s v="Desk 635"/>
        <s v="Desk 564"/>
        <s v="Mouse 569"/>
        <s v="Paper 751"/>
        <s v="Cabinet 621"/>
        <s v="Mouse 319"/>
        <s v="Keyboard 626"/>
        <s v="Table 125"/>
        <s v="Printer Ink 243"/>
        <s v="Keyboard 570"/>
        <s v="Cabinet 643"/>
        <s v="Desk 861"/>
        <s v="Folders 173"/>
        <s v="Folders 759"/>
        <s v="Mouse 788"/>
        <s v="Chair 737"/>
        <s v="Mouse 626"/>
        <s v="Paper 280"/>
        <s v="Table 139"/>
        <s v="Chair 844"/>
        <s v="Bookshelf 468"/>
        <s v="Cabinet 558"/>
        <s v="Headphones 774"/>
        <s v="Printer Ink 775"/>
        <s v="Pens 321"/>
        <s v="Chair 153"/>
        <s v="Folders 191"/>
        <s v="Table 918"/>
        <s v="Laptop 456"/>
        <s v="Pens 380"/>
        <s v="Table 258"/>
        <s v="Bookshelf 903"/>
        <s v="Printer Ink 577"/>
        <s v="Notebook 789"/>
        <s v="Desk 561"/>
        <s v="Cabinet 306"/>
        <s v="Laptop 196"/>
        <s v="Desk 697"/>
        <s v="Notebook 754"/>
        <s v="Laptop 826"/>
        <s v="Chair 249"/>
        <s v="Monitor 255"/>
        <s v="Laptop 123"/>
        <s v="Monitor 704"/>
        <s v="Monitor 126"/>
        <s v="Table 996"/>
        <s v="Headphones 373"/>
        <s v="Headphones 782"/>
        <s v="Table 409"/>
        <s v="Headphones 214"/>
        <s v="Paper 654"/>
        <s v="Mouse 993"/>
        <s v="Monitor 647"/>
        <s v="Chair 738"/>
        <s v="Mouse 747"/>
        <s v="Notebook 564"/>
        <s v="Desk 417"/>
        <s v="Monitor 937"/>
        <s v="Headphones 747"/>
        <s v="Printer Ink 836"/>
        <s v="Paper 906"/>
        <s v="Keyboard 370"/>
        <s v="Laptop 561"/>
        <s v="Cabinet 667"/>
        <s v="Printer Ink 592"/>
        <s v="Laptop 511"/>
        <s v="Folders 793"/>
        <s v="Table 853"/>
        <s v="Mouse 798"/>
        <s v="Paper 189"/>
        <s v="Cabinet 554"/>
        <s v="Laptop 652"/>
        <s v="Pens 959"/>
        <s v="Headphones 975"/>
        <s v="Notebook 158"/>
        <s v="Printer Ink 602"/>
        <s v="Laptop 831"/>
        <s v="Paper 759"/>
        <s v="Table 236"/>
        <s v="Desk 783"/>
        <s v="Pens 209"/>
        <s v="Monitor 402"/>
        <s v="Keyboard 164"/>
        <s v="Cabinet 990"/>
        <s v="Notebook 524"/>
        <s v="Cabinet 949"/>
        <s v="Printer Ink 956"/>
        <s v="Bookshelf 907"/>
        <s v="Notebook 241"/>
        <s v="Table 257"/>
        <s v="Pens 477"/>
        <s v="Pens 265"/>
        <s v="Printer Ink 971"/>
        <s v="Chair 240"/>
        <s v="Cabinet 243"/>
        <s v="Cabinet 284"/>
        <s v="Table 323"/>
        <s v="Pens 358"/>
        <s v="Bookshelf 630"/>
        <s v="Headphones 734"/>
        <s v="Desk 823"/>
        <s v="Chair 117"/>
        <s v="Chair 977"/>
        <s v="Cabinet 111"/>
        <s v="Printer Ink 379"/>
        <s v="Pens 678"/>
        <s v="Headphones 993"/>
        <s v="Folders 315"/>
        <s v="Pens 410"/>
        <s v="Paper 765"/>
        <s v="Chair 498"/>
        <s v="Paper 529"/>
        <s v="Keyboard 752"/>
        <s v="Headphones 700"/>
        <s v="Pens 371"/>
        <s v="Laptop 688"/>
        <s v="Cabinet 663"/>
        <s v="Desk 457"/>
        <s v="Bookshelf 951"/>
        <s v="Desk 694"/>
        <s v="Mouse 539"/>
        <s v="Paper 527"/>
        <s v="Monitor 422"/>
        <s v="Folders 317"/>
        <s v="Notebook 487"/>
        <s v="Notebook 720"/>
        <s v="Bookshelf 870"/>
        <s v="Desk 982"/>
        <s v="Notebook 194"/>
        <s v="Folders 262"/>
        <s v="Desk 916"/>
        <s v="Notebook 209"/>
        <s v="Bookshelf 649"/>
        <s v="Paper 991"/>
        <s v="Notebook 129"/>
        <s v="Chair 109"/>
        <s v="Mouse 597"/>
        <s v="Cabinet 893"/>
        <s v="Laptop 689"/>
        <s v="Paper 491"/>
        <s v="Printer Ink 643"/>
        <s v="Pens 872"/>
        <s v="Keyboard 240"/>
        <s v="Mouse 717"/>
        <s v="Notebook 460"/>
        <s v="Headphones 492"/>
        <s v="Mouse 927"/>
        <s v="Cabinet 116"/>
        <s v="Bookshelf 163"/>
        <s v="Table 781"/>
        <s v="Printer Ink 492"/>
        <s v="Printer Ink 596"/>
        <s v="Bookshelf 416"/>
        <s v="Paper 270"/>
        <s v="Monitor 147"/>
        <s v="Keyboard 995"/>
        <s v="Table 321"/>
        <s v="Keyboard 411"/>
        <s v="Headphones 263"/>
        <s v="Folders 613"/>
        <s v="Printer Ink 182"/>
        <s v="Mouse 126"/>
        <s v="Chair 369"/>
        <s v="Headphones 803"/>
        <s v="Table 924"/>
        <s v="Bookshelf 566"/>
        <s v="Folders 325"/>
        <s v="Notebook 526"/>
        <s v="Mouse 116"/>
        <s v="Paper 442"/>
        <s v="Laptop 356"/>
        <s v="Cabinet 196"/>
        <s v="Folders 957"/>
        <s v="Folders 626"/>
        <s v="Headphones 908"/>
        <s v="Folders 655"/>
        <s v="Headphones 210"/>
        <s v="Bookshelf 285"/>
        <s v="Desk 295"/>
        <s v="Cabinet 797"/>
        <s v="Bookshelf 909"/>
        <s v="Keyboard 238"/>
        <s v="Pens 605"/>
        <s v="Printer Ink 148"/>
        <s v="Mouse 840"/>
        <s v="Folders 289"/>
        <s v="Pens 319"/>
        <s v="Cabinet 497"/>
        <s v="Desk 712"/>
        <s v="Chair 744"/>
        <s v="Printer Ink 355"/>
        <s v="Keyboard 366"/>
        <s v="Pens 839"/>
        <s v="Bookshelf 799"/>
        <s v="Folders 983"/>
        <s v="Notebook 717"/>
        <s v="Bookshelf 754"/>
        <s v="Paper 282"/>
        <s v="Notebook 966"/>
        <s v="Laptop 317"/>
        <s v="Bookshelf 651"/>
        <s v="Mouse 404"/>
        <s v="Printer Ink 905"/>
        <s v="Monitor 765"/>
        <s v="Monitor 278"/>
        <s v="Desk 980"/>
        <s v="Keyboard 332"/>
        <s v="Notebook 808"/>
        <s v="Paper 831"/>
        <s v="Paper 790"/>
        <s v="Monitor 119"/>
        <s v="Table 423"/>
        <s v="Pens 454"/>
        <s v="Notebook 941"/>
        <s v="Bookshelf 176"/>
        <s v="Chair 978"/>
        <s v="Notebook 705"/>
        <s v="Chair 636"/>
        <s v="Printer Ink 516"/>
        <s v="Cabinet 689"/>
        <s v="Table 787"/>
        <s v="Cabinet 277"/>
        <s v="Table 398"/>
        <s v="Mouse 805"/>
        <s v="Mouse 392"/>
        <s v="Pens 401"/>
        <s v="Bookshelf 928"/>
        <s v="Monitor 926"/>
        <s v="Folders 925"/>
        <s v="Cabinet 274"/>
        <s v="Folders 525"/>
        <s v="Notebook 400"/>
        <s v="Cabinet 852"/>
        <s v="Laptop 238"/>
        <s v="Printer Ink 660"/>
        <s v="Table 648"/>
        <s v="Keyboard 870"/>
        <s v="Cabinet 455"/>
        <s v="Paper 609"/>
        <s v="Paper 658"/>
        <s v="Headphones 980"/>
        <s v="Mouse 440"/>
        <s v="Printer Ink 293"/>
        <s v="Chair 774"/>
        <s v="Headphones 276"/>
        <s v="Cabinet 765"/>
        <s v="Pens 935"/>
        <s v="Pens 309"/>
        <s v="Table 930"/>
        <s v="Headphones 695"/>
        <s v="Monitor 958"/>
        <s v="Paper 673"/>
        <s v="Keyboard 379"/>
        <s v="Headphones 991"/>
        <s v="Desk 364"/>
        <s v="Mouse 809"/>
        <s v="Bookshelf 629"/>
        <s v="Pens 438"/>
        <s v="Bookshelf 809"/>
        <s v="Pens 363"/>
        <s v="Chair 569"/>
        <s v="Pens 599"/>
        <s v="Cabinet 242"/>
        <s v="Bookshelf 434"/>
        <s v="Bookshelf 196"/>
        <s v="Headphones 944"/>
        <s v="Mouse 285"/>
        <s v="Pens 758"/>
        <s v="Folders 279"/>
        <s v="Mouse 847"/>
        <s v="Folders 266"/>
        <s v="Paper 533"/>
        <s v="Chair 555"/>
        <s v="Mouse 819"/>
        <s v="Desk 352"/>
        <s v="Cabinet 828"/>
        <s v="Bookshelf 494"/>
        <s v="Cabinet 984"/>
        <s v="Table 350"/>
        <s v="Paper 998"/>
        <s v="Printer Ink 810"/>
        <s v="Folders 115"/>
        <s v="Desk 614"/>
        <s v="Headphones 682"/>
        <s v="Monitor 314"/>
        <s v="Pens 924"/>
        <s v="Monitor 140"/>
        <s v="Laptop 550"/>
        <s v="Folders 817"/>
        <s v="Printer Ink 319"/>
        <s v="Laptop 747"/>
        <s v="Monitor 605"/>
        <s v="Notebook 247"/>
        <s v="Desk 372"/>
        <s v="Cabinet 941"/>
        <s v="Bookshelf 617"/>
        <s v="Monitor 155"/>
        <s v="Keyboard 567"/>
        <s v="Mouse 329"/>
        <s v="Laptop 873"/>
        <s v="Cabinet 167"/>
        <s v="Folders 776"/>
        <s v="Paper 250"/>
        <s v="Paper 735"/>
        <s v="Desk 989"/>
        <s v="Cabinet 502"/>
        <s v="Folders 723"/>
        <s v="Keyboard 161"/>
        <s v="Notebook 737"/>
        <s v="Keyboard 710"/>
        <s v="Cabinet 110"/>
        <s v="Notebook 504"/>
        <s v="Monitor 510"/>
        <s v="Mouse 677"/>
        <s v="Headphones 400"/>
        <s v="Cabinet 271"/>
        <s v="Desk 105"/>
        <s v="Table 110"/>
        <s v="Headphones 836"/>
        <s v="Monitor 271"/>
        <s v="Chair 534"/>
        <s v="Mouse 245"/>
        <s v="Desk 746"/>
        <s v="Headphones 124"/>
      </sharedItems>
    </cacheField>
    <cacheField name="Units" numFmtId="0">
      <sharedItems containsSemiMixedTypes="0" containsString="0" containsNumber="1" containsInteger="1" minValue="1" maxValue="15"/>
    </cacheField>
    <cacheField name="Unit Price" numFmtId="4">
      <sharedItems containsSemiMixedTypes="0" containsString="0" containsNumber="1" minValue="203.18" maxValue="4997.2700000000004"/>
    </cacheField>
    <cacheField name="Discount %" numFmtId="0">
      <sharedItems containsSemiMixedTypes="0" containsString="0" containsNumber="1" containsInteger="1" minValue="0" maxValue="20"/>
    </cacheField>
    <cacheField name="Revenue" numFmtId="4">
      <sharedItems containsSemiMixedTypes="0" containsString="0" containsNumber="1" minValue="240.56" maxValue="70165.289999999994" count="1000">
        <n v="21996.799999999999"/>
        <n v="41400.6"/>
        <n v="45597.27"/>
        <n v="44207.45"/>
        <n v="20608.54"/>
        <n v="42906.2"/>
        <n v="4275.3900000000003"/>
        <n v="18082.009999999998"/>
        <n v="53125.94"/>
        <n v="18727.419999999998"/>
        <n v="12781.8"/>
        <n v="9791.6200000000008"/>
        <n v="817.43"/>
        <n v="34223.440000000002"/>
        <n v="12702.6"/>
        <n v="9985.9699999999993"/>
        <n v="3382.08"/>
        <n v="17442.04"/>
        <n v="23921.1"/>
        <n v="6079.71"/>
        <n v="44504.83"/>
        <n v="4412.8500000000004"/>
        <n v="4235.04"/>
        <n v="3877.87"/>
        <n v="17821.54"/>
        <n v="7780.51"/>
        <n v="7019.42"/>
        <n v="3311.1"/>
        <n v="24762.59"/>
        <n v="1089.8"/>
        <n v="17654.5"/>
        <n v="48229.599999999999"/>
        <n v="20473.63"/>
        <n v="15385.97"/>
        <n v="3688.3"/>
        <n v="29133.84"/>
        <n v="1987.94"/>
        <n v="6634.37"/>
        <n v="41025.160000000003"/>
        <n v="45219.8"/>
        <n v="7326.12"/>
        <n v="20999.89"/>
        <n v="35530.910000000003"/>
        <n v="3882.15"/>
        <n v="1709.41"/>
        <n v="6662.39"/>
        <n v="7014.3"/>
        <n v="12500.74"/>
        <n v="11485.37"/>
        <n v="56543.38"/>
        <n v="10764.84"/>
        <n v="41876.410000000003"/>
        <n v="22315.74"/>
        <n v="736.24"/>
        <n v="2004.8"/>
        <n v="8982.92"/>
        <n v="17717.060000000001"/>
        <n v="31187.65"/>
        <n v="56184.57"/>
        <n v="51821.75"/>
        <n v="37579.18"/>
        <n v="35035.339999999997"/>
        <n v="2158.6"/>
        <n v="1907.07"/>
        <n v="6534.58"/>
        <n v="13905.48"/>
        <n v="29562.39"/>
        <n v="14895.64"/>
        <n v="15759.84"/>
        <n v="34147.26"/>
        <n v="21297.86"/>
        <n v="26272.92"/>
        <n v="17586.669999999998"/>
        <n v="59474.54"/>
        <n v="1898.27"/>
        <n v="9126.68"/>
        <n v="1884.23"/>
        <n v="4248.5600000000004"/>
        <n v="30997.1"/>
        <n v="26614.44"/>
        <n v="10980.94"/>
        <n v="9064.5"/>
        <n v="36291.519999999997"/>
        <n v="1533.3"/>
        <n v="4818.5600000000004"/>
        <n v="7857.13"/>
        <n v="26167.9"/>
        <n v="33382.559999999998"/>
        <n v="31517.42"/>
        <n v="3892.39"/>
        <n v="37666.080000000002"/>
        <n v="59731.75"/>
        <n v="22544.82"/>
        <n v="5279.67"/>
        <n v="6182.33"/>
        <n v="30943.81"/>
        <n v="18648.669999999998"/>
        <n v="12932.96"/>
        <n v="34278.089999999997"/>
        <n v="46358.23"/>
        <n v="12312.22"/>
        <n v="25595.279999999999"/>
        <n v="2532.91"/>
        <n v="11520.81"/>
        <n v="7946.44"/>
        <n v="39046.04"/>
        <n v="11082.79"/>
        <n v="23912.47"/>
        <n v="47847.360000000001"/>
        <n v="3865.18"/>
        <n v="11116.08"/>
        <n v="25613.06"/>
        <n v="17927.41"/>
        <n v="27404.73"/>
        <n v="48204.6"/>
        <n v="37685.64"/>
        <n v="13336.89"/>
        <n v="27795.41"/>
        <n v="2865.35"/>
        <n v="23632.18"/>
        <n v="8693.68"/>
        <n v="2320.64"/>
        <n v="20782.939999999999"/>
        <n v="24055.77"/>
        <n v="28730.77"/>
        <n v="7419.05"/>
        <n v="6110.58"/>
        <n v="8038.44"/>
        <n v="50241.3"/>
        <n v="8619.83"/>
        <n v="3968.2"/>
        <n v="22814.400000000001"/>
        <n v="20420.330000000002"/>
        <n v="24546.05"/>
        <n v="17235.400000000001"/>
        <n v="18191.78"/>
        <n v="3731.76"/>
        <n v="717.39"/>
        <n v="13232.72"/>
        <n v="6515.43"/>
        <n v="5039.2299999999996"/>
        <n v="18877.400000000001"/>
        <n v="4329.5"/>
        <n v="12263.16"/>
        <n v="4316.57"/>
        <n v="16360.7"/>
        <n v="27478.12"/>
        <n v="21083.33"/>
        <n v="10774.97"/>
        <n v="8794.6"/>
        <n v="12054.39"/>
        <n v="28248.959999999999"/>
        <n v="35755.379999999997"/>
        <n v="15667.39"/>
        <n v="47298.89"/>
        <n v="9547.74"/>
        <n v="15564.59"/>
        <n v="23226.91"/>
        <n v="20859.12"/>
        <n v="7586.21"/>
        <n v="4012.82"/>
        <n v="37129.730000000003"/>
        <n v="10582.11"/>
        <n v="22605.67"/>
        <n v="34505.040000000001"/>
        <n v="30137.8"/>
        <n v="17081.47"/>
        <n v="22509.19"/>
        <n v="65947"/>
        <n v="10516.95"/>
        <n v="51114.02"/>
        <n v="10535.27"/>
        <n v="52459.11"/>
        <n v="3402.77"/>
        <n v="5100.0600000000004"/>
        <n v="5715.5"/>
        <n v="12009.09"/>
        <n v="41685.800000000003"/>
        <n v="4052.22"/>
        <n v="9572.19"/>
        <n v="2799.3"/>
        <n v="6653.57"/>
        <n v="5877.76"/>
        <n v="6973.64"/>
        <n v="13555.62"/>
        <n v="14366.11"/>
        <n v="22895.66"/>
        <n v="16634.62"/>
        <n v="28517.1"/>
        <n v="6370.98"/>
        <n v="29945.86"/>
        <n v="6995.56"/>
        <n v="17784.2"/>
        <n v="7321.36"/>
        <n v="30315.89"/>
        <n v="3716.43"/>
        <n v="35656.92"/>
        <n v="4921.3999999999996"/>
        <n v="5178.82"/>
        <n v="12849.09"/>
        <n v="7484.06"/>
        <n v="8192.5400000000009"/>
        <n v="27534.86"/>
        <n v="23067.29"/>
        <n v="7178.62"/>
        <n v="8295.73"/>
        <n v="1952.89"/>
        <n v="4883.8100000000004"/>
        <n v="34844.639999999999"/>
        <n v="6095.02"/>
        <n v="4359.04"/>
        <n v="1920.82"/>
        <n v="24226.38"/>
        <n v="52654.8"/>
        <n v="5975.86"/>
        <n v="41314.21"/>
        <n v="23846.32"/>
        <n v="9113.35"/>
        <n v="11160.6"/>
        <n v="16066.38"/>
        <n v="3219.39"/>
        <n v="19222.919999999998"/>
        <n v="16239.27"/>
        <n v="39017.07"/>
        <n v="4057.97"/>
        <n v="1631.97"/>
        <n v="3291.2"/>
        <n v="16532.04"/>
        <n v="12551.63"/>
        <n v="10222.780000000001"/>
        <n v="51776.06"/>
        <n v="46425.84"/>
        <n v="15639.39"/>
        <n v="18278.13"/>
        <n v="14952.15"/>
        <n v="8240.94"/>
        <n v="14986.95"/>
        <n v="24194.81"/>
        <n v="45583.53"/>
        <n v="6686.66"/>
        <n v="8555.16"/>
        <n v="12407.76"/>
        <n v="2461.2600000000002"/>
        <n v="3934.28"/>
        <n v="21872.79"/>
        <n v="1147.9000000000001"/>
        <n v="35876.089999999997"/>
        <n v="1402.43"/>
        <n v="4509.16"/>
        <n v="8062.47"/>
        <n v="21076.68"/>
        <n v="8792.5300000000007"/>
        <n v="49928.95"/>
        <n v="23646.92"/>
        <n v="38423.699999999997"/>
        <n v="13986.96"/>
        <n v="12881.7"/>
        <n v="45933.66"/>
        <n v="4276.2"/>
        <n v="5687.57"/>
        <n v="10615.24"/>
        <n v="45171.7"/>
        <n v="9086.98"/>
        <n v="27889.919999999998"/>
        <n v="3055.92"/>
        <n v="5880.13"/>
        <n v="7487.26"/>
        <n v="44019.53"/>
        <n v="25935.84"/>
        <n v="24009.279999999999"/>
        <n v="22933.27"/>
        <n v="9098.0400000000009"/>
        <n v="9802.2999999999993"/>
        <n v="18018.53"/>
        <n v="10279.379999999999"/>
        <n v="5891.16"/>
        <n v="26751.83"/>
        <n v="20333.7"/>
        <n v="9939.3799999999992"/>
        <n v="32001"/>
        <n v="6959.3"/>
        <n v="5133.5"/>
        <n v="5850.72"/>
        <n v="3256.66"/>
        <n v="14184.28"/>
        <n v="3531.58"/>
        <n v="16059.49"/>
        <n v="21977.93"/>
        <n v="23892.94"/>
        <n v="27681.58"/>
        <n v="46696.3"/>
        <n v="45952.43"/>
        <n v="13714.96"/>
        <n v="47993.68"/>
        <n v="4872.21"/>
        <n v="12513.32"/>
        <n v="30990.6"/>
        <n v="4269.34"/>
        <n v="21910.240000000002"/>
        <n v="3825.87"/>
        <n v="17341.89"/>
        <n v="28485.11"/>
        <n v="2233.12"/>
        <n v="3539.71"/>
        <n v="12350.16"/>
        <n v="11879.62"/>
        <n v="42015.17"/>
        <n v="62990.07"/>
        <n v="39378.080000000002"/>
        <n v="31888.080000000002"/>
        <n v="5632.07"/>
        <n v="21251.34"/>
        <n v="3392.82"/>
        <n v="5027.04"/>
        <n v="10914.95"/>
        <n v="24819.74"/>
        <n v="24518.31"/>
        <n v="57655.32"/>
        <n v="12199.03"/>
        <n v="18617.439999999999"/>
        <n v="14080.25"/>
        <n v="11881.84"/>
        <n v="4334.08"/>
        <n v="3007"/>
        <n v="18756.36"/>
        <n v="5731.08"/>
        <n v="19639.12"/>
        <n v="7947.68"/>
        <n v="28635.64"/>
        <n v="35981.279999999999"/>
        <n v="6610.25"/>
        <n v="11247.88"/>
        <n v="703.07"/>
        <n v="67463.149999999994"/>
        <n v="47159.63"/>
        <n v="21945"/>
        <n v="7256.2"/>
        <n v="9489.59"/>
        <n v="546.65"/>
        <n v="16712.63"/>
        <n v="30458.53"/>
        <n v="2080.65"/>
        <n v="4638.0200000000004"/>
        <n v="3987.9"/>
        <n v="21028.01"/>
        <n v="11557.44"/>
        <n v="50086.47"/>
        <n v="4991.22"/>
        <n v="20001.07"/>
        <n v="22024.2"/>
        <n v="23465.41"/>
        <n v="6429.7"/>
        <n v="23972.02"/>
        <n v="18766.23"/>
        <n v="14703.88"/>
        <n v="3583.5"/>
        <n v="15040.49"/>
        <n v="44252.55"/>
        <n v="24142.1"/>
        <n v="30029.57"/>
        <n v="2154.1"/>
        <n v="4359.88"/>
        <n v="16887.900000000001"/>
        <n v="11803.51"/>
        <n v="5044.2"/>
        <n v="9832.59"/>
        <n v="8285"/>
        <n v="17944.849999999999"/>
        <n v="1724.88"/>
        <n v="16282.07"/>
        <n v="35134.559999999998"/>
        <n v="47038.19"/>
        <n v="5541.6"/>
        <n v="10796.37"/>
        <n v="6493.93"/>
        <n v="7959.84"/>
        <n v="17600.759999999998"/>
        <n v="30093.72"/>
        <n v="17024.669999999998"/>
        <n v="46952.44"/>
        <n v="35948.61"/>
        <n v="3423.56"/>
        <n v="10061.17"/>
        <n v="2488.16"/>
        <n v="868.08"/>
        <n v="27901.46"/>
        <n v="19722.96"/>
        <n v="14047.88"/>
        <n v="11831.15"/>
        <n v="2779.03"/>
        <n v="1904.31"/>
        <n v="4683.0200000000004"/>
        <n v="39658.559999999998"/>
        <n v="21173.57"/>
        <n v="26355.19"/>
        <n v="50187.98"/>
        <n v="37159.54"/>
        <n v="11238"/>
        <n v="30212.69"/>
        <n v="3453.39"/>
        <n v="2343.98"/>
        <n v="16498.400000000001"/>
        <n v="13017.23"/>
        <n v="26078.14"/>
        <n v="18430.34"/>
        <n v="18279.29"/>
        <n v="18436.009999999998"/>
        <n v="26778.77"/>
        <n v="33213.74"/>
        <n v="2011.48"/>
        <n v="48739.45"/>
        <n v="31063.34"/>
        <n v="21135.03"/>
        <n v="10915.25"/>
        <n v="58093.08"/>
        <n v="1063.42"/>
        <n v="3280"/>
        <n v="28936.799999999999"/>
        <n v="4194.93"/>
        <n v="47061.7"/>
        <n v="4956.67"/>
        <n v="7109.82"/>
        <n v="4044.44"/>
        <n v="30535.52"/>
        <n v="16438.8"/>
        <n v="33381.120000000003"/>
        <n v="21092.85"/>
        <n v="10849.2"/>
        <n v="16547.189999999999"/>
        <n v="3681.4"/>
        <n v="21887.72"/>
        <n v="4015.27"/>
        <n v="28496.31"/>
        <n v="11558.74"/>
        <n v="11884.45"/>
        <n v="40610.019999999997"/>
        <n v="7134.84"/>
        <n v="5912.86"/>
        <n v="23523.97"/>
        <n v="5852.35"/>
        <n v="43690.77"/>
        <n v="3400.71"/>
        <n v="14241.72"/>
        <n v="41583.26"/>
        <n v="3628.58"/>
        <n v="9607.27"/>
        <n v="25670.46"/>
        <n v="1146.67"/>
        <n v="9678.6200000000008"/>
        <n v="9963.84"/>
        <n v="17597.07"/>
        <n v="37505.1"/>
        <n v="18451.55"/>
        <n v="12477.93"/>
        <n v="6888.1"/>
        <n v="16017.46"/>
        <n v="3756.48"/>
        <n v="36760.019999999997"/>
        <n v="4355.29"/>
        <n v="9091.02"/>
        <n v="14503.02"/>
        <n v="22950.85"/>
        <n v="48909.1"/>
        <n v="22140.65"/>
        <n v="35646.699999999997"/>
        <n v="22565.97"/>
        <n v="58229.79"/>
        <n v="50911.61"/>
        <n v="1557.54"/>
        <n v="7659.75"/>
        <n v="13849.02"/>
        <n v="9909.73"/>
        <n v="16301.63"/>
        <n v="28459.97"/>
        <n v="29389.71"/>
        <n v="26588.48"/>
        <n v="1035.52"/>
        <n v="3821.05"/>
        <n v="19684"/>
        <n v="2153.06"/>
        <n v="16801.2"/>
        <n v="5239.17"/>
        <n v="12002.94"/>
        <n v="47047.3"/>
        <n v="330.52"/>
        <n v="46156.78"/>
        <n v="19050.939999999999"/>
        <n v="38840.800000000003"/>
        <n v="4366.71"/>
        <n v="24275.69"/>
        <n v="34270.17"/>
        <n v="3471.59"/>
        <n v="2846.62"/>
        <n v="1778.22"/>
        <n v="50001.21"/>
        <n v="7481.06"/>
        <n v="16274.88"/>
        <n v="8719.08"/>
        <n v="8648.5499999999993"/>
        <n v="4377.57"/>
        <n v="31979.22"/>
        <n v="37720.44"/>
        <n v="29197.42"/>
        <n v="17716.84"/>
        <n v="3675.52"/>
        <n v="2373.88"/>
        <n v="8893.42"/>
        <n v="15423.42"/>
        <n v="7300.59"/>
        <n v="2695.22"/>
        <n v="39368.160000000003"/>
        <n v="41867.699999999997"/>
        <n v="5979.92"/>
        <n v="2529.8200000000002"/>
        <n v="4514.88"/>
        <n v="13828.32"/>
        <n v="5180.28"/>
        <n v="11630.21"/>
        <n v="4669.3100000000004"/>
        <n v="19096.45"/>
        <n v="7170.82"/>
        <n v="24298.22"/>
        <n v="19813.86"/>
        <n v="6594.44"/>
        <n v="3949.24"/>
        <n v="15507.86"/>
        <n v="10005.040000000001"/>
        <n v="17083.98"/>
        <n v="1359.15"/>
        <n v="17909.64"/>
        <n v="30440.01"/>
        <n v="3647.9"/>
        <n v="4567.75"/>
        <n v="21793.27"/>
        <n v="3810.91"/>
        <n v="11326.07"/>
        <n v="32031.3"/>
        <n v="32610.799999999999"/>
        <n v="3052.2"/>
        <n v="13215.15"/>
        <n v="27254.9"/>
        <n v="24825.85"/>
        <n v="23461.65"/>
        <n v="5171.6000000000004"/>
        <n v="18029.759999999998"/>
        <n v="3171.69"/>
        <n v="36932.639999999999"/>
        <n v="18184.16"/>
        <n v="8988.1200000000008"/>
        <n v="11620.1"/>
        <n v="16290.86"/>
        <n v="6875.82"/>
        <n v="25093.32"/>
        <n v="12454.27"/>
        <n v="6923.62"/>
        <n v="30345.08"/>
        <n v="50769.55"/>
        <n v="15573.32"/>
        <n v="58264.11"/>
        <n v="3028.46"/>
        <n v="19461.900000000001"/>
        <n v="7323.9"/>
        <n v="3300.05"/>
        <n v="11983.34"/>
        <n v="2495.38"/>
        <n v="27171.040000000001"/>
        <n v="15401.04"/>
        <n v="24566.77"/>
        <n v="2632.9"/>
        <n v="32251.040000000001"/>
        <n v="35472.44"/>
        <n v="44472.06"/>
        <n v="9985.32"/>
        <n v="3324.22"/>
        <n v="43899.17"/>
        <n v="4527.22"/>
        <n v="40662.1"/>
        <n v="31657.1"/>
        <n v="1765.76"/>
        <n v="2710.67"/>
        <n v="19420.8"/>
        <n v="4845.34"/>
        <n v="4553.4399999999996"/>
        <n v="12102.69"/>
        <n v="9784.89"/>
        <n v="63361.77"/>
        <n v="52274.79"/>
        <n v="45172.39"/>
        <n v="11060.76"/>
        <n v="17363.5"/>
        <n v="23037.24"/>
        <n v="52164.38"/>
        <n v="44840.79"/>
        <n v="670.71"/>
        <n v="3241.44"/>
        <n v="7278.18"/>
        <n v="43872.31"/>
        <n v="1990.8"/>
        <n v="32110.38"/>
        <n v="3955.97"/>
        <n v="9719.2199999999993"/>
        <n v="12945.17"/>
        <n v="46045.86"/>
        <n v="51418.2"/>
        <n v="15117.16"/>
        <n v="5011.53"/>
        <n v="7340.47"/>
        <n v="7563.93"/>
        <n v="8080.78"/>
        <n v="19030.61"/>
        <n v="2755.5"/>
        <n v="26898.12"/>
        <n v="45936.98"/>
        <n v="2339.69"/>
        <n v="12946.88"/>
        <n v="33117.599999999999"/>
        <n v="35193.769999999997"/>
        <n v="26634.47"/>
        <n v="31500.92"/>
        <n v="3215.04"/>
        <n v="25372.49"/>
        <n v="7097.26"/>
        <n v="24252.35"/>
        <n v="10567.72"/>
        <n v="986.29"/>
        <n v="41633.760000000002"/>
        <n v="3685.84"/>
        <n v="34860.239999999998"/>
        <n v="5929.34"/>
        <n v="15503.23"/>
        <n v="31855.37"/>
        <n v="21479.13"/>
        <n v="21036.65"/>
        <n v="1645"/>
        <n v="3340.94"/>
        <n v="8140.63"/>
        <n v="40635.269999999997"/>
        <n v="646.11"/>
        <n v="8039.46"/>
        <n v="16440"/>
        <n v="775.78"/>
        <n v="36093.870000000003"/>
        <n v="18760.32"/>
        <n v="38199.120000000003"/>
        <n v="12566.04"/>
        <n v="2754.7"/>
        <n v="36442.28"/>
        <n v="30326.66"/>
        <n v="1402.24"/>
        <n v="12026.72"/>
        <n v="67903.960000000006"/>
        <n v="22133.040000000001"/>
        <n v="29191.82"/>
        <n v="15146.57"/>
        <n v="780.04"/>
        <n v="1145.24"/>
        <n v="28284.84"/>
        <n v="52133.26"/>
        <n v="24865.42"/>
        <n v="35917.51"/>
        <n v="39592.58"/>
        <n v="32879.68"/>
        <n v="1564.14"/>
        <n v="7112.38"/>
        <n v="6063.6"/>
        <n v="3607.64"/>
        <n v="31254.720000000001"/>
        <n v="10922.19"/>
        <n v="19157.13"/>
        <n v="3042.78"/>
        <n v="7609.93"/>
        <n v="52229.77"/>
        <n v="28257.22"/>
        <n v="8072.02"/>
        <n v="16451.419999999998"/>
        <n v="23563.119999999999"/>
        <n v="2068.9899999999998"/>
        <n v="4133.92"/>
        <n v="3236.61"/>
        <n v="11460.34"/>
        <n v="2630.76"/>
        <n v="48198.35"/>
        <n v="9536.18"/>
        <n v="6031.99"/>
        <n v="4711.68"/>
        <n v="1044.73"/>
        <n v="27353.759999999998"/>
        <n v="240.56"/>
        <n v="24492.44"/>
        <n v="37369.360000000001"/>
        <n v="33133.72"/>
        <n v="1180.0999999999999"/>
        <n v="51922.79"/>
        <n v="4520.53"/>
        <n v="7098.26"/>
        <n v="9322.9"/>
        <n v="11275.23"/>
        <n v="20687.8"/>
        <n v="14033.98"/>
        <n v="12018.05"/>
        <n v="8520.1200000000008"/>
        <n v="7043.54"/>
        <n v="4828.01"/>
        <n v="4552.75"/>
        <n v="6845.9"/>
        <n v="8466.1"/>
        <n v="4425.7"/>
        <n v="35211.22"/>
        <n v="724.35"/>
        <n v="31692.57"/>
        <n v="39412.879999999997"/>
        <n v="42056.639999999999"/>
        <n v="4510.75"/>
        <n v="3623.19"/>
        <n v="17445.830000000002"/>
        <n v="1970.42"/>
        <n v="2642.83"/>
        <n v="10629.18"/>
        <n v="11690.9"/>
        <n v="8072.47"/>
        <n v="7004.77"/>
        <n v="36916.050000000003"/>
        <n v="41825.4"/>
        <n v="33528.480000000003"/>
        <n v="2759.79"/>
        <n v="2806.2"/>
        <n v="15457.72"/>
        <n v="12567.66"/>
        <n v="11116.6"/>
        <n v="1495.7"/>
        <n v="45753.74"/>
        <n v="5562.75"/>
        <n v="4011.09"/>
        <n v="26458.94"/>
        <n v="28574.22"/>
        <n v="8224.25"/>
        <n v="12577.9"/>
        <n v="4054.38"/>
        <n v="2279.6799999999998"/>
        <n v="17541.32"/>
        <n v="29969.54"/>
        <n v="21014.63"/>
        <n v="6025.13"/>
        <n v="4652.4799999999996"/>
        <n v="7794.14"/>
        <n v="56843.39"/>
        <n v="13240.5"/>
        <n v="6282.39"/>
        <n v="32230.959999999999"/>
        <n v="2179.69"/>
        <n v="6967.82"/>
        <n v="8350.7800000000007"/>
        <n v="4200.5600000000004"/>
        <n v="13115.2"/>
        <n v="19501.78"/>
        <n v="19760.25"/>
        <n v="35370.239999999998"/>
        <n v="31304.77"/>
        <n v="12072.08"/>
        <n v="19589.560000000001"/>
        <n v="7207.68"/>
        <n v="10279.61"/>
        <n v="4497.4399999999996"/>
        <n v="34632.57"/>
        <n v="17549.310000000001"/>
        <n v="35041.54"/>
        <n v="6573.28"/>
        <n v="15928.2"/>
        <n v="3624.13"/>
        <n v="34937.07"/>
        <n v="4002.16"/>
        <n v="41220.129999999997"/>
        <n v="10092.99"/>
        <n v="5082.22"/>
        <n v="2803.03"/>
        <n v="30856.5"/>
        <n v="47198.45"/>
        <n v="24139.46"/>
        <n v="31792.02"/>
        <n v="24609.98"/>
        <n v="14641.76"/>
        <n v="3610.6"/>
        <n v="41226.15"/>
        <n v="6363.84"/>
        <n v="38336.44"/>
        <n v="2980.12"/>
        <n v="3730.3"/>
        <n v="44394.73"/>
        <n v="24241.14"/>
        <n v="23719.52"/>
        <n v="32043.75"/>
        <n v="24145.41"/>
        <n v="1101.17"/>
        <n v="3093.45"/>
        <n v="1421.73"/>
        <n v="35531.5"/>
        <n v="3111.14"/>
        <n v="59896.69"/>
        <n v="24154.2"/>
        <n v="37644.89"/>
        <n v="19230"/>
        <n v="5089.93"/>
        <n v="645.88"/>
        <n v="43468.56"/>
        <n v="5311.68"/>
        <n v="32254.37"/>
        <n v="11552.23"/>
        <n v="9247.06"/>
        <n v="39750.94"/>
        <n v="30317.85"/>
        <n v="21773"/>
        <n v="35854.46"/>
        <n v="9088.68"/>
        <n v="9320.4"/>
        <n v="14603.52"/>
        <n v="12681.12"/>
        <n v="14359.26"/>
        <n v="1482.4"/>
        <n v="20187.87"/>
        <n v="10322.799999999999"/>
        <n v="36440.480000000003"/>
        <n v="26489.9"/>
        <n v="11015.08"/>
        <n v="34294.78"/>
        <n v="1117.56"/>
        <n v="7265.38"/>
        <n v="14510.43"/>
        <n v="1027.8499999999999"/>
        <n v="20792.96"/>
        <n v="3618.88"/>
        <n v="4391.51"/>
        <n v="6982.79"/>
        <n v="7726.4"/>
        <n v="5926.61"/>
        <n v="21675.68"/>
        <n v="2782.72"/>
        <n v="31926.38"/>
        <n v="40115.660000000003"/>
        <n v="30444.880000000001"/>
        <n v="16281.31"/>
        <n v="11961.31"/>
        <n v="15432.57"/>
        <n v="16146.02"/>
        <n v="1924.8"/>
        <n v="70165.289999999994"/>
        <n v="12247.8"/>
        <n v="22572.98"/>
        <n v="33637.42"/>
        <n v="21746.7"/>
        <n v="2174.4899999999998"/>
        <n v="32047.89"/>
        <n v="29105.21"/>
        <n v="5649.41"/>
        <n v="39714.720000000001"/>
        <n v="27987.25"/>
        <n v="1768.61"/>
        <n v="43946.19"/>
        <n v="13147.12"/>
        <n v="18279.28"/>
        <n v="2465.27"/>
        <n v="2207.2800000000002"/>
        <n v="27472.37"/>
        <n v="13433.81"/>
        <n v="8169.34"/>
        <n v="23234.98"/>
        <n v="18904.43"/>
        <n v="19775.48"/>
        <n v="17711.21"/>
        <n v="1040.3699999999999"/>
        <n v="5468.71"/>
        <n v="54236.01"/>
        <n v="24108.79"/>
        <n v="1438.89"/>
        <n v="26663.46"/>
        <n v="24767.84"/>
        <n v="26825.4"/>
        <n v="2819.87"/>
        <n v="2047.36"/>
        <n v="43921.35"/>
        <n v="11104.94"/>
        <n v="54906.9"/>
        <n v="15942.29"/>
        <n v="19415.3"/>
        <n v="17727.5"/>
        <n v="6770.35"/>
        <n v="22715.01"/>
        <n v="1488.05"/>
        <n v="3638.96"/>
        <n v="19818.5"/>
        <n v="5069.7299999999996"/>
        <n v="45731.33"/>
        <n v="45208.41"/>
        <n v="13988.64"/>
        <n v="16498.88"/>
        <n v="20055.95"/>
        <n v="24059.23"/>
        <n v="31463.360000000001"/>
        <n v="12696.98"/>
        <n v="10409.56"/>
        <n v="3953.49"/>
        <n v="1710.85"/>
        <n v="48977.71"/>
        <n v="31679.1"/>
        <n v="40508.879999999997"/>
        <n v="13569.71"/>
        <n v="16328.78"/>
        <n v="3138.6"/>
        <n v="10183.280000000001"/>
        <n v="4180.4799999999996"/>
        <n v="4848.18"/>
        <n v="20745.3"/>
        <n v="8280.2099999999991"/>
        <n v="3041.52"/>
        <n v="14061.44"/>
        <n v="3139.93"/>
        <n v="7215.04"/>
        <n v="19617.98"/>
        <n v="27749.599999999999"/>
        <n v="42465.24"/>
        <n v="5317.57"/>
        <n v="5226.7"/>
        <n v="12833.38"/>
        <n v="1915.62"/>
        <n v="20966.89"/>
        <n v="28116.1"/>
        <n v="9103.64"/>
        <n v="19928.45"/>
        <n v="2744"/>
        <n v="20901.759999999998"/>
        <n v="4479.53"/>
        <n v="19522.310000000001"/>
        <n v="30437.37"/>
        <n v="30177.4"/>
        <n v="35779.82"/>
        <n v="8214.76"/>
        <n v="9898.5"/>
        <n v="5610.37"/>
        <n v="2950.38"/>
        <n v="40745.1"/>
        <n v="15670.34"/>
        <n v="1991.89"/>
        <n v="1608.98"/>
        <n v="21051.68"/>
        <n v="17083.080000000002"/>
        <n v="32558.54"/>
        <n v="3770.17"/>
        <n v="21115.119999999999"/>
        <n v="21883.52"/>
        <n v="29009.86"/>
        <n v="10874.61"/>
        <n v="18772.13"/>
        <n v="7773.61"/>
        <n v="2334.88"/>
        <n v="6181.91"/>
        <n v="22288.6"/>
        <n v="8014.72"/>
        <n v="9252.35"/>
        <n v="37983.01"/>
        <n v="60115.99"/>
        <n v="11276.93"/>
        <n v="1109.3599999999999"/>
        <n v="28906.81"/>
        <n v="7168.8"/>
        <n v="1779.15"/>
        <n v="35065.870000000003"/>
        <n v="6621.7"/>
        <n v="12373.82"/>
        <n v="23706.959999999999"/>
        <n v="8932.68"/>
        <n v="13948.92"/>
        <n v="7280.93"/>
        <n v="5510.63"/>
        <n v="12548.3"/>
        <n v="11537.02"/>
        <n v="20039.169999999998"/>
        <n v="27215.48"/>
        <n v="24020.7"/>
        <n v="36924.379999999997"/>
        <n v="18352.87"/>
        <n v="13049.86"/>
        <n v="25272.37"/>
        <n v="49866.12"/>
        <n v="4257.96"/>
        <n v="11370.05"/>
        <n v="54317.4"/>
        <n v="22500.61"/>
        <n v="54227.75"/>
        <n v="4722.68"/>
        <n v="25757.16"/>
        <n v="44305.43"/>
        <n v="10559.8"/>
        <n v="8229.77"/>
        <n v="10241.86"/>
        <n v="27262.87"/>
        <n v="12624.44"/>
        <n v="4936.32"/>
        <n v="19413.32"/>
        <n v="34912.699999999997"/>
        <n v="21914.03"/>
        <n v="12601.55"/>
      </sharedItems>
    </cacheField>
    <cacheField name="Cost" numFmtId="4">
      <sharedItems containsSemiMixedTypes="0" containsString="0" containsNumber="1" minValue="196.98" maxValue="51266.77"/>
    </cacheField>
    <cacheField name="Profit" numFmtId="4">
      <sharedItems containsSemiMixedTypes="0" containsString="0" containsNumber="1" minValue="43.58" maxValue="30229.13"/>
    </cacheField>
    <cacheField name="Channel" numFmtId="0">
      <sharedItems count="3">
        <s v="Online"/>
        <s v="Retail"/>
        <s v="Distributor"/>
      </sharedItems>
    </cacheField>
    <cacheField name="Payment" numFmtId="0">
      <sharedItems/>
    </cacheField>
    <cacheField name="Month" numFmtId="0">
      <sharedItems count="12">
        <s v="May"/>
        <s v="October"/>
        <s v="February"/>
        <s v="March"/>
        <s v="September"/>
        <s v="July"/>
        <s v="August"/>
        <s v="April"/>
        <s v="November"/>
        <s v="January"/>
        <s v="June"/>
        <s v="December"/>
      </sharedItems>
    </cacheField>
    <cacheField name="Year" numFmtId="0">
      <sharedItems containsSemiMixedTypes="0" containsString="0" containsNumber="1" containsInteger="1" minValue="2025" maxValue="2026" count="2">
        <n v="2025"/>
        <n v="2026"/>
      </sharedItems>
    </cacheField>
  </cacheFields>
  <extLst>
    <ext xmlns:x14="http://schemas.microsoft.com/office/spreadsheetml/2009/9/main" uri="{725AE2AE-9491-48be-B2B4-4EB974FC3084}">
      <x14:pivotCacheDefinition pivotCacheId="73947062"/>
    </ext>
  </extLst>
</pivotCacheDefinition>
</file>

<file path=xl/pivotCache/pivotCacheRecords1.xml><?xml version="1.0" encoding="utf-8"?>
<pivotCacheRecords xmlns="http://schemas.openxmlformats.org/spreadsheetml/2006/main" xmlns:r="http://schemas.openxmlformats.org/officeDocument/2006/relationships" count="999">
  <r>
    <s v="ORD100002"/>
    <d v="2025-05-13T00:00:00"/>
    <x v="0"/>
    <s v="Mumbai"/>
    <x v="0"/>
    <x v="0"/>
    <x v="0"/>
    <s v="Monitor"/>
    <x v="0"/>
    <n v="7"/>
    <n v="3307.79"/>
    <n v="5"/>
    <x v="0"/>
    <n v="13289.01"/>
    <n v="8707.7900000000009"/>
    <x v="0"/>
    <s v="Card"/>
    <s v="May"/>
    <n v="2025"/>
  </r>
  <r>
    <s v="ORD100003"/>
    <d v="2026-05-08T00:00:00"/>
    <x v="0"/>
    <s v="Mumbai"/>
    <x v="1"/>
    <x v="1"/>
    <x v="0"/>
    <s v="Keyboard"/>
    <x v="1"/>
    <n v="10"/>
    <n v="4140.0600000000004"/>
    <n v="0"/>
    <x v="1"/>
    <n v="32613.85"/>
    <n v="8786.75"/>
    <x v="0"/>
    <s v="Card"/>
    <s v="May"/>
    <n v="2026"/>
  </r>
  <r>
    <s v="ORD100004"/>
    <d v="2025-10-13T00:00:00"/>
    <x v="1"/>
    <s v="Delhi"/>
    <x v="1"/>
    <x v="2"/>
    <x v="1"/>
    <s v="Desk"/>
    <x v="2"/>
    <n v="13"/>
    <n v="4126.45"/>
    <n v="15"/>
    <x v="2"/>
    <n v="26050.2"/>
    <n v="19547.07"/>
    <x v="1"/>
    <s v="UPI"/>
    <s v="October"/>
    <n v="2025"/>
  </r>
  <r>
    <s v="ORD100005"/>
    <d v="2026-02-20T00:00:00"/>
    <x v="0"/>
    <s v="Mumbai"/>
    <x v="2"/>
    <x v="2"/>
    <x v="2"/>
    <s v="Notebook"/>
    <x v="3"/>
    <n v="11"/>
    <n v="4728.07"/>
    <n v="15"/>
    <x v="3"/>
    <n v="31674.14"/>
    <n v="12533.31"/>
    <x v="2"/>
    <s v="Net Banking"/>
    <s v="February"/>
    <n v="2026"/>
  </r>
  <r>
    <s v="ORD100006"/>
    <d v="2025-03-01T00:00:00"/>
    <x v="0"/>
    <s v="Mumbai"/>
    <x v="3"/>
    <x v="2"/>
    <x v="2"/>
    <s v="Folders"/>
    <x v="4"/>
    <n v="10"/>
    <n v="2169.3200000000002"/>
    <n v="5"/>
    <x v="4"/>
    <n v="15851.94"/>
    <n v="4756.6000000000004"/>
    <x v="2"/>
    <s v="UPI"/>
    <s v="March"/>
    <n v="2025"/>
  </r>
  <r>
    <s v="ORD100007"/>
    <d v="2025-09-10T00:00:00"/>
    <x v="0"/>
    <s v="Ahmedabad"/>
    <x v="3"/>
    <x v="1"/>
    <x v="0"/>
    <s v="Mouse"/>
    <x v="5"/>
    <n v="11"/>
    <n v="4333.96"/>
    <n v="10"/>
    <x v="5"/>
    <n v="26492.94"/>
    <n v="16413.259999999998"/>
    <x v="0"/>
    <s v="UPI"/>
    <s v="September"/>
    <n v="2025"/>
  </r>
  <r>
    <s v="ORD100008"/>
    <d v="2025-07-11T00:00:00"/>
    <x v="1"/>
    <s v="Chandigarh"/>
    <x v="1"/>
    <x v="0"/>
    <x v="2"/>
    <s v="Notebook"/>
    <x v="6"/>
    <n v="11"/>
    <n v="485.84"/>
    <n v="20"/>
    <x v="6"/>
    <n v="3340.42"/>
    <n v="934.97"/>
    <x v="2"/>
    <s v="Cash"/>
    <s v="July"/>
    <n v="2025"/>
  </r>
  <r>
    <s v="ORD100009"/>
    <d v="2025-08-16T00:00:00"/>
    <x v="0"/>
    <s v="Ahmedabad"/>
    <x v="2"/>
    <x v="2"/>
    <x v="1"/>
    <s v="Table"/>
    <x v="7"/>
    <n v="14"/>
    <n v="1435.08"/>
    <n v="10"/>
    <x v="7"/>
    <n v="13408.27"/>
    <n v="4673.74"/>
    <x v="2"/>
    <s v="Cash"/>
    <s v="August"/>
    <n v="2025"/>
  </r>
  <r>
    <s v="ORD100010"/>
    <d v="2026-04-30T00:00:00"/>
    <x v="0"/>
    <s v="Mumbai"/>
    <x v="4"/>
    <x v="1"/>
    <x v="2"/>
    <s v="Pens"/>
    <x v="8"/>
    <n v="12"/>
    <n v="4660.17"/>
    <n v="5"/>
    <x v="8"/>
    <n v="38250.36"/>
    <n v="14875.58"/>
    <x v="2"/>
    <s v="Card"/>
    <s v="April"/>
    <n v="2026"/>
  </r>
  <r>
    <s v="ORD100011"/>
    <d v="2026-05-23T00:00:00"/>
    <x v="2"/>
    <s v="Chennai"/>
    <x v="2"/>
    <x v="0"/>
    <x v="1"/>
    <s v="Bookshelf"/>
    <x v="9"/>
    <n v="5"/>
    <n v="4161.6499999999996"/>
    <n v="10"/>
    <x v="9"/>
    <n v="15283.82"/>
    <n v="3443.6"/>
    <x v="0"/>
    <s v="Net Banking"/>
    <s v="May"/>
    <n v="2026"/>
  </r>
  <r>
    <s v="ORD100012"/>
    <d v="2025-09-17T00:00:00"/>
    <x v="2"/>
    <s v="Bengaluru"/>
    <x v="1"/>
    <x v="0"/>
    <x v="1"/>
    <s v="Bookshelf"/>
    <x v="10"/>
    <n v="3"/>
    <n v="4734"/>
    <n v="10"/>
    <x v="10"/>
    <n v="10045.17"/>
    <n v="2736.63"/>
    <x v="0"/>
    <s v="Card"/>
    <s v="September"/>
    <n v="2025"/>
  </r>
  <r>
    <s v="ORD100013"/>
    <d v="2026-05-30T00:00:00"/>
    <x v="2"/>
    <s v="Bengaluru"/>
    <x v="2"/>
    <x v="0"/>
    <x v="2"/>
    <s v="Folders"/>
    <x v="11"/>
    <n v="8"/>
    <n v="1529.94"/>
    <n v="20"/>
    <x v="11"/>
    <n v="6042.57"/>
    <n v="3749.05"/>
    <x v="0"/>
    <s v="Net Banking"/>
    <s v="May"/>
    <n v="2026"/>
  </r>
  <r>
    <s v="ORD100014"/>
    <d v="2026-03-31T00:00:00"/>
    <x v="0"/>
    <s v="Ahmedabad"/>
    <x v="2"/>
    <x v="1"/>
    <x v="0"/>
    <s v="Keyboard"/>
    <x v="12"/>
    <n v="2"/>
    <n v="480.84"/>
    <n v="15"/>
    <x v="12"/>
    <n v="536.85"/>
    <n v="280.58"/>
    <x v="2"/>
    <s v="UPI"/>
    <s v="March"/>
    <n v="2026"/>
  </r>
  <r>
    <s v="ORD100015"/>
    <d v="2025-07-01T00:00:00"/>
    <x v="1"/>
    <s v="Delhi"/>
    <x v="4"/>
    <x v="0"/>
    <x v="1"/>
    <s v="Table"/>
    <x v="13"/>
    <n v="10"/>
    <n v="4277.93"/>
    <n v="20"/>
    <x v="13"/>
    <n v="25263.59"/>
    <n v="8959.85"/>
    <x v="1"/>
    <s v="Cash"/>
    <s v="July"/>
    <n v="2025"/>
  </r>
  <r>
    <s v="ORD100016"/>
    <d v="2025-02-02T00:00:00"/>
    <x v="0"/>
    <s v="Ahmedabad"/>
    <x v="3"/>
    <x v="0"/>
    <x v="0"/>
    <s v="Monitor"/>
    <x v="14"/>
    <n v="9"/>
    <n v="1660.47"/>
    <n v="15"/>
    <x v="14"/>
    <n v="7825.17"/>
    <n v="4877.43"/>
    <x v="0"/>
    <s v="Net Banking"/>
    <s v="February"/>
    <n v="2025"/>
  </r>
  <r>
    <s v="ORD100017"/>
    <d v="2025-11-10T00:00:00"/>
    <x v="3"/>
    <s v="Bhubaneswar"/>
    <x v="4"/>
    <x v="2"/>
    <x v="2"/>
    <s v="Notebook"/>
    <x v="15"/>
    <n v="10"/>
    <n v="1174.82"/>
    <n v="15"/>
    <x v="15"/>
    <n v="7304.46"/>
    <n v="2681.51"/>
    <x v="2"/>
    <s v="Card"/>
    <s v="November"/>
    <n v="2025"/>
  </r>
  <r>
    <s v="ORD100018"/>
    <d v="2025-03-26T00:00:00"/>
    <x v="3"/>
    <s v="Kolkata"/>
    <x v="0"/>
    <x v="2"/>
    <x v="1"/>
    <s v="Chair"/>
    <x v="16"/>
    <n v="1"/>
    <n v="3560.08"/>
    <n v="5"/>
    <x v="16"/>
    <n v="2743.47"/>
    <n v="638.61"/>
    <x v="2"/>
    <s v="Cash"/>
    <s v="March"/>
    <n v="2025"/>
  </r>
  <r>
    <s v="ORD100019"/>
    <d v="2025-01-15T00:00:00"/>
    <x v="1"/>
    <s v="Delhi"/>
    <x v="0"/>
    <x v="2"/>
    <x v="2"/>
    <s v="Folders"/>
    <x v="17"/>
    <n v="11"/>
    <n v="1585.64"/>
    <n v="0"/>
    <x v="17"/>
    <n v="9755.7099999999991"/>
    <n v="7686.33"/>
    <x v="0"/>
    <s v="Cash"/>
    <s v="January"/>
    <n v="2025"/>
  </r>
  <r>
    <s v="ORD100020"/>
    <d v="2025-09-05T00:00:00"/>
    <x v="1"/>
    <s v="Chandigarh"/>
    <x v="0"/>
    <x v="0"/>
    <x v="0"/>
    <s v="Monitor"/>
    <x v="18"/>
    <n v="10"/>
    <n v="2392.11"/>
    <n v="0"/>
    <x v="18"/>
    <n v="13775.73"/>
    <n v="10145.370000000001"/>
    <x v="2"/>
    <s v="Card"/>
    <s v="September"/>
    <n v="2025"/>
  </r>
  <r>
    <s v="ORD100021"/>
    <d v="2025-11-02T00:00:00"/>
    <x v="2"/>
    <s v="Bengaluru"/>
    <x v="2"/>
    <x v="0"/>
    <x v="1"/>
    <s v="Desk"/>
    <x v="19"/>
    <n v="3"/>
    <n v="2133.23"/>
    <n v="5"/>
    <x v="19"/>
    <n v="4281.22"/>
    <n v="1798.49"/>
    <x v="0"/>
    <s v="Card"/>
    <s v="November"/>
    <n v="2025"/>
  </r>
  <r>
    <s v="ORD100022"/>
    <d v="2026-03-19T00:00:00"/>
    <x v="1"/>
    <s v="Chandigarh"/>
    <x v="2"/>
    <x v="1"/>
    <x v="1"/>
    <s v="Desk"/>
    <x v="20"/>
    <n v="13"/>
    <n v="3603.63"/>
    <n v="5"/>
    <x v="20"/>
    <n v="29393.279999999999"/>
    <n v="15111.55"/>
    <x v="1"/>
    <s v="UPI"/>
    <s v="March"/>
    <n v="2026"/>
  </r>
  <r>
    <s v="ORD100023"/>
    <d v="2025-11-28T00:00:00"/>
    <x v="0"/>
    <s v="Mumbai"/>
    <x v="3"/>
    <x v="1"/>
    <x v="1"/>
    <s v="Desk"/>
    <x v="21"/>
    <n v="15"/>
    <n v="294.19"/>
    <n v="0"/>
    <x v="21"/>
    <n v="2928.16"/>
    <n v="1484.69"/>
    <x v="2"/>
    <s v="Cash"/>
    <s v="November"/>
    <n v="2025"/>
  </r>
  <r>
    <s v="ORD100024"/>
    <d v="2025-06-01T00:00:00"/>
    <x v="0"/>
    <s v="Mumbai"/>
    <x v="3"/>
    <x v="1"/>
    <x v="1"/>
    <s v="Desk"/>
    <x v="22"/>
    <n v="5"/>
    <n v="1058.76"/>
    <n v="20"/>
    <x v="22"/>
    <n v="3460.86"/>
    <n v="774.18"/>
    <x v="1"/>
    <s v="Card"/>
    <s v="June"/>
    <n v="2025"/>
  </r>
  <r>
    <s v="ORD100025"/>
    <d v="2026-01-11T00:00:00"/>
    <x v="3"/>
    <s v="Kolkata"/>
    <x v="2"/>
    <x v="2"/>
    <x v="1"/>
    <s v="Cabinet"/>
    <x v="23"/>
    <n v="2"/>
    <n v="2154.37"/>
    <n v="10"/>
    <x v="23"/>
    <n v="2139.33"/>
    <n v="1738.54"/>
    <x v="0"/>
    <s v="Cash"/>
    <s v="January"/>
    <n v="2026"/>
  </r>
  <r>
    <s v="ORD100026"/>
    <d v="2025-09-18T00:00:00"/>
    <x v="1"/>
    <s v="Chandigarh"/>
    <x v="1"/>
    <x v="1"/>
    <x v="1"/>
    <s v="Desk"/>
    <x v="24"/>
    <n v="6"/>
    <n v="3494.42"/>
    <n v="15"/>
    <x v="24"/>
    <n v="10897.4"/>
    <n v="6924.14"/>
    <x v="2"/>
    <s v="UPI"/>
    <s v="September"/>
    <n v="2025"/>
  </r>
  <r>
    <s v="ORD100027"/>
    <d v="2026-03-18T00:00:00"/>
    <x v="1"/>
    <s v="Chandigarh"/>
    <x v="4"/>
    <x v="0"/>
    <x v="1"/>
    <s v="Table"/>
    <x v="25"/>
    <n v="3"/>
    <n v="3241.88"/>
    <n v="20"/>
    <x v="25"/>
    <n v="5044.66"/>
    <n v="2735.85"/>
    <x v="0"/>
    <s v="Cash"/>
    <s v="March"/>
    <n v="2026"/>
  </r>
  <r>
    <s v="ORD100028"/>
    <d v="2025-12-10T00:00:00"/>
    <x v="2"/>
    <s v="Chennai"/>
    <x v="5"/>
    <x v="1"/>
    <x v="0"/>
    <s v="Monitor"/>
    <x v="26"/>
    <n v="11"/>
    <n v="750.74"/>
    <n v="15"/>
    <x v="26"/>
    <n v="3906.97"/>
    <n v="3112.45"/>
    <x v="2"/>
    <s v="Cash"/>
    <s v="December"/>
    <n v="2025"/>
  </r>
  <r>
    <s v="ORD100029"/>
    <d v="2025-09-29T00:00:00"/>
    <x v="3"/>
    <s v="Kolkata"/>
    <x v="5"/>
    <x v="1"/>
    <x v="0"/>
    <s v="Mouse"/>
    <x v="27"/>
    <n v="2"/>
    <n v="1839.5"/>
    <n v="10"/>
    <x v="27"/>
    <n v="1980.83"/>
    <n v="1330.27"/>
    <x v="2"/>
    <s v="Net Banking"/>
    <s v="September"/>
    <n v="2025"/>
  </r>
  <r>
    <s v="ORD100030"/>
    <d v="2026-02-21T00:00:00"/>
    <x v="3"/>
    <s v="Bhubaneswar"/>
    <x v="3"/>
    <x v="0"/>
    <x v="2"/>
    <s v="Folders"/>
    <x v="28"/>
    <n v="6"/>
    <n v="4855.41"/>
    <n v="15"/>
    <x v="28"/>
    <n v="19962.95"/>
    <n v="4799.6400000000003"/>
    <x v="1"/>
    <s v="UPI"/>
    <s v="February"/>
    <n v="2026"/>
  </r>
  <r>
    <s v="ORD100031"/>
    <d v="2026-04-07T00:00:00"/>
    <x v="0"/>
    <s v="Ahmedabad"/>
    <x v="6"/>
    <x v="0"/>
    <x v="0"/>
    <s v="Keyboard"/>
    <x v="29"/>
    <n v="2"/>
    <n v="573.58000000000004"/>
    <n v="5"/>
    <x v="29"/>
    <n v="866.22"/>
    <n v="223.58"/>
    <x v="2"/>
    <s v="Net Banking"/>
    <s v="April"/>
    <n v="2026"/>
  </r>
  <r>
    <s v="ORD100032"/>
    <d v="2025-12-27T00:00:00"/>
    <x v="2"/>
    <s v="Bengaluru"/>
    <x v="6"/>
    <x v="0"/>
    <x v="2"/>
    <s v="Paper"/>
    <x v="30"/>
    <n v="5"/>
    <n v="3530.9"/>
    <n v="0"/>
    <x v="30"/>
    <n v="12053.48"/>
    <n v="5601.02"/>
    <x v="0"/>
    <s v="Net Banking"/>
    <s v="December"/>
    <n v="2025"/>
  </r>
  <r>
    <s v="ORD100033"/>
    <d v="2026-04-06T00:00:00"/>
    <x v="1"/>
    <s v="Delhi"/>
    <x v="1"/>
    <x v="1"/>
    <x v="1"/>
    <s v="Bookshelf"/>
    <x v="31"/>
    <n v="10"/>
    <n v="4822.96"/>
    <n v="0"/>
    <x v="31"/>
    <n v="37692.239999999998"/>
    <n v="10537.36"/>
    <x v="2"/>
    <s v="Cash"/>
    <s v="April"/>
    <n v="2026"/>
  </r>
  <r>
    <s v="ORD100034"/>
    <d v="2026-04-22T00:00:00"/>
    <x v="3"/>
    <s v="Kolkata"/>
    <x v="4"/>
    <x v="0"/>
    <x v="1"/>
    <s v="Table"/>
    <x v="32"/>
    <n v="6"/>
    <n v="4265.34"/>
    <n v="20"/>
    <x v="32"/>
    <n v="14900.42"/>
    <n v="5573.21"/>
    <x v="0"/>
    <s v="Card"/>
    <s v="April"/>
    <n v="2026"/>
  </r>
  <r>
    <s v="ORD100035"/>
    <d v="2025-07-01T00:00:00"/>
    <x v="2"/>
    <s v="Chennai"/>
    <x v="0"/>
    <x v="0"/>
    <x v="1"/>
    <s v="Cabinet"/>
    <x v="33"/>
    <n v="13"/>
    <n v="1479.42"/>
    <n v="20"/>
    <x v="33"/>
    <n v="9859.4"/>
    <n v="5526.57"/>
    <x v="0"/>
    <s v="UPI"/>
    <s v="July"/>
    <n v="2025"/>
  </r>
  <r>
    <s v="ORD100036"/>
    <d v="2025-03-16T00:00:00"/>
    <x v="0"/>
    <s v="Ahmedabad"/>
    <x v="5"/>
    <x v="1"/>
    <x v="1"/>
    <s v="Bookshelf"/>
    <x v="34"/>
    <n v="3"/>
    <n v="1294.1400000000001"/>
    <n v="5"/>
    <x v="34"/>
    <n v="2894.35"/>
    <n v="793.95"/>
    <x v="2"/>
    <s v="Card"/>
    <s v="March"/>
    <n v="2025"/>
  </r>
  <r>
    <s v="ORD100037"/>
    <d v="2026-02-19T00:00:00"/>
    <x v="2"/>
    <s v="Chennai"/>
    <x v="5"/>
    <x v="2"/>
    <x v="0"/>
    <s v="Headphones"/>
    <x v="35"/>
    <n v="9"/>
    <n v="3596.77"/>
    <n v="10"/>
    <x v="35"/>
    <n v="22524.34"/>
    <n v="6609.5"/>
    <x v="1"/>
    <s v="Net Banking"/>
    <s v="February"/>
    <n v="2026"/>
  </r>
  <r>
    <s v="ORD100038"/>
    <d v="2025-05-06T00:00:00"/>
    <x v="3"/>
    <s v="Kolkata"/>
    <x v="0"/>
    <x v="0"/>
    <x v="2"/>
    <s v="Folders"/>
    <x v="36"/>
    <n v="1"/>
    <n v="2484.9299999999998"/>
    <n v="20"/>
    <x v="36"/>
    <n v="1400.09"/>
    <n v="587.85"/>
    <x v="1"/>
    <s v="UPI"/>
    <s v="May"/>
    <n v="2025"/>
  </r>
  <r>
    <s v="ORD100039"/>
    <d v="2025-11-17T00:00:00"/>
    <x v="1"/>
    <s v="Chandigarh"/>
    <x v="5"/>
    <x v="1"/>
    <x v="1"/>
    <s v="Chair"/>
    <x v="37"/>
    <n v="7"/>
    <n v="997.65"/>
    <n v="5"/>
    <x v="37"/>
    <n v="5416.7"/>
    <n v="1217.67"/>
    <x v="1"/>
    <s v="Card"/>
    <s v="November"/>
    <n v="2025"/>
  </r>
  <r>
    <s v="ORD100040"/>
    <d v="2025-11-08T00:00:00"/>
    <x v="1"/>
    <s v="Delhi"/>
    <x v="3"/>
    <x v="1"/>
    <x v="2"/>
    <s v="Folders"/>
    <x v="38"/>
    <n v="11"/>
    <n v="3729.56"/>
    <n v="0"/>
    <x v="38"/>
    <n v="25446.240000000002"/>
    <n v="15578.92"/>
    <x v="0"/>
    <s v="Cash"/>
    <s v="November"/>
    <n v="2025"/>
  </r>
  <r>
    <s v="ORD100041"/>
    <d v="2025-09-17T00:00:00"/>
    <x v="1"/>
    <s v="Chandigarh"/>
    <x v="6"/>
    <x v="2"/>
    <x v="0"/>
    <s v="Monitor"/>
    <x v="39"/>
    <n v="10"/>
    <n v="4521.9799999999996"/>
    <n v="0"/>
    <x v="39"/>
    <n v="36071.019999999997"/>
    <n v="9148.7800000000007"/>
    <x v="1"/>
    <s v="Cash"/>
    <s v="September"/>
    <n v="2025"/>
  </r>
  <r>
    <s v="ORD100042"/>
    <d v="2025-08-08T00:00:00"/>
    <x v="3"/>
    <s v="Bhubaneswar"/>
    <x v="1"/>
    <x v="2"/>
    <x v="0"/>
    <s v="Mouse"/>
    <x v="40"/>
    <n v="2"/>
    <n v="3663.06"/>
    <n v="0"/>
    <x v="40"/>
    <n v="5679.99"/>
    <n v="1646.13"/>
    <x v="1"/>
    <s v="Card"/>
    <s v="August"/>
    <n v="2025"/>
  </r>
  <r>
    <s v="ORD100043"/>
    <d v="2025-01-18T00:00:00"/>
    <x v="1"/>
    <s v="Chandigarh"/>
    <x v="3"/>
    <x v="1"/>
    <x v="1"/>
    <s v="Desk"/>
    <x v="41"/>
    <n v="15"/>
    <n v="1647.05"/>
    <n v="15"/>
    <x v="41"/>
    <n v="15718.56"/>
    <n v="5281.33"/>
    <x v="1"/>
    <s v="Net Banking"/>
    <s v="January"/>
    <n v="2025"/>
  </r>
  <r>
    <s v="ORD100044"/>
    <d v="2025-08-23T00:00:00"/>
    <x v="2"/>
    <s v="Bengaluru"/>
    <x v="4"/>
    <x v="2"/>
    <x v="2"/>
    <s v="Paper"/>
    <x v="42"/>
    <n v="8"/>
    <n v="4675.12"/>
    <n v="5"/>
    <x v="42"/>
    <n v="21084.47"/>
    <n v="14446.44"/>
    <x v="1"/>
    <s v="Cash"/>
    <s v="August"/>
    <n v="2025"/>
  </r>
  <r>
    <s v="ORD100045"/>
    <d v="2025-12-12T00:00:00"/>
    <x v="2"/>
    <s v="Bengaluru"/>
    <x v="0"/>
    <x v="0"/>
    <x v="2"/>
    <s v="Paper"/>
    <x v="43"/>
    <n v="2"/>
    <n v="2283.62"/>
    <n v="15"/>
    <x v="43"/>
    <n v="2432.06"/>
    <n v="1450.09"/>
    <x v="1"/>
    <s v="Card"/>
    <s v="December"/>
    <n v="2025"/>
  </r>
  <r>
    <s v="ORD100046"/>
    <d v="2025-09-24T00:00:00"/>
    <x v="2"/>
    <s v="Chennai"/>
    <x v="0"/>
    <x v="1"/>
    <x v="2"/>
    <s v="Folders"/>
    <x v="44"/>
    <n v="1"/>
    <n v="1899.34"/>
    <n v="10"/>
    <x v="44"/>
    <n v="1260.9000000000001"/>
    <n v="448.51"/>
    <x v="1"/>
    <s v="Card"/>
    <s v="September"/>
    <n v="2025"/>
  </r>
  <r>
    <s v="ORD100047"/>
    <d v="2025-01-23T00:00:00"/>
    <x v="0"/>
    <s v="Mumbai"/>
    <x v="1"/>
    <x v="0"/>
    <x v="1"/>
    <s v="Table"/>
    <x v="45"/>
    <n v="11"/>
    <n v="757.09"/>
    <n v="20"/>
    <x v="45"/>
    <n v="5262.61"/>
    <n v="1399.78"/>
    <x v="1"/>
    <s v="Net Banking"/>
    <s v="January"/>
    <n v="2025"/>
  </r>
  <r>
    <s v="ORD100048"/>
    <d v="2026-05-06T00:00:00"/>
    <x v="1"/>
    <s v="Chandigarh"/>
    <x v="5"/>
    <x v="2"/>
    <x v="1"/>
    <s v="Cabinet"/>
    <x v="46"/>
    <n v="4"/>
    <n v="2191.9699999999998"/>
    <n v="20"/>
    <x v="46"/>
    <n v="4876.67"/>
    <n v="2137.63"/>
    <x v="1"/>
    <s v="UPI"/>
    <s v="May"/>
    <n v="2026"/>
  </r>
  <r>
    <s v="ORD100049"/>
    <d v="2025-08-24T00:00:00"/>
    <x v="0"/>
    <s v="Ahmedabad"/>
    <x v="2"/>
    <x v="2"/>
    <x v="2"/>
    <s v="Printer Ink"/>
    <x v="47"/>
    <n v="7"/>
    <n v="1879.81"/>
    <n v="5"/>
    <x v="47"/>
    <n v="10170.08"/>
    <n v="2330.66"/>
    <x v="1"/>
    <s v="UPI"/>
    <s v="August"/>
    <n v="2025"/>
  </r>
  <r>
    <s v="ORD100050"/>
    <d v="2025-06-18T00:00:00"/>
    <x v="0"/>
    <s v="Ahmedabad"/>
    <x v="6"/>
    <x v="2"/>
    <x v="1"/>
    <s v="Chair"/>
    <x v="48"/>
    <n v="4"/>
    <n v="3378.05"/>
    <n v="15"/>
    <x v="48"/>
    <n v="9016.18"/>
    <n v="2469.19"/>
    <x v="2"/>
    <s v="Cash"/>
    <s v="June"/>
    <n v="2025"/>
  </r>
  <r>
    <s v="ORD100051"/>
    <d v="2025-11-15T00:00:00"/>
    <x v="2"/>
    <s v="Chennai"/>
    <x v="3"/>
    <x v="2"/>
    <x v="1"/>
    <s v="Bookshelf"/>
    <x v="49"/>
    <n v="14"/>
    <n v="4487.57"/>
    <n v="10"/>
    <x v="49"/>
    <n v="42064.17"/>
    <n v="14479.21"/>
    <x v="1"/>
    <s v="Net Banking"/>
    <s v="November"/>
    <n v="2025"/>
  </r>
  <r>
    <s v="ORD100052"/>
    <d v="2025-06-01T00:00:00"/>
    <x v="2"/>
    <s v="Chennai"/>
    <x v="2"/>
    <x v="1"/>
    <x v="0"/>
    <s v="Monitor"/>
    <x v="50"/>
    <n v="15"/>
    <n v="897.07"/>
    <n v="20"/>
    <x v="50"/>
    <n v="6665.4"/>
    <n v="4099.4399999999996"/>
    <x v="1"/>
    <s v="Cash"/>
    <s v="June"/>
    <n v="2025"/>
  </r>
  <r>
    <s v="ORD100053"/>
    <d v="2025-02-12T00:00:00"/>
    <x v="0"/>
    <s v="Mumbai"/>
    <x v="6"/>
    <x v="1"/>
    <x v="2"/>
    <s v="Printer Ink"/>
    <x v="51"/>
    <n v="11"/>
    <n v="4229.9399999999996"/>
    <n v="10"/>
    <x v="51"/>
    <n v="24036.62"/>
    <n v="17839.79"/>
    <x v="1"/>
    <s v="Cash"/>
    <s v="February"/>
    <n v="2025"/>
  </r>
  <r>
    <s v="ORD100054"/>
    <d v="2026-03-06T00:00:00"/>
    <x v="2"/>
    <s v="Bengaluru"/>
    <x v="7"/>
    <x v="2"/>
    <x v="0"/>
    <s v="Laptop"/>
    <x v="52"/>
    <n v="11"/>
    <n v="2535.88"/>
    <n v="20"/>
    <x v="52"/>
    <n v="16340.19"/>
    <n v="5975.55"/>
    <x v="1"/>
    <s v="UPI"/>
    <s v="March"/>
    <n v="2026"/>
  </r>
  <r>
    <s v="ORD100055"/>
    <d v="2025-04-03T00:00:00"/>
    <x v="0"/>
    <s v="Ahmedabad"/>
    <x v="7"/>
    <x v="2"/>
    <x v="0"/>
    <s v="Monitor"/>
    <x v="53"/>
    <n v="3"/>
    <n v="258.33"/>
    <n v="5"/>
    <x v="53"/>
    <n v="416.65"/>
    <n v="319.58999999999997"/>
    <x v="2"/>
    <s v="Cash"/>
    <s v="April"/>
    <n v="2025"/>
  </r>
  <r>
    <s v="ORD100056"/>
    <d v="2025-11-18T00:00:00"/>
    <x v="1"/>
    <s v="Delhi"/>
    <x v="6"/>
    <x v="2"/>
    <x v="2"/>
    <s v="Paper"/>
    <x v="54"/>
    <n v="2"/>
    <n v="1113.78"/>
    <n v="10"/>
    <x v="54"/>
    <n v="1559.65"/>
    <n v="445.15"/>
    <x v="1"/>
    <s v="UPI"/>
    <s v="November"/>
    <n v="2025"/>
  </r>
  <r>
    <s v="ORD100057"/>
    <d v="2025-04-12T00:00:00"/>
    <x v="2"/>
    <s v="Chennai"/>
    <x v="4"/>
    <x v="2"/>
    <x v="0"/>
    <s v="Headphones"/>
    <x v="55"/>
    <n v="15"/>
    <n v="630.38"/>
    <n v="5"/>
    <x v="55"/>
    <n v="5616.4"/>
    <n v="3366.52"/>
    <x v="1"/>
    <s v="UPI"/>
    <s v="April"/>
    <n v="2025"/>
  </r>
  <r>
    <s v="ORD100058"/>
    <d v="2025-02-16T00:00:00"/>
    <x v="0"/>
    <s v="Mumbai"/>
    <x v="6"/>
    <x v="1"/>
    <x v="2"/>
    <s v="Pens"/>
    <x v="56"/>
    <n v="10"/>
    <n v="2084.36"/>
    <n v="15"/>
    <x v="56"/>
    <n v="12306.03"/>
    <n v="5411.03"/>
    <x v="0"/>
    <s v="Card"/>
    <s v="February"/>
    <n v="2025"/>
  </r>
  <r>
    <s v="ORD100059"/>
    <d v="2026-04-14T00:00:00"/>
    <x v="3"/>
    <s v="Kolkata"/>
    <x v="7"/>
    <x v="2"/>
    <x v="1"/>
    <s v="Table"/>
    <x v="45"/>
    <n v="14"/>
    <n v="2475.21"/>
    <n v="10"/>
    <x v="57"/>
    <n v="19907.96"/>
    <n v="11279.69"/>
    <x v="1"/>
    <s v="Net Banking"/>
    <s v="April"/>
    <n v="2026"/>
  </r>
  <r>
    <s v="ORD100060"/>
    <d v="2025-11-04T00:00:00"/>
    <x v="1"/>
    <s v="Chandigarh"/>
    <x v="7"/>
    <x v="1"/>
    <x v="1"/>
    <s v="Chair"/>
    <x v="57"/>
    <n v="15"/>
    <n v="4161.82"/>
    <n v="10"/>
    <x v="58"/>
    <n v="44124.57"/>
    <n v="12060"/>
    <x v="2"/>
    <s v="Cash"/>
    <s v="November"/>
    <n v="2025"/>
  </r>
  <r>
    <s v="ORD100061"/>
    <d v="2025-01-20T00:00:00"/>
    <x v="0"/>
    <s v="Mumbai"/>
    <x v="2"/>
    <x v="2"/>
    <x v="0"/>
    <s v="Headphones"/>
    <x v="58"/>
    <n v="12"/>
    <n v="4798.3100000000004"/>
    <n v="10"/>
    <x v="59"/>
    <n v="40160.870000000003"/>
    <n v="11660.88"/>
    <x v="0"/>
    <s v="Net Banking"/>
    <s v="January"/>
    <n v="2025"/>
  </r>
  <r>
    <s v="ORD100062"/>
    <d v="2025-10-22T00:00:00"/>
    <x v="0"/>
    <s v="Ahmedabad"/>
    <x v="7"/>
    <x v="0"/>
    <x v="2"/>
    <s v="Paper"/>
    <x v="59"/>
    <n v="10"/>
    <n v="4421.08"/>
    <n v="15"/>
    <x v="60"/>
    <n v="24662.66"/>
    <n v="12916.52"/>
    <x v="0"/>
    <s v="UPI"/>
    <s v="October"/>
    <n v="2025"/>
  </r>
  <r>
    <s v="ORD100063"/>
    <d v="2025-06-19T00:00:00"/>
    <x v="0"/>
    <s v="Mumbai"/>
    <x v="7"/>
    <x v="1"/>
    <x v="2"/>
    <s v="Notebook"/>
    <x v="60"/>
    <n v="8"/>
    <n v="4866.0200000000004"/>
    <n v="10"/>
    <x v="61"/>
    <n v="25061.27"/>
    <n v="9974.07"/>
    <x v="0"/>
    <s v="UPI"/>
    <s v="June"/>
    <n v="2025"/>
  </r>
  <r>
    <s v="ORD100064"/>
    <d v="2025-10-10T00:00:00"/>
    <x v="1"/>
    <s v="Chandigarh"/>
    <x v="0"/>
    <x v="0"/>
    <x v="1"/>
    <s v="Desk"/>
    <x v="61"/>
    <n v="11"/>
    <n v="218.04"/>
    <n v="10"/>
    <x v="62"/>
    <n v="1625.19"/>
    <n v="533.41"/>
    <x v="0"/>
    <s v="Net Banking"/>
    <s v="October"/>
    <n v="2025"/>
  </r>
  <r>
    <s v="ORD100065"/>
    <d v="2025-03-02T00:00:00"/>
    <x v="1"/>
    <s v="Chandigarh"/>
    <x v="1"/>
    <x v="2"/>
    <x v="2"/>
    <s v="Printer Ink"/>
    <x v="62"/>
    <n v="1"/>
    <n v="1907.07"/>
    <n v="0"/>
    <x v="63"/>
    <n v="1131.53"/>
    <n v="775.54"/>
    <x v="2"/>
    <s v="UPI"/>
    <s v="March"/>
    <n v="2025"/>
  </r>
  <r>
    <s v="ORD100066"/>
    <d v="2025-02-01T00:00:00"/>
    <x v="1"/>
    <s v="Delhi"/>
    <x v="0"/>
    <x v="1"/>
    <x v="1"/>
    <s v="Chair"/>
    <x v="63"/>
    <n v="2"/>
    <n v="3630.32"/>
    <n v="10"/>
    <x v="64"/>
    <n v="3606.59"/>
    <n v="2927.99"/>
    <x v="0"/>
    <s v="Net Banking"/>
    <s v="February"/>
    <n v="2025"/>
  </r>
  <r>
    <s v="ORD100067"/>
    <d v="2025-07-31T00:00:00"/>
    <x v="1"/>
    <s v="Chandigarh"/>
    <x v="4"/>
    <x v="2"/>
    <x v="2"/>
    <s v="Pens"/>
    <x v="64"/>
    <n v="5"/>
    <n v="2927.47"/>
    <n v="5"/>
    <x v="65"/>
    <n v="11119.18"/>
    <n v="2786.3"/>
    <x v="1"/>
    <s v="Net Banking"/>
    <s v="July"/>
    <n v="2025"/>
  </r>
  <r>
    <s v="ORD100068"/>
    <d v="2025-01-28T00:00:00"/>
    <x v="3"/>
    <s v="Bhubaneswar"/>
    <x v="0"/>
    <x v="0"/>
    <x v="1"/>
    <s v="Table"/>
    <x v="65"/>
    <n v="13"/>
    <n v="2274.0300000000002"/>
    <n v="0"/>
    <x v="66"/>
    <n v="16451.37"/>
    <n v="13111.02"/>
    <x v="1"/>
    <s v="Cash"/>
    <s v="January"/>
    <n v="2025"/>
  </r>
  <r>
    <s v="ORD100069"/>
    <d v="2026-06-29T00:00:00"/>
    <x v="1"/>
    <s v="Chandigarh"/>
    <x v="7"/>
    <x v="0"/>
    <x v="1"/>
    <s v="Chair"/>
    <x v="66"/>
    <n v="5"/>
    <n v="3723.91"/>
    <n v="20"/>
    <x v="67"/>
    <n v="8634.43"/>
    <n v="6261.21"/>
    <x v="0"/>
    <s v="Cash"/>
    <s v="June"/>
    <n v="2026"/>
  </r>
  <r>
    <s v="ORD100070"/>
    <d v="2025-04-14T00:00:00"/>
    <x v="3"/>
    <s v="Kolkata"/>
    <x v="1"/>
    <x v="1"/>
    <x v="2"/>
    <s v="Paper"/>
    <x v="67"/>
    <n v="6"/>
    <n v="3283.3"/>
    <n v="20"/>
    <x v="68"/>
    <n v="11328.54"/>
    <n v="4431.3"/>
    <x v="2"/>
    <s v="UPI"/>
    <s v="April"/>
    <n v="2025"/>
  </r>
  <r>
    <s v="ORD100071"/>
    <d v="2025-02-03T00:00:00"/>
    <x v="0"/>
    <s v="Mumbai"/>
    <x v="2"/>
    <x v="2"/>
    <x v="1"/>
    <s v="Bookshelf"/>
    <x v="68"/>
    <n v="14"/>
    <n v="2439.09"/>
    <n v="0"/>
    <x v="69"/>
    <n v="26022.93"/>
    <n v="8124.33"/>
    <x v="1"/>
    <s v="UPI"/>
    <s v="February"/>
    <n v="2025"/>
  </r>
  <r>
    <s v="ORD100072"/>
    <d v="2026-06-10T00:00:00"/>
    <x v="1"/>
    <s v="Delhi"/>
    <x v="3"/>
    <x v="2"/>
    <x v="2"/>
    <s v="Paper"/>
    <x v="69"/>
    <n v="8"/>
    <n v="3327.79"/>
    <n v="20"/>
    <x v="70"/>
    <n v="13321.15"/>
    <n v="7976.71"/>
    <x v="0"/>
    <s v="Card"/>
    <s v="June"/>
    <n v="2026"/>
  </r>
  <r>
    <s v="ORD100073"/>
    <d v="2025-10-23T00:00:00"/>
    <x v="3"/>
    <s v="Bhubaneswar"/>
    <x v="3"/>
    <x v="0"/>
    <x v="0"/>
    <s v="Headphones"/>
    <x v="70"/>
    <n v="12"/>
    <n v="2189.41"/>
    <n v="0"/>
    <x v="71"/>
    <n v="21122.84"/>
    <n v="5150.08"/>
    <x v="0"/>
    <s v="UPI"/>
    <s v="October"/>
    <n v="2025"/>
  </r>
  <r>
    <s v="ORD100074"/>
    <d v="2025-07-06T00:00:00"/>
    <x v="3"/>
    <s v="Bhubaneswar"/>
    <x v="5"/>
    <x v="0"/>
    <x v="2"/>
    <s v="Notebook"/>
    <x v="71"/>
    <n v="12"/>
    <n v="1542.69"/>
    <n v="5"/>
    <x v="72"/>
    <n v="12262.51"/>
    <n v="5324.16"/>
    <x v="1"/>
    <s v="Card"/>
    <s v="July"/>
    <n v="2025"/>
  </r>
  <r>
    <s v="ORD100075"/>
    <d v="2026-03-24T00:00:00"/>
    <x v="3"/>
    <s v="Bhubaneswar"/>
    <x v="7"/>
    <x v="1"/>
    <x v="2"/>
    <s v="Paper"/>
    <x v="72"/>
    <n v="15"/>
    <n v="4664.67"/>
    <n v="15"/>
    <x v="73"/>
    <n v="43862.51"/>
    <n v="15612.03"/>
    <x v="2"/>
    <s v="UPI"/>
    <s v="March"/>
    <n v="2026"/>
  </r>
  <r>
    <s v="ORD100076"/>
    <d v="2026-05-27T00:00:00"/>
    <x v="2"/>
    <s v="Bengaluru"/>
    <x v="0"/>
    <x v="2"/>
    <x v="1"/>
    <s v="Bookshelf"/>
    <x v="73"/>
    <n v="1"/>
    <n v="1898.27"/>
    <n v="0"/>
    <x v="74"/>
    <n v="1103.68"/>
    <n v="794.59"/>
    <x v="1"/>
    <s v="Net Banking"/>
    <s v="May"/>
    <n v="2026"/>
  </r>
  <r>
    <s v="ORD100077"/>
    <d v="2025-02-05T00:00:00"/>
    <x v="2"/>
    <s v="Chennai"/>
    <x v="5"/>
    <x v="0"/>
    <x v="2"/>
    <s v="Folders"/>
    <x v="74"/>
    <n v="3"/>
    <n v="3579.09"/>
    <n v="15"/>
    <x v="75"/>
    <n v="6086.85"/>
    <n v="3039.83"/>
    <x v="1"/>
    <s v="Net Banking"/>
    <s v="February"/>
    <n v="2025"/>
  </r>
  <r>
    <s v="ORD100078"/>
    <d v="2025-03-10T00:00:00"/>
    <x v="1"/>
    <s v="Delhi"/>
    <x v="7"/>
    <x v="1"/>
    <x v="0"/>
    <s v="Laptop"/>
    <x v="75"/>
    <n v="5"/>
    <n v="396.68"/>
    <n v="5"/>
    <x v="76"/>
    <n v="1156.1199999999999"/>
    <n v="728.11"/>
    <x v="1"/>
    <s v="Net Banking"/>
    <s v="March"/>
    <n v="2025"/>
  </r>
  <r>
    <s v="ORD100079"/>
    <d v="2025-07-07T00:00:00"/>
    <x v="1"/>
    <s v="Delhi"/>
    <x v="2"/>
    <x v="1"/>
    <x v="2"/>
    <s v="Folders"/>
    <x v="76"/>
    <n v="5"/>
    <n v="999.66"/>
    <n v="15"/>
    <x v="77"/>
    <n v="3336.31"/>
    <n v="912.25"/>
    <x v="2"/>
    <s v="Cash"/>
    <s v="July"/>
    <n v="2025"/>
  </r>
  <r>
    <s v="ORD100080"/>
    <d v="2025-03-10T00:00:00"/>
    <x v="1"/>
    <s v="Delhi"/>
    <x v="6"/>
    <x v="2"/>
    <x v="0"/>
    <s v="Mouse"/>
    <x v="77"/>
    <n v="13"/>
    <n v="2980.49"/>
    <n v="20"/>
    <x v="78"/>
    <n v="24817.57"/>
    <n v="6179.53"/>
    <x v="0"/>
    <s v="UPI"/>
    <s v="March"/>
    <n v="2025"/>
  </r>
  <r>
    <s v="ORD100081"/>
    <d v="2025-02-05T00:00:00"/>
    <x v="1"/>
    <s v="Chandigarh"/>
    <x v="2"/>
    <x v="1"/>
    <x v="2"/>
    <s v="Printer Ink"/>
    <x v="78"/>
    <n v="8"/>
    <n v="3696.45"/>
    <n v="10"/>
    <x v="79"/>
    <n v="18646.400000000001"/>
    <n v="7968.04"/>
    <x v="2"/>
    <s v="Cash"/>
    <s v="February"/>
    <n v="2025"/>
  </r>
  <r>
    <s v="ORD100082"/>
    <d v="2026-05-18T00:00:00"/>
    <x v="0"/>
    <s v="Mumbai"/>
    <x v="3"/>
    <x v="2"/>
    <x v="0"/>
    <s v="Monitor"/>
    <x v="79"/>
    <n v="8"/>
    <n v="1525.13"/>
    <n v="10"/>
    <x v="80"/>
    <n v="6802.46"/>
    <n v="4178.4799999999996"/>
    <x v="2"/>
    <s v="UPI"/>
    <s v="May"/>
    <n v="2026"/>
  </r>
  <r>
    <s v="ORD100083"/>
    <d v="2025-10-12T00:00:00"/>
    <x v="3"/>
    <s v="Bhubaneswar"/>
    <x v="7"/>
    <x v="2"/>
    <x v="2"/>
    <s v="Paper"/>
    <x v="80"/>
    <n v="3"/>
    <n v="3021.5"/>
    <n v="0"/>
    <x v="81"/>
    <n v="7424.77"/>
    <n v="1639.73"/>
    <x v="0"/>
    <s v="UPI"/>
    <s v="October"/>
    <n v="2025"/>
  </r>
  <r>
    <s v="ORD100084"/>
    <d v="2026-04-13T00:00:00"/>
    <x v="3"/>
    <s v="Kolkata"/>
    <x v="6"/>
    <x v="1"/>
    <x v="0"/>
    <s v="Headphones"/>
    <x v="81"/>
    <n v="10"/>
    <n v="3820.16"/>
    <n v="5"/>
    <x v="82"/>
    <n v="25973.51"/>
    <n v="10318.01"/>
    <x v="0"/>
    <s v="Card"/>
    <s v="April"/>
    <n v="2026"/>
  </r>
  <r>
    <s v="ORD100085"/>
    <d v="2025-01-30T00:00:00"/>
    <x v="2"/>
    <s v="Chennai"/>
    <x v="1"/>
    <x v="2"/>
    <x v="0"/>
    <s v="Monitor"/>
    <x v="82"/>
    <n v="2"/>
    <n v="901.94"/>
    <n v="15"/>
    <x v="83"/>
    <n v="1211.6500000000001"/>
    <n v="321.64999999999998"/>
    <x v="2"/>
    <s v="Net Banking"/>
    <s v="January"/>
    <n v="2025"/>
  </r>
  <r>
    <s v="ORD100086"/>
    <d v="2025-06-21T00:00:00"/>
    <x v="3"/>
    <s v="Kolkata"/>
    <x v="1"/>
    <x v="2"/>
    <x v="2"/>
    <s v="Notebook"/>
    <x v="83"/>
    <n v="3"/>
    <n v="1784.65"/>
    <n v="10"/>
    <x v="84"/>
    <n v="3817.61"/>
    <n v="1000.95"/>
    <x v="0"/>
    <s v="Net Banking"/>
    <s v="June"/>
    <n v="2025"/>
  </r>
  <r>
    <s v="ORD100087"/>
    <d v="2025-07-04T00:00:00"/>
    <x v="3"/>
    <s v="Kolkata"/>
    <x v="7"/>
    <x v="1"/>
    <x v="1"/>
    <s v="Bookshelf"/>
    <x v="84"/>
    <n v="2"/>
    <n v="4365.07"/>
    <n v="10"/>
    <x v="85"/>
    <n v="6071.13"/>
    <n v="1786"/>
    <x v="2"/>
    <s v="UPI"/>
    <s v="July"/>
    <n v="2025"/>
  </r>
  <r>
    <s v="ORD100088"/>
    <d v="2025-05-01T00:00:00"/>
    <x v="0"/>
    <s v="Ahmedabad"/>
    <x v="6"/>
    <x v="0"/>
    <x v="0"/>
    <s v="Headphones"/>
    <x v="85"/>
    <n v="11"/>
    <n v="2378.9"/>
    <n v="0"/>
    <x v="86"/>
    <n v="17872.18"/>
    <n v="8295.7199999999993"/>
    <x v="2"/>
    <s v="Cash"/>
    <s v="May"/>
    <n v="2025"/>
  </r>
  <r>
    <s v="ORD100089"/>
    <d v="2026-01-30T00:00:00"/>
    <x v="2"/>
    <s v="Bengaluru"/>
    <x v="2"/>
    <x v="1"/>
    <x v="1"/>
    <s v="Desk"/>
    <x v="86"/>
    <n v="13"/>
    <n v="2853.21"/>
    <n v="10"/>
    <x v="87"/>
    <n v="23976.7"/>
    <n v="9405.86"/>
    <x v="0"/>
    <s v="Cash"/>
    <s v="January"/>
    <n v="2026"/>
  </r>
  <r>
    <s v="ORD100090"/>
    <d v="2025-12-30T00:00:00"/>
    <x v="2"/>
    <s v="Chennai"/>
    <x v="1"/>
    <x v="1"/>
    <x v="1"/>
    <s v="Chair"/>
    <x v="87"/>
    <n v="12"/>
    <n v="2918.28"/>
    <n v="10"/>
    <x v="88"/>
    <n v="22283.9"/>
    <n v="9233.52"/>
    <x v="1"/>
    <s v="UPI"/>
    <s v="December"/>
    <n v="2025"/>
  </r>
  <r>
    <s v="ORD100091"/>
    <d v="2025-07-24T00:00:00"/>
    <x v="2"/>
    <s v="Bengaluru"/>
    <x v="2"/>
    <x v="0"/>
    <x v="1"/>
    <s v="Bookshelf"/>
    <x v="88"/>
    <n v="7"/>
    <n v="695.07"/>
    <n v="20"/>
    <x v="89"/>
    <n v="2366.27"/>
    <n v="1526.12"/>
    <x v="2"/>
    <s v="Card"/>
    <s v="July"/>
    <n v="2025"/>
  </r>
  <r>
    <s v="ORD100092"/>
    <d v="2025-07-07T00:00:00"/>
    <x v="1"/>
    <s v="Delhi"/>
    <x v="4"/>
    <x v="1"/>
    <x v="2"/>
    <s v="Printer Ink"/>
    <x v="89"/>
    <n v="9"/>
    <n v="4185.12"/>
    <n v="0"/>
    <x v="90"/>
    <n v="22057.47"/>
    <n v="15608.61"/>
    <x v="0"/>
    <s v="Cash"/>
    <s v="July"/>
    <n v="2025"/>
  </r>
  <r>
    <s v="ORD100093"/>
    <d v="2025-09-22T00:00:00"/>
    <x v="2"/>
    <s v="Bengaluru"/>
    <x v="2"/>
    <x v="2"/>
    <x v="1"/>
    <s v="Bookshelf"/>
    <x v="90"/>
    <n v="13"/>
    <n v="4594.75"/>
    <n v="0"/>
    <x v="91"/>
    <n v="48375.86"/>
    <n v="11355.89"/>
    <x v="0"/>
    <s v="Card"/>
    <s v="September"/>
    <n v="2025"/>
  </r>
  <r>
    <s v="ORD100094"/>
    <d v="2025-11-13T00:00:00"/>
    <x v="0"/>
    <s v="Mumbai"/>
    <x v="5"/>
    <x v="1"/>
    <x v="0"/>
    <s v="Mouse"/>
    <x v="91"/>
    <n v="14"/>
    <n v="2012.93"/>
    <n v="20"/>
    <x v="92"/>
    <n v="13506.13"/>
    <n v="9038.69"/>
    <x v="1"/>
    <s v="Net Banking"/>
    <s v="November"/>
    <n v="2025"/>
  </r>
  <r>
    <s v="ORD100095"/>
    <d v="2025-06-11T00:00:00"/>
    <x v="2"/>
    <s v="Bengaluru"/>
    <x v="0"/>
    <x v="0"/>
    <x v="2"/>
    <s v="Paper"/>
    <x v="92"/>
    <n v="11"/>
    <n v="533.29999999999995"/>
    <n v="10"/>
    <x v="93"/>
    <n v="3979.02"/>
    <n v="1300.6500000000001"/>
    <x v="0"/>
    <s v="UPI"/>
    <s v="June"/>
    <n v="2025"/>
  </r>
  <r>
    <s v="ORD100096"/>
    <d v="2025-12-14T00:00:00"/>
    <x v="3"/>
    <s v="Bhubaneswar"/>
    <x v="6"/>
    <x v="0"/>
    <x v="0"/>
    <s v="Keyboard"/>
    <x v="93"/>
    <n v="7"/>
    <n v="883.19"/>
    <n v="0"/>
    <x v="94"/>
    <n v="4128.8599999999997"/>
    <n v="2053.4699999999998"/>
    <x v="1"/>
    <s v="Net Banking"/>
    <s v="December"/>
    <n v="2025"/>
  </r>
  <r>
    <s v="ORD100097"/>
    <d v="2026-03-14T00:00:00"/>
    <x v="1"/>
    <s v="Chandigarh"/>
    <x v="4"/>
    <x v="1"/>
    <x v="2"/>
    <s v="Printer Ink"/>
    <x v="94"/>
    <n v="14"/>
    <n v="2600.3200000000002"/>
    <n v="15"/>
    <x v="95"/>
    <n v="21475.3"/>
    <n v="9468.51"/>
    <x v="1"/>
    <s v="Cash"/>
    <s v="March"/>
    <n v="2026"/>
  </r>
  <r>
    <s v="ORD100098"/>
    <d v="2025-01-27T00:00:00"/>
    <x v="1"/>
    <s v="Chandigarh"/>
    <x v="0"/>
    <x v="0"/>
    <x v="0"/>
    <s v="Mouse"/>
    <x v="95"/>
    <n v="6"/>
    <n v="3885.14"/>
    <n v="20"/>
    <x v="96"/>
    <n v="13015.15"/>
    <n v="5633.52"/>
    <x v="2"/>
    <s v="Net Banking"/>
    <s v="January"/>
    <n v="2025"/>
  </r>
  <r>
    <s v="ORD100099"/>
    <d v="2025-05-07T00:00:00"/>
    <x v="2"/>
    <s v="Chennai"/>
    <x v="3"/>
    <x v="1"/>
    <x v="0"/>
    <s v="Mouse"/>
    <x v="96"/>
    <n v="3"/>
    <n v="4537.88"/>
    <n v="5"/>
    <x v="97"/>
    <n v="7355.72"/>
    <n v="5577.24"/>
    <x v="2"/>
    <s v="Cash"/>
    <s v="May"/>
    <n v="2025"/>
  </r>
  <r>
    <s v="ORD100100"/>
    <d v="2025-08-17T00:00:00"/>
    <x v="2"/>
    <s v="Chennai"/>
    <x v="4"/>
    <x v="1"/>
    <x v="0"/>
    <s v="Mouse"/>
    <x v="97"/>
    <n v="12"/>
    <n v="3006.85"/>
    <n v="5"/>
    <x v="98"/>
    <n v="23579.71"/>
    <n v="10698.38"/>
    <x v="0"/>
    <s v="UPI"/>
    <s v="August"/>
    <n v="2025"/>
  </r>
  <r>
    <s v="ORD100101"/>
    <d v="2026-04-21T00:00:00"/>
    <x v="2"/>
    <s v="Bengaluru"/>
    <x v="7"/>
    <x v="2"/>
    <x v="0"/>
    <s v="Headphones"/>
    <x v="98"/>
    <n v="11"/>
    <n v="4682.6499999999996"/>
    <n v="10"/>
    <x v="99"/>
    <n v="37986.6"/>
    <n v="8371.6299999999992"/>
    <x v="1"/>
    <s v="Net Banking"/>
    <s v="April"/>
    <n v="2026"/>
  </r>
  <r>
    <s v="ORD100102"/>
    <d v="2025-08-02T00:00:00"/>
    <x v="3"/>
    <s v="Bhubaneswar"/>
    <x v="6"/>
    <x v="2"/>
    <x v="1"/>
    <s v="Desk"/>
    <x v="99"/>
    <n v="3"/>
    <n v="4560.08"/>
    <n v="10"/>
    <x v="100"/>
    <n v="8510.91"/>
    <n v="3801.31"/>
    <x v="1"/>
    <s v="Net Banking"/>
    <s v="August"/>
    <n v="2025"/>
  </r>
  <r>
    <s v="ORD100103"/>
    <d v="2025-01-13T00:00:00"/>
    <x v="1"/>
    <s v="Chandigarh"/>
    <x v="1"/>
    <x v="0"/>
    <x v="0"/>
    <s v="Keyboard"/>
    <x v="100"/>
    <n v="6"/>
    <n v="4490.3999999999996"/>
    <n v="5"/>
    <x v="101"/>
    <n v="16989.54"/>
    <n v="8605.74"/>
    <x v="1"/>
    <s v="Card"/>
    <s v="January"/>
    <n v="2025"/>
  </r>
  <r>
    <s v="ORD100104"/>
    <d v="2025-04-29T00:00:00"/>
    <x v="3"/>
    <s v="Bhubaneswar"/>
    <x v="2"/>
    <x v="1"/>
    <x v="1"/>
    <s v="Bookshelf"/>
    <x v="101"/>
    <n v="1"/>
    <n v="2532.91"/>
    <n v="0"/>
    <x v="102"/>
    <n v="1959.38"/>
    <n v="573.53"/>
    <x v="1"/>
    <s v="Cash"/>
    <s v="April"/>
    <n v="2025"/>
  </r>
  <r>
    <s v="ORD100105"/>
    <d v="2026-04-05T00:00:00"/>
    <x v="2"/>
    <s v="Chennai"/>
    <x v="0"/>
    <x v="1"/>
    <x v="0"/>
    <s v="Headphones"/>
    <x v="102"/>
    <n v="10"/>
    <n v="1280.0899999999999"/>
    <n v="10"/>
    <x v="103"/>
    <n v="9250.34"/>
    <n v="2270.4699999999998"/>
    <x v="2"/>
    <s v="Cash"/>
    <s v="April"/>
    <n v="2026"/>
  </r>
  <r>
    <s v="ORD100106"/>
    <d v="2025-07-05T00:00:00"/>
    <x v="2"/>
    <s v="Chennai"/>
    <x v="7"/>
    <x v="0"/>
    <x v="0"/>
    <s v="Keyboard"/>
    <x v="103"/>
    <n v="5"/>
    <n v="1986.61"/>
    <n v="20"/>
    <x v="104"/>
    <n v="5597.35"/>
    <n v="2349.09"/>
    <x v="2"/>
    <s v="UPI"/>
    <s v="July"/>
    <n v="2025"/>
  </r>
  <r>
    <s v="ORD100107"/>
    <d v="2025-04-30T00:00:00"/>
    <x v="2"/>
    <s v="Bengaluru"/>
    <x v="0"/>
    <x v="1"/>
    <x v="0"/>
    <s v="Headphones"/>
    <x v="104"/>
    <n v="14"/>
    <n v="3281.18"/>
    <n v="15"/>
    <x v="105"/>
    <n v="22324.65"/>
    <n v="16721.39"/>
    <x v="2"/>
    <s v="Card"/>
    <s v="April"/>
    <n v="2025"/>
  </r>
  <r>
    <s v="ORD100108"/>
    <d v="2025-11-19T00:00:00"/>
    <x v="1"/>
    <s v="Chandigarh"/>
    <x v="4"/>
    <x v="1"/>
    <x v="0"/>
    <s v="Keyboard"/>
    <x v="105"/>
    <n v="3"/>
    <n v="4617.83"/>
    <n v="20"/>
    <x v="106"/>
    <n v="8600.2800000000007"/>
    <n v="2482.5100000000002"/>
    <x v="0"/>
    <s v="Card"/>
    <s v="November"/>
    <n v="2025"/>
  </r>
  <r>
    <s v="ORD100109"/>
    <d v="2025-09-21T00:00:00"/>
    <x v="3"/>
    <s v="Kolkata"/>
    <x v="3"/>
    <x v="0"/>
    <x v="2"/>
    <s v="Notebook"/>
    <x v="106"/>
    <n v="8"/>
    <n v="3516.54"/>
    <n v="15"/>
    <x v="107"/>
    <n v="18499.509999999998"/>
    <n v="5412.96"/>
    <x v="1"/>
    <s v="UPI"/>
    <s v="September"/>
    <n v="2025"/>
  </r>
  <r>
    <s v="ORD100110"/>
    <d v="2025-03-14T00:00:00"/>
    <x v="3"/>
    <s v="Kolkata"/>
    <x v="3"/>
    <x v="0"/>
    <x v="0"/>
    <s v="Monitor"/>
    <x v="107"/>
    <n v="12"/>
    <n v="4984.1000000000004"/>
    <n v="20"/>
    <x v="108"/>
    <n v="38374.97"/>
    <n v="9472.39"/>
    <x v="1"/>
    <s v="Cash"/>
    <s v="March"/>
    <n v="2025"/>
  </r>
  <r>
    <s v="ORD100111"/>
    <d v="2025-07-18T00:00:00"/>
    <x v="2"/>
    <s v="Chennai"/>
    <x v="7"/>
    <x v="1"/>
    <x v="0"/>
    <s v="Laptop"/>
    <x v="108"/>
    <n v="1"/>
    <n v="4068.61"/>
    <n v="5"/>
    <x v="109"/>
    <n v="3092.24"/>
    <n v="772.94"/>
    <x v="1"/>
    <s v="Card"/>
    <s v="July"/>
    <n v="2025"/>
  </r>
  <r>
    <s v="ORD100112"/>
    <d v="2026-06-20T00:00:00"/>
    <x v="2"/>
    <s v="Bengaluru"/>
    <x v="2"/>
    <x v="0"/>
    <x v="1"/>
    <s v="Cabinet"/>
    <x v="109"/>
    <n v="9"/>
    <n v="1235.1199999999999"/>
    <n v="0"/>
    <x v="110"/>
    <n v="6273.97"/>
    <n v="4842.1099999999997"/>
    <x v="0"/>
    <s v="Net Banking"/>
    <s v="June"/>
    <n v="2026"/>
  </r>
  <r>
    <s v="ORD100113"/>
    <d v="2026-02-05T00:00:00"/>
    <x v="0"/>
    <s v="Mumbai"/>
    <x v="6"/>
    <x v="0"/>
    <x v="1"/>
    <s v="Desk"/>
    <x v="110"/>
    <n v="8"/>
    <n v="3557.37"/>
    <n v="10"/>
    <x v="111"/>
    <n v="18499.439999999999"/>
    <n v="7113.62"/>
    <x v="1"/>
    <s v="Card"/>
    <s v="February"/>
    <n v="2026"/>
  </r>
  <r>
    <s v="ORD100114"/>
    <d v="2025-02-11T00:00:00"/>
    <x v="0"/>
    <s v="Mumbai"/>
    <x v="2"/>
    <x v="2"/>
    <x v="0"/>
    <s v="Mouse"/>
    <x v="111"/>
    <n v="9"/>
    <n v="2213.2600000000002"/>
    <n v="10"/>
    <x v="112"/>
    <n v="10854.98"/>
    <n v="7072.43"/>
    <x v="0"/>
    <s v="Card"/>
    <s v="February"/>
    <n v="2025"/>
  </r>
  <r>
    <s v="ORD100115"/>
    <d v="2025-10-30T00:00:00"/>
    <x v="0"/>
    <s v="Mumbai"/>
    <x v="1"/>
    <x v="2"/>
    <x v="2"/>
    <s v="Printer Ink"/>
    <x v="112"/>
    <n v="9"/>
    <n v="3044.97"/>
    <n v="0"/>
    <x v="113"/>
    <n v="19067.82"/>
    <n v="8336.91"/>
    <x v="2"/>
    <s v="Cash"/>
    <s v="October"/>
    <n v="2025"/>
  </r>
  <r>
    <s v="ORD100116"/>
    <d v="2026-06-20T00:00:00"/>
    <x v="3"/>
    <s v="Kolkata"/>
    <x v="5"/>
    <x v="0"/>
    <x v="2"/>
    <s v="Paper"/>
    <x v="113"/>
    <n v="12"/>
    <n v="4017.05"/>
    <n v="0"/>
    <x v="114"/>
    <n v="30746.14"/>
    <n v="17458.46"/>
    <x v="1"/>
    <s v="Cash"/>
    <s v="June"/>
    <n v="2026"/>
  </r>
  <r>
    <s v="ORD100117"/>
    <d v="2026-01-12T00:00:00"/>
    <x v="0"/>
    <s v="Ahmedabad"/>
    <x v="6"/>
    <x v="0"/>
    <x v="2"/>
    <s v="Folders"/>
    <x v="114"/>
    <n v="11"/>
    <n v="3806.63"/>
    <n v="10"/>
    <x v="115"/>
    <n v="24193.1"/>
    <n v="13492.54"/>
    <x v="2"/>
    <s v="Cash"/>
    <s v="January"/>
    <n v="2026"/>
  </r>
  <r>
    <s v="ORD100118"/>
    <d v="2025-04-27T00:00:00"/>
    <x v="2"/>
    <s v="Chennai"/>
    <x v="5"/>
    <x v="2"/>
    <x v="0"/>
    <s v="Headphones"/>
    <x v="115"/>
    <n v="3"/>
    <n v="4679.6099999999997"/>
    <n v="5"/>
    <x v="116"/>
    <n v="8789.0400000000009"/>
    <n v="4547.8500000000004"/>
    <x v="0"/>
    <s v="Card"/>
    <s v="April"/>
    <n v="2025"/>
  </r>
  <r>
    <s v="ORD100119"/>
    <d v="2025-08-11T00:00:00"/>
    <x v="2"/>
    <s v="Chennai"/>
    <x v="0"/>
    <x v="2"/>
    <x v="2"/>
    <s v="Paper"/>
    <x v="116"/>
    <n v="8"/>
    <n v="4087.56"/>
    <n v="15"/>
    <x v="117"/>
    <n v="17025.099999999999"/>
    <n v="10770.31"/>
    <x v="2"/>
    <s v="Net Banking"/>
    <s v="August"/>
    <n v="2025"/>
  </r>
  <r>
    <s v="ORD100120"/>
    <d v="2025-07-24T00:00:00"/>
    <x v="3"/>
    <s v="Bhubaneswar"/>
    <x v="6"/>
    <x v="2"/>
    <x v="0"/>
    <s v="Monitor"/>
    <x v="117"/>
    <n v="14"/>
    <n v="215.44"/>
    <n v="5"/>
    <x v="118"/>
    <n v="2008.33"/>
    <n v="857.02"/>
    <x v="2"/>
    <s v="Cash"/>
    <s v="July"/>
    <n v="2025"/>
  </r>
  <r>
    <s v="ORD100121"/>
    <d v="2025-03-29T00:00:00"/>
    <x v="2"/>
    <s v="Bengaluru"/>
    <x v="6"/>
    <x v="0"/>
    <x v="1"/>
    <s v="Table"/>
    <x v="118"/>
    <n v="14"/>
    <n v="1875.57"/>
    <n v="10"/>
    <x v="119"/>
    <n v="17685.68"/>
    <n v="5946.5"/>
    <x v="2"/>
    <s v="Net Banking"/>
    <s v="March"/>
    <n v="2025"/>
  </r>
  <r>
    <s v="ORD100122"/>
    <d v="2026-02-21T00:00:00"/>
    <x v="0"/>
    <s v="Ahmedabad"/>
    <x v="5"/>
    <x v="1"/>
    <x v="0"/>
    <s v="Mouse"/>
    <x v="119"/>
    <n v="3"/>
    <n v="3219.88"/>
    <n v="10"/>
    <x v="120"/>
    <n v="7006.69"/>
    <n v="1686.99"/>
    <x v="1"/>
    <s v="Card"/>
    <s v="February"/>
    <n v="2026"/>
  </r>
  <r>
    <s v="ORD100123"/>
    <d v="2025-09-11T00:00:00"/>
    <x v="2"/>
    <s v="Chennai"/>
    <x v="0"/>
    <x v="1"/>
    <x v="0"/>
    <s v="Headphones"/>
    <x v="120"/>
    <n v="1"/>
    <n v="2730.16"/>
    <n v="15"/>
    <x v="121"/>
    <n v="1575.44"/>
    <n v="745.2"/>
    <x v="0"/>
    <s v="Cash"/>
    <s v="September"/>
    <n v="2025"/>
  </r>
  <r>
    <s v="ORD100124"/>
    <d v="2025-07-01T00:00:00"/>
    <x v="0"/>
    <s v="Mumbai"/>
    <x v="0"/>
    <x v="2"/>
    <x v="1"/>
    <s v="Table"/>
    <x v="121"/>
    <n v="9"/>
    <n v="2886.52"/>
    <n v="20"/>
    <x v="122"/>
    <n v="14752.04"/>
    <n v="6030.9"/>
    <x v="0"/>
    <s v="Card"/>
    <s v="July"/>
    <n v="2025"/>
  </r>
  <r>
    <s v="ORD100125"/>
    <d v="2025-06-22T00:00:00"/>
    <x v="0"/>
    <s v="Ahmedabad"/>
    <x v="2"/>
    <x v="2"/>
    <x v="1"/>
    <s v="Cabinet"/>
    <x v="122"/>
    <n v="9"/>
    <n v="2813.54"/>
    <n v="5"/>
    <x v="123"/>
    <n v="16879.36"/>
    <n v="7176.41"/>
    <x v="2"/>
    <s v="Cash"/>
    <s v="June"/>
    <n v="2025"/>
  </r>
  <r>
    <s v="ORD100126"/>
    <d v="2025-12-07T00:00:00"/>
    <x v="1"/>
    <s v="Chandigarh"/>
    <x v="6"/>
    <x v="2"/>
    <x v="1"/>
    <s v="Chair"/>
    <x v="123"/>
    <n v="13"/>
    <n v="2600.0700000000002"/>
    <n v="15"/>
    <x v="124"/>
    <n v="20362.86"/>
    <n v="8367.91"/>
    <x v="0"/>
    <s v="Cash"/>
    <s v="December"/>
    <n v="2025"/>
  </r>
  <r>
    <s v="ORD100127"/>
    <d v="2025-06-01T00:00:00"/>
    <x v="2"/>
    <s v="Chennai"/>
    <x v="4"/>
    <x v="1"/>
    <x v="0"/>
    <s v="Monitor"/>
    <x v="124"/>
    <n v="7"/>
    <n v="1324.83"/>
    <n v="20"/>
    <x v="125"/>
    <n v="4764.66"/>
    <n v="2654.39"/>
    <x v="1"/>
    <s v="Net Banking"/>
    <s v="June"/>
    <n v="2025"/>
  </r>
  <r>
    <s v="ORD100128"/>
    <d v="2026-06-16T00:00:00"/>
    <x v="2"/>
    <s v="Chennai"/>
    <x v="4"/>
    <x v="1"/>
    <x v="1"/>
    <s v="Cabinet"/>
    <x v="125"/>
    <n v="2"/>
    <n v="3819.11"/>
    <n v="20"/>
    <x v="126"/>
    <n v="4579.93"/>
    <n v="1530.65"/>
    <x v="2"/>
    <s v="UPI"/>
    <s v="June"/>
    <n v="2026"/>
  </r>
  <r>
    <s v="ORD100129"/>
    <d v="2025-05-07T00:00:00"/>
    <x v="1"/>
    <s v="Delhi"/>
    <x v="2"/>
    <x v="0"/>
    <x v="0"/>
    <s v="Monitor"/>
    <x v="126"/>
    <n v="2"/>
    <n v="4465.8"/>
    <n v="10"/>
    <x v="127"/>
    <n v="6259.32"/>
    <n v="1779.12"/>
    <x v="2"/>
    <s v="UPI"/>
    <s v="May"/>
    <n v="2025"/>
  </r>
  <r>
    <s v="ORD100130"/>
    <d v="2025-01-13T00:00:00"/>
    <x v="2"/>
    <s v="Chennai"/>
    <x v="2"/>
    <x v="1"/>
    <x v="0"/>
    <s v="Mouse"/>
    <x v="127"/>
    <n v="11"/>
    <n v="4807.78"/>
    <n v="5"/>
    <x v="128"/>
    <n v="30910.07"/>
    <n v="19331.23"/>
    <x v="1"/>
    <s v="UPI"/>
    <s v="January"/>
    <n v="2025"/>
  </r>
  <r>
    <s v="ORD100131"/>
    <d v="2025-09-13T00:00:00"/>
    <x v="0"/>
    <s v="Ahmedabad"/>
    <x v="7"/>
    <x v="2"/>
    <x v="2"/>
    <s v="Folders"/>
    <x v="128"/>
    <n v="13"/>
    <n v="828.83"/>
    <n v="20"/>
    <x v="129"/>
    <n v="6196.76"/>
    <n v="2423.0700000000002"/>
    <x v="2"/>
    <s v="Cash"/>
    <s v="September"/>
    <n v="2025"/>
  </r>
  <r>
    <s v="ORD100132"/>
    <d v="2026-06-16T00:00:00"/>
    <x v="2"/>
    <s v="Bengaluru"/>
    <x v="0"/>
    <x v="0"/>
    <x v="1"/>
    <s v="Table"/>
    <x v="129"/>
    <n v="1"/>
    <n v="3968.2"/>
    <n v="0"/>
    <x v="130"/>
    <n v="2862.94"/>
    <n v="1105.26"/>
    <x v="1"/>
    <s v="UPI"/>
    <s v="June"/>
    <n v="2026"/>
  </r>
  <r>
    <s v="ORD100133"/>
    <d v="2026-03-25T00:00:00"/>
    <x v="0"/>
    <s v="Mumbai"/>
    <x v="2"/>
    <x v="2"/>
    <x v="1"/>
    <s v="Cabinet"/>
    <x v="130"/>
    <n v="14"/>
    <n v="1629.6"/>
    <n v="0"/>
    <x v="131"/>
    <n v="18318.849999999999"/>
    <n v="4495.55"/>
    <x v="0"/>
    <s v="Card"/>
    <s v="March"/>
    <n v="2026"/>
  </r>
  <r>
    <s v="ORD100134"/>
    <d v="2025-02-23T00:00:00"/>
    <x v="0"/>
    <s v="Ahmedabad"/>
    <x v="6"/>
    <x v="0"/>
    <x v="0"/>
    <s v="Monitor"/>
    <x v="131"/>
    <n v="11"/>
    <n v="2062.66"/>
    <n v="10"/>
    <x v="132"/>
    <n v="14799.22"/>
    <n v="5621.11"/>
    <x v="1"/>
    <s v="Cash"/>
    <s v="February"/>
    <n v="2025"/>
  </r>
  <r>
    <s v="ORD100135"/>
    <d v="2025-03-06T00:00:00"/>
    <x v="3"/>
    <s v="Kolkata"/>
    <x v="3"/>
    <x v="0"/>
    <x v="1"/>
    <s v="Desk"/>
    <x v="132"/>
    <n v="5"/>
    <n v="4909.21"/>
    <n v="0"/>
    <x v="133"/>
    <n v="14962.62"/>
    <n v="9583.43"/>
    <x v="1"/>
    <s v="Card"/>
    <s v="March"/>
    <n v="2025"/>
  </r>
  <r>
    <s v="ORD100136"/>
    <d v="2025-07-21T00:00:00"/>
    <x v="1"/>
    <s v="Chandigarh"/>
    <x v="0"/>
    <x v="1"/>
    <x v="1"/>
    <s v="Desk"/>
    <x v="133"/>
    <n v="4"/>
    <n v="4308.8500000000004"/>
    <n v="0"/>
    <x v="134"/>
    <n v="10742.38"/>
    <n v="6493.02"/>
    <x v="2"/>
    <s v="Cash"/>
    <s v="July"/>
    <n v="2025"/>
  </r>
  <r>
    <s v="ORD100137"/>
    <d v="2025-02-19T00:00:00"/>
    <x v="2"/>
    <s v="Bengaluru"/>
    <x v="6"/>
    <x v="2"/>
    <x v="1"/>
    <s v="Desk"/>
    <x v="134"/>
    <n v="11"/>
    <n v="1740.84"/>
    <n v="5"/>
    <x v="135"/>
    <n v="11287.73"/>
    <n v="6904.05"/>
    <x v="1"/>
    <s v="UPI"/>
    <s v="February"/>
    <n v="2025"/>
  </r>
  <r>
    <s v="ORD100138"/>
    <d v="2025-10-27T00:00:00"/>
    <x v="2"/>
    <s v="Bengaluru"/>
    <x v="3"/>
    <x v="2"/>
    <x v="1"/>
    <s v="Cabinet"/>
    <x v="135"/>
    <n v="6"/>
    <n v="777.45"/>
    <n v="20"/>
    <x v="136"/>
    <n v="2496.71"/>
    <n v="1235.05"/>
    <x v="2"/>
    <s v="Net Banking"/>
    <s v="October"/>
    <n v="2025"/>
  </r>
  <r>
    <s v="ORD100139"/>
    <d v="2026-05-04T00:00:00"/>
    <x v="2"/>
    <s v="Chennai"/>
    <x v="3"/>
    <x v="2"/>
    <x v="0"/>
    <s v="Mouse"/>
    <x v="136"/>
    <n v="1"/>
    <n v="717.39"/>
    <n v="0"/>
    <x v="137"/>
    <n v="543.52"/>
    <n v="173.87"/>
    <x v="0"/>
    <s v="Card"/>
    <s v="May"/>
    <n v="2026"/>
  </r>
  <r>
    <s v="ORD100140"/>
    <d v="2026-06-30T00:00:00"/>
    <x v="3"/>
    <s v="Kolkata"/>
    <x v="6"/>
    <x v="1"/>
    <x v="2"/>
    <s v="Notebook"/>
    <x v="137"/>
    <n v="6"/>
    <n v="2594.65"/>
    <n v="15"/>
    <x v="138"/>
    <n v="10671.61"/>
    <n v="2561.11"/>
    <x v="2"/>
    <s v="Net Banking"/>
    <s v="June"/>
    <n v="2026"/>
  </r>
  <r>
    <s v="ORD100141"/>
    <d v="2025-09-21T00:00:00"/>
    <x v="3"/>
    <s v="Bhubaneswar"/>
    <x v="4"/>
    <x v="0"/>
    <x v="0"/>
    <s v="Keyboard"/>
    <x v="138"/>
    <n v="3"/>
    <n v="2171.81"/>
    <n v="0"/>
    <x v="139"/>
    <n v="3632.04"/>
    <n v="2883.39"/>
    <x v="2"/>
    <s v="UPI"/>
    <s v="September"/>
    <n v="2025"/>
  </r>
  <r>
    <s v="ORD100142"/>
    <d v="2025-01-07T00:00:00"/>
    <x v="2"/>
    <s v="Bengaluru"/>
    <x v="4"/>
    <x v="0"/>
    <x v="2"/>
    <s v="Notebook"/>
    <x v="139"/>
    <n v="12"/>
    <n v="524.91999999999996"/>
    <n v="20"/>
    <x v="140"/>
    <n v="3101.47"/>
    <n v="1937.76"/>
    <x v="0"/>
    <s v="Cash"/>
    <s v="January"/>
    <n v="2025"/>
  </r>
  <r>
    <s v="ORD100143"/>
    <d v="2025-07-19T00:00:00"/>
    <x v="2"/>
    <s v="Bengaluru"/>
    <x v="5"/>
    <x v="0"/>
    <x v="2"/>
    <s v="Folders"/>
    <x v="140"/>
    <n v="4"/>
    <n v="4719.3500000000004"/>
    <n v="0"/>
    <x v="141"/>
    <n v="11835.43"/>
    <n v="7041.97"/>
    <x v="2"/>
    <s v="Net Banking"/>
    <s v="July"/>
    <n v="2025"/>
  </r>
  <r>
    <s v="ORD100144"/>
    <d v="2025-01-09T00:00:00"/>
    <x v="2"/>
    <s v="Bengaluru"/>
    <x v="6"/>
    <x v="2"/>
    <x v="2"/>
    <s v="Folders"/>
    <x v="141"/>
    <n v="9"/>
    <n v="601.32000000000005"/>
    <n v="20"/>
    <x v="142"/>
    <n v="3546.1"/>
    <n v="783.4"/>
    <x v="0"/>
    <s v="UPI"/>
    <s v="January"/>
    <n v="2025"/>
  </r>
  <r>
    <s v="ORD100145"/>
    <d v="2025-12-08T00:00:00"/>
    <x v="1"/>
    <s v="Chandigarh"/>
    <x v="3"/>
    <x v="2"/>
    <x v="0"/>
    <s v="Mouse"/>
    <x v="142"/>
    <n v="12"/>
    <n v="1021.93"/>
    <n v="0"/>
    <x v="143"/>
    <n v="9002.48"/>
    <n v="3260.68"/>
    <x v="1"/>
    <s v="UPI"/>
    <s v="December"/>
    <n v="2025"/>
  </r>
  <r>
    <s v="ORD100146"/>
    <d v="2025-12-10T00:00:00"/>
    <x v="1"/>
    <s v="Chandigarh"/>
    <x v="0"/>
    <x v="2"/>
    <x v="2"/>
    <s v="Notebook"/>
    <x v="143"/>
    <n v="8"/>
    <n v="634.79"/>
    <n v="15"/>
    <x v="144"/>
    <n v="3090.1"/>
    <n v="1226.47"/>
    <x v="2"/>
    <s v="Card"/>
    <s v="December"/>
    <n v="2025"/>
  </r>
  <r>
    <s v="ORD100147"/>
    <d v="2026-04-27T00:00:00"/>
    <x v="1"/>
    <s v="Chandigarh"/>
    <x v="1"/>
    <x v="2"/>
    <x v="2"/>
    <s v="Printer Ink"/>
    <x v="144"/>
    <n v="9"/>
    <n v="2272.3200000000002"/>
    <n v="20"/>
    <x v="145"/>
    <n v="13100.48"/>
    <n v="3260.22"/>
    <x v="1"/>
    <s v="Net Banking"/>
    <s v="April"/>
    <n v="2026"/>
  </r>
  <r>
    <s v="ORD100148"/>
    <d v="2025-11-24T00:00:00"/>
    <x v="2"/>
    <s v="Bengaluru"/>
    <x v="4"/>
    <x v="1"/>
    <x v="2"/>
    <s v="Notebook"/>
    <x v="145"/>
    <n v="10"/>
    <n v="3232.72"/>
    <n v="15"/>
    <x v="146"/>
    <n v="15986.37"/>
    <n v="11491.75"/>
    <x v="1"/>
    <s v="Card"/>
    <s v="November"/>
    <n v="2025"/>
  </r>
  <r>
    <s v="ORD100149"/>
    <d v="2025-03-29T00:00:00"/>
    <x v="0"/>
    <s v="Ahmedabad"/>
    <x v="2"/>
    <x v="0"/>
    <x v="2"/>
    <s v="Pens"/>
    <x v="146"/>
    <n v="12"/>
    <n v="1952.16"/>
    <n v="10"/>
    <x v="147"/>
    <n v="14344.43"/>
    <n v="6738.9"/>
    <x v="1"/>
    <s v="Cash"/>
    <s v="March"/>
    <n v="2025"/>
  </r>
  <r>
    <s v="ORD100150"/>
    <d v="2025-09-18T00:00:00"/>
    <x v="2"/>
    <s v="Chennai"/>
    <x v="2"/>
    <x v="2"/>
    <x v="0"/>
    <s v="Mouse"/>
    <x v="147"/>
    <n v="3"/>
    <n v="3780.69"/>
    <n v="5"/>
    <x v="148"/>
    <n v="8254.61"/>
    <n v="2520.36"/>
    <x v="2"/>
    <s v="Cash"/>
    <s v="September"/>
    <n v="2025"/>
  </r>
  <r>
    <s v="ORD100151"/>
    <d v="2025-06-16T00:00:00"/>
    <x v="3"/>
    <s v="Bhubaneswar"/>
    <x v="7"/>
    <x v="0"/>
    <x v="0"/>
    <s v="Monitor"/>
    <x v="148"/>
    <n v="5"/>
    <n v="2198.65"/>
    <n v="20"/>
    <x v="149"/>
    <n v="6234.97"/>
    <n v="2559.63"/>
    <x v="2"/>
    <s v="UPI"/>
    <s v="June"/>
    <n v="2025"/>
  </r>
  <r>
    <s v="ORD100152"/>
    <d v="2025-08-27T00:00:00"/>
    <x v="2"/>
    <s v="Chennai"/>
    <x v="7"/>
    <x v="0"/>
    <x v="2"/>
    <s v="Notebook"/>
    <x v="149"/>
    <n v="4"/>
    <n v="3545.41"/>
    <n v="15"/>
    <x v="150"/>
    <n v="9217.5300000000007"/>
    <n v="2836.86"/>
    <x v="2"/>
    <s v="UPI"/>
    <s v="August"/>
    <n v="2025"/>
  </r>
  <r>
    <s v="ORD100153"/>
    <d v="2026-06-24T00:00:00"/>
    <x v="2"/>
    <s v="Bengaluru"/>
    <x v="2"/>
    <x v="0"/>
    <x v="1"/>
    <s v="Desk"/>
    <x v="150"/>
    <n v="12"/>
    <n v="2942.6"/>
    <n v="20"/>
    <x v="151"/>
    <n v="16195.03"/>
    <n v="12053.93"/>
    <x v="1"/>
    <s v="Net Banking"/>
    <s v="June"/>
    <n v="2026"/>
  </r>
  <r>
    <s v="ORD100154"/>
    <d v="2025-03-18T00:00:00"/>
    <x v="2"/>
    <s v="Chennai"/>
    <x v="0"/>
    <x v="2"/>
    <x v="2"/>
    <s v="Paper"/>
    <x v="151"/>
    <n v="9"/>
    <n v="3972.82"/>
    <n v="0"/>
    <x v="152"/>
    <n v="22124.31"/>
    <n v="13631.07"/>
    <x v="1"/>
    <s v="Card"/>
    <s v="March"/>
    <n v="2025"/>
  </r>
  <r>
    <s v="ORD100155"/>
    <d v="2025-06-04T00:00:00"/>
    <x v="2"/>
    <s v="Bengaluru"/>
    <x v="0"/>
    <x v="0"/>
    <x v="2"/>
    <s v="Notebook"/>
    <x v="152"/>
    <n v="13"/>
    <n v="1506.48"/>
    <n v="20"/>
    <x v="153"/>
    <n v="9163.7000000000007"/>
    <n v="6503.69"/>
    <x v="1"/>
    <s v="Card"/>
    <s v="June"/>
    <n v="2025"/>
  </r>
  <r>
    <s v="ORD100156"/>
    <d v="2026-06-17T00:00:00"/>
    <x v="2"/>
    <s v="Chennai"/>
    <x v="6"/>
    <x v="2"/>
    <x v="0"/>
    <s v="Headphones"/>
    <x v="153"/>
    <n v="13"/>
    <n v="3829.87"/>
    <n v="5"/>
    <x v="154"/>
    <n v="34387.03"/>
    <n v="12911.86"/>
    <x v="2"/>
    <s v="UPI"/>
    <s v="June"/>
    <n v="2026"/>
  </r>
  <r>
    <s v="ORD100157"/>
    <d v="2026-05-13T00:00:00"/>
    <x v="1"/>
    <s v="Chandigarh"/>
    <x v="3"/>
    <x v="0"/>
    <x v="1"/>
    <s v="Cabinet"/>
    <x v="154"/>
    <n v="6"/>
    <n v="1591.29"/>
    <n v="0"/>
    <x v="155"/>
    <n v="5792.26"/>
    <n v="3755.48"/>
    <x v="1"/>
    <s v="Card"/>
    <s v="May"/>
    <n v="2026"/>
  </r>
  <r>
    <s v="ORD100158"/>
    <d v="2026-03-28T00:00:00"/>
    <x v="3"/>
    <s v="Bhubaneswar"/>
    <x v="2"/>
    <x v="1"/>
    <x v="1"/>
    <s v="Desk"/>
    <x v="155"/>
    <n v="13"/>
    <n v="1408.56"/>
    <n v="15"/>
    <x v="156"/>
    <n v="12436.84"/>
    <n v="3127.75"/>
    <x v="1"/>
    <s v="Card"/>
    <s v="March"/>
    <n v="2026"/>
  </r>
  <r>
    <s v="ORD100159"/>
    <d v="2025-06-30T00:00:00"/>
    <x v="0"/>
    <s v="Ahmedabad"/>
    <x v="0"/>
    <x v="1"/>
    <x v="2"/>
    <s v="Pens"/>
    <x v="156"/>
    <n v="12"/>
    <n v="2150.64"/>
    <n v="10"/>
    <x v="157"/>
    <n v="13773.68"/>
    <n v="9453.23"/>
    <x v="2"/>
    <s v="UPI"/>
    <s v="June"/>
    <n v="2025"/>
  </r>
  <r>
    <s v="ORD100160"/>
    <d v="2025-02-05T00:00:00"/>
    <x v="3"/>
    <s v="Bhubaneswar"/>
    <x v="2"/>
    <x v="2"/>
    <x v="2"/>
    <s v="Pens"/>
    <x v="157"/>
    <n v="6"/>
    <n v="4345.6499999999996"/>
    <n v="20"/>
    <x v="158"/>
    <n v="12064.04"/>
    <n v="8795.08"/>
    <x v="1"/>
    <s v="UPI"/>
    <s v="February"/>
    <n v="2025"/>
  </r>
  <r>
    <s v="ORD100161"/>
    <d v="2025-11-30T00:00:00"/>
    <x v="2"/>
    <s v="Bengaluru"/>
    <x v="5"/>
    <x v="2"/>
    <x v="1"/>
    <s v="Table"/>
    <x v="158"/>
    <n v="3"/>
    <n v="3160.92"/>
    <n v="20"/>
    <x v="159"/>
    <n v="6134.01"/>
    <n v="1452.2"/>
    <x v="2"/>
    <s v="Cash"/>
    <s v="November"/>
    <n v="2025"/>
  </r>
  <r>
    <s v="ORD100162"/>
    <d v="2025-07-26T00:00:00"/>
    <x v="1"/>
    <s v="Delhi"/>
    <x v="5"/>
    <x v="1"/>
    <x v="0"/>
    <s v="Mouse"/>
    <x v="159"/>
    <n v="4"/>
    <n v="1180.24"/>
    <n v="15"/>
    <x v="160"/>
    <n v="3073.65"/>
    <n v="939.17"/>
    <x v="2"/>
    <s v="Cash"/>
    <s v="July"/>
    <n v="2025"/>
  </r>
  <r>
    <s v="ORD100163"/>
    <d v="2025-10-30T00:00:00"/>
    <x v="0"/>
    <s v="Ahmedabad"/>
    <x v="5"/>
    <x v="0"/>
    <x v="1"/>
    <s v="Desk"/>
    <x v="160"/>
    <n v="9"/>
    <n v="4853.5600000000004"/>
    <n v="15"/>
    <x v="161"/>
    <n v="30349.040000000001"/>
    <n v="6780.69"/>
    <x v="2"/>
    <s v="Card"/>
    <s v="October"/>
    <n v="2025"/>
  </r>
  <r>
    <s v="ORD100164"/>
    <d v="2026-04-20T00:00:00"/>
    <x v="3"/>
    <s v="Kolkata"/>
    <x v="3"/>
    <x v="0"/>
    <x v="1"/>
    <s v="Desk"/>
    <x v="41"/>
    <n v="15"/>
    <n v="783.86"/>
    <n v="10"/>
    <x v="162"/>
    <n v="7805.7"/>
    <n v="2776.41"/>
    <x v="1"/>
    <s v="Cash"/>
    <s v="April"/>
    <n v="2026"/>
  </r>
  <r>
    <s v="ORD100165"/>
    <d v="2025-02-19T00:00:00"/>
    <x v="2"/>
    <s v="Bengaluru"/>
    <x v="2"/>
    <x v="2"/>
    <x v="1"/>
    <s v="Bookshelf"/>
    <x v="161"/>
    <n v="8"/>
    <n v="2974.43"/>
    <n v="5"/>
    <x v="163"/>
    <n v="15503.23"/>
    <n v="7102.44"/>
    <x v="1"/>
    <s v="Card"/>
    <s v="February"/>
    <n v="2025"/>
  </r>
  <r>
    <s v="ORD100166"/>
    <d v="2025-07-19T00:00:00"/>
    <x v="0"/>
    <s v="Mumbai"/>
    <x v="5"/>
    <x v="0"/>
    <x v="0"/>
    <s v="Laptop"/>
    <x v="162"/>
    <n v="10"/>
    <n v="3632.11"/>
    <n v="5"/>
    <x v="164"/>
    <n v="23315.02"/>
    <n v="11190.02"/>
    <x v="2"/>
    <s v="Net Banking"/>
    <s v="July"/>
    <n v="2025"/>
  </r>
  <r>
    <s v="ORD100167"/>
    <d v="2025-10-27T00:00:00"/>
    <x v="2"/>
    <s v="Bengaluru"/>
    <x v="0"/>
    <x v="1"/>
    <x v="0"/>
    <s v="Monitor"/>
    <x v="50"/>
    <n v="8"/>
    <n v="4432.03"/>
    <n v="15"/>
    <x v="165"/>
    <n v="18551.03"/>
    <n v="11586.77"/>
    <x v="0"/>
    <s v="Card"/>
    <s v="October"/>
    <n v="2025"/>
  </r>
  <r>
    <s v="ORD100168"/>
    <d v="2025-01-22T00:00:00"/>
    <x v="3"/>
    <s v="Kolkata"/>
    <x v="6"/>
    <x v="1"/>
    <x v="1"/>
    <s v="Table"/>
    <x v="163"/>
    <n v="10"/>
    <n v="1798.05"/>
    <n v="5"/>
    <x v="166"/>
    <n v="12706.99"/>
    <n v="4374.4799999999996"/>
    <x v="1"/>
    <s v="Card"/>
    <s v="January"/>
    <n v="2025"/>
  </r>
  <r>
    <s v="ORD100169"/>
    <d v="2025-09-05T00:00:00"/>
    <x v="0"/>
    <s v="Mumbai"/>
    <x v="6"/>
    <x v="2"/>
    <x v="2"/>
    <s v="Paper"/>
    <x v="164"/>
    <n v="11"/>
    <n v="2407.4"/>
    <n v="15"/>
    <x v="167"/>
    <n v="14251.78"/>
    <n v="8257.41"/>
    <x v="0"/>
    <s v="Net Banking"/>
    <s v="September"/>
    <n v="2025"/>
  </r>
  <r>
    <s v="ORD100170"/>
    <d v="2025-11-23T00:00:00"/>
    <x v="2"/>
    <s v="Chennai"/>
    <x v="6"/>
    <x v="2"/>
    <x v="1"/>
    <s v="Table"/>
    <x v="165"/>
    <n v="14"/>
    <n v="4710.5"/>
    <n v="0"/>
    <x v="168"/>
    <n v="49804.44"/>
    <n v="16142.56"/>
    <x v="0"/>
    <s v="Card"/>
    <s v="November"/>
    <n v="2025"/>
  </r>
  <r>
    <s v="ORD100171"/>
    <d v="2025-11-13T00:00:00"/>
    <x v="3"/>
    <s v="Kolkata"/>
    <x v="3"/>
    <x v="1"/>
    <x v="2"/>
    <s v="Folders"/>
    <x v="166"/>
    <n v="15"/>
    <n v="701.13"/>
    <n v="0"/>
    <x v="169"/>
    <n v="8415.11"/>
    <n v="2101.84"/>
    <x v="0"/>
    <s v="UPI"/>
    <s v="November"/>
    <n v="2025"/>
  </r>
  <r>
    <s v="ORD100172"/>
    <d v="2026-03-21T00:00:00"/>
    <x v="2"/>
    <s v="Chennai"/>
    <x v="6"/>
    <x v="2"/>
    <x v="2"/>
    <s v="Printer Ink"/>
    <x v="167"/>
    <n v="13"/>
    <n v="4368.72"/>
    <n v="10"/>
    <x v="170"/>
    <n v="37038.65"/>
    <n v="14075.37"/>
    <x v="1"/>
    <s v="Cash"/>
    <s v="March"/>
    <n v="2026"/>
  </r>
  <r>
    <s v="ORD100173"/>
    <d v="2025-08-14T00:00:00"/>
    <x v="1"/>
    <s v="Chandigarh"/>
    <x v="0"/>
    <x v="2"/>
    <x v="2"/>
    <s v="Notebook"/>
    <x v="168"/>
    <n v="11"/>
    <n v="1008.16"/>
    <n v="5"/>
    <x v="171"/>
    <n v="7135.38"/>
    <n v="3399.89"/>
    <x v="1"/>
    <s v="Cash"/>
    <s v="August"/>
    <n v="2025"/>
  </r>
  <r>
    <s v="ORD100174"/>
    <d v="2025-11-03T00:00:00"/>
    <x v="2"/>
    <s v="Chennai"/>
    <x v="0"/>
    <x v="2"/>
    <x v="2"/>
    <s v="Notebook"/>
    <x v="169"/>
    <n v="11"/>
    <n v="4769.01"/>
    <n v="0"/>
    <x v="172"/>
    <n v="29485.68"/>
    <n v="22973.43"/>
    <x v="2"/>
    <s v="Card"/>
    <s v="November"/>
    <n v="2025"/>
  </r>
  <r>
    <s v="ORD100175"/>
    <d v="2025-03-16T00:00:00"/>
    <x v="0"/>
    <s v="Ahmedabad"/>
    <x v="4"/>
    <x v="0"/>
    <x v="2"/>
    <s v="Pens"/>
    <x v="170"/>
    <n v="1"/>
    <n v="3581.86"/>
    <n v="5"/>
    <x v="173"/>
    <n v="2312.42"/>
    <n v="1090.3499999999999"/>
    <x v="1"/>
    <s v="Cash"/>
    <s v="March"/>
    <n v="2025"/>
  </r>
  <r>
    <s v="ORD100176"/>
    <d v="2026-06-16T00:00:00"/>
    <x v="2"/>
    <s v="Bengaluru"/>
    <x v="4"/>
    <x v="0"/>
    <x v="1"/>
    <s v="Bookshelf"/>
    <x v="171"/>
    <n v="3"/>
    <n v="1700.02"/>
    <n v="0"/>
    <x v="174"/>
    <n v="3084.27"/>
    <n v="2015.79"/>
    <x v="2"/>
    <s v="UPI"/>
    <s v="June"/>
    <n v="2026"/>
  </r>
  <r>
    <s v="ORD100177"/>
    <d v="2025-01-22T00:00:00"/>
    <x v="3"/>
    <s v="Bhubaneswar"/>
    <x v="2"/>
    <x v="0"/>
    <x v="1"/>
    <s v="Desk"/>
    <x v="172"/>
    <n v="2"/>
    <n v="2857.75"/>
    <n v="0"/>
    <x v="175"/>
    <n v="4616.93"/>
    <n v="1098.57"/>
    <x v="0"/>
    <s v="Net Banking"/>
    <s v="January"/>
    <n v="2025"/>
  </r>
  <r>
    <s v="ORD100178"/>
    <d v="2026-06-10T00:00:00"/>
    <x v="2"/>
    <s v="Chennai"/>
    <x v="2"/>
    <x v="0"/>
    <x v="0"/>
    <s v="Headphones"/>
    <x v="173"/>
    <n v="4"/>
    <n v="3752.84"/>
    <n v="20"/>
    <x v="176"/>
    <n v="9767.4699999999993"/>
    <n v="2241.62"/>
    <x v="2"/>
    <s v="UPI"/>
    <s v="June"/>
    <n v="2026"/>
  </r>
  <r>
    <s v="ORD100179"/>
    <d v="2026-06-16T00:00:00"/>
    <x v="0"/>
    <s v="Mumbai"/>
    <x v="6"/>
    <x v="0"/>
    <x v="2"/>
    <s v="Folders"/>
    <x v="174"/>
    <n v="13"/>
    <n v="3206.6"/>
    <n v="0"/>
    <x v="177"/>
    <n v="33263.35"/>
    <n v="8422.4500000000007"/>
    <x v="0"/>
    <s v="UPI"/>
    <s v="June"/>
    <n v="2026"/>
  </r>
  <r>
    <s v="ORD100180"/>
    <d v="2026-03-23T00:00:00"/>
    <x v="1"/>
    <s v="Chandigarh"/>
    <x v="4"/>
    <x v="0"/>
    <x v="1"/>
    <s v="Bookshelf"/>
    <x v="175"/>
    <n v="2"/>
    <n v="2532.64"/>
    <n v="20"/>
    <x v="178"/>
    <n v="2984.22"/>
    <n v="1068"/>
    <x v="0"/>
    <s v="UPI"/>
    <s v="March"/>
    <n v="2026"/>
  </r>
  <r>
    <s v="ORD100181"/>
    <d v="2025-07-29T00:00:00"/>
    <x v="2"/>
    <s v="Chennai"/>
    <x v="7"/>
    <x v="1"/>
    <x v="0"/>
    <s v="Laptop"/>
    <x v="176"/>
    <n v="3"/>
    <n v="3190.73"/>
    <n v="0"/>
    <x v="179"/>
    <n v="7610.5"/>
    <n v="1961.69"/>
    <x v="0"/>
    <s v="Net Banking"/>
    <s v="July"/>
    <n v="2025"/>
  </r>
  <r>
    <s v="ORD100182"/>
    <d v="2026-04-28T00:00:00"/>
    <x v="0"/>
    <s v="Mumbai"/>
    <x v="0"/>
    <x v="0"/>
    <x v="1"/>
    <s v="Bookshelf"/>
    <x v="177"/>
    <n v="10"/>
    <n v="329.33"/>
    <n v="15"/>
    <x v="180"/>
    <n v="1779.54"/>
    <n v="1019.76"/>
    <x v="1"/>
    <s v="Cash"/>
    <s v="April"/>
    <n v="2026"/>
  </r>
  <r>
    <s v="ORD100183"/>
    <d v="2026-05-22T00:00:00"/>
    <x v="2"/>
    <s v="Bengaluru"/>
    <x v="4"/>
    <x v="0"/>
    <x v="0"/>
    <s v="Monitor"/>
    <x v="178"/>
    <n v="4"/>
    <n v="1750.94"/>
    <n v="5"/>
    <x v="181"/>
    <n v="5056.32"/>
    <n v="1597.25"/>
    <x v="2"/>
    <s v="Cash"/>
    <s v="May"/>
    <n v="2026"/>
  </r>
  <r>
    <s v="ORD100184"/>
    <d v="2025-08-04T00:00:00"/>
    <x v="2"/>
    <s v="Bengaluru"/>
    <x v="0"/>
    <x v="0"/>
    <x v="0"/>
    <s v="Mouse"/>
    <x v="179"/>
    <n v="8"/>
    <n v="734.72"/>
    <n v="0"/>
    <x v="182"/>
    <n v="3309.27"/>
    <n v="2568.4899999999998"/>
    <x v="1"/>
    <s v="Cash"/>
    <s v="August"/>
    <n v="2025"/>
  </r>
  <r>
    <s v="ORD100185"/>
    <d v="2025-01-12T00:00:00"/>
    <x v="3"/>
    <s v="Kolkata"/>
    <x v="5"/>
    <x v="0"/>
    <x v="0"/>
    <s v="Keyboard"/>
    <x v="180"/>
    <n v="7"/>
    <n v="1172.04"/>
    <n v="15"/>
    <x v="183"/>
    <n v="5535.22"/>
    <n v="1438.42"/>
    <x v="0"/>
    <s v="Net Banking"/>
    <s v="January"/>
    <n v="2025"/>
  </r>
  <r>
    <s v="ORD100186"/>
    <d v="2026-02-03T00:00:00"/>
    <x v="2"/>
    <s v="Bengaluru"/>
    <x v="5"/>
    <x v="1"/>
    <x v="0"/>
    <s v="Keyboard"/>
    <x v="181"/>
    <n v="12"/>
    <n v="1255.1500000000001"/>
    <n v="10"/>
    <x v="184"/>
    <n v="9810.74"/>
    <n v="3744.88"/>
    <x v="1"/>
    <s v="Card"/>
    <s v="February"/>
    <n v="2026"/>
  </r>
  <r>
    <s v="ORD100187"/>
    <d v="2025-05-05T00:00:00"/>
    <x v="0"/>
    <s v="Ahmedabad"/>
    <x v="2"/>
    <x v="1"/>
    <x v="0"/>
    <s v="Monitor"/>
    <x v="182"/>
    <n v="5"/>
    <n v="3380.26"/>
    <n v="15"/>
    <x v="185"/>
    <n v="10163.69"/>
    <n v="4202.42"/>
    <x v="2"/>
    <s v="Cash"/>
    <s v="May"/>
    <n v="2025"/>
  </r>
  <r>
    <s v="ORD100188"/>
    <d v="2025-11-04T00:00:00"/>
    <x v="2"/>
    <s v="Chennai"/>
    <x v="4"/>
    <x v="1"/>
    <x v="1"/>
    <s v="Cabinet"/>
    <x v="183"/>
    <n v="11"/>
    <n v="2601.7800000000002"/>
    <n v="20"/>
    <x v="186"/>
    <n v="17546.7"/>
    <n v="5348.96"/>
    <x v="1"/>
    <s v="UPI"/>
    <s v="November"/>
    <n v="2025"/>
  </r>
  <r>
    <s v="ORD100189"/>
    <d v="2026-02-26T00:00:00"/>
    <x v="3"/>
    <s v="Kolkata"/>
    <x v="6"/>
    <x v="1"/>
    <x v="2"/>
    <s v="Notebook"/>
    <x v="184"/>
    <n v="9"/>
    <n v="1945.57"/>
    <n v="5"/>
    <x v="187"/>
    <n v="9855.2800000000007"/>
    <n v="6779.34"/>
    <x v="1"/>
    <s v="UPI"/>
    <s v="February"/>
    <n v="2026"/>
  </r>
  <r>
    <s v="ORD100190"/>
    <d v="2025-03-05T00:00:00"/>
    <x v="3"/>
    <s v="Bhubaneswar"/>
    <x v="4"/>
    <x v="1"/>
    <x v="0"/>
    <s v="Headphones"/>
    <x v="120"/>
    <n v="15"/>
    <n v="1901.14"/>
    <n v="0"/>
    <x v="188"/>
    <n v="21888.53"/>
    <n v="6628.57"/>
    <x v="0"/>
    <s v="UPI"/>
    <s v="March"/>
    <n v="2025"/>
  </r>
  <r>
    <s v="ORD100191"/>
    <d v="2025-03-13T00:00:00"/>
    <x v="3"/>
    <s v="Kolkata"/>
    <x v="5"/>
    <x v="1"/>
    <x v="2"/>
    <s v="Folders"/>
    <x v="185"/>
    <n v="2"/>
    <n v="3353.15"/>
    <n v="5"/>
    <x v="189"/>
    <n v="4289.5600000000004"/>
    <n v="2081.42"/>
    <x v="1"/>
    <s v="UPI"/>
    <s v="March"/>
    <n v="2025"/>
  </r>
  <r>
    <s v="ORD100192"/>
    <d v="2025-12-24T00:00:00"/>
    <x v="2"/>
    <s v="Chennai"/>
    <x v="2"/>
    <x v="2"/>
    <x v="0"/>
    <s v="Laptop"/>
    <x v="186"/>
    <n v="9"/>
    <n v="3502.44"/>
    <n v="5"/>
    <x v="190"/>
    <n v="23448.57"/>
    <n v="6497.29"/>
    <x v="0"/>
    <s v="Card"/>
    <s v="December"/>
    <n v="2025"/>
  </r>
  <r>
    <s v="ORD100193"/>
    <d v="2026-01-23T00:00:00"/>
    <x v="2"/>
    <s v="Chennai"/>
    <x v="6"/>
    <x v="1"/>
    <x v="1"/>
    <s v="Desk"/>
    <x v="187"/>
    <n v="5"/>
    <n v="1554.57"/>
    <n v="10"/>
    <x v="191"/>
    <n v="4472.9399999999996"/>
    <n v="2522.62"/>
    <x v="2"/>
    <s v="Net Banking"/>
    <s v="January"/>
    <n v="2026"/>
  </r>
  <r>
    <s v="ORD100194"/>
    <d v="2025-04-27T00:00:00"/>
    <x v="1"/>
    <s v="Chandigarh"/>
    <x v="0"/>
    <x v="0"/>
    <x v="1"/>
    <s v="Table"/>
    <x v="188"/>
    <n v="6"/>
    <n v="3293.37"/>
    <n v="10"/>
    <x v="192"/>
    <n v="14264.3"/>
    <n v="3519.9"/>
    <x v="1"/>
    <s v="UPI"/>
    <s v="April"/>
    <n v="2025"/>
  </r>
  <r>
    <s v="ORD100195"/>
    <d v="2025-04-07T00:00:00"/>
    <x v="3"/>
    <s v="Bhubaneswar"/>
    <x v="5"/>
    <x v="1"/>
    <x v="1"/>
    <s v="Desk"/>
    <x v="189"/>
    <n v="4"/>
    <n v="1830.34"/>
    <n v="0"/>
    <x v="193"/>
    <n v="4256.67"/>
    <n v="3064.69"/>
    <x v="2"/>
    <s v="Net Banking"/>
    <s v="April"/>
    <n v="2025"/>
  </r>
  <r>
    <s v="ORD100196"/>
    <d v="2026-05-25T00:00:00"/>
    <x v="3"/>
    <s v="Kolkata"/>
    <x v="0"/>
    <x v="0"/>
    <x v="2"/>
    <s v="Printer Ink"/>
    <x v="190"/>
    <n v="9"/>
    <n v="4210.54"/>
    <n v="20"/>
    <x v="194"/>
    <n v="19710.48"/>
    <n v="10605.41"/>
    <x v="2"/>
    <s v="Net Banking"/>
    <s v="May"/>
    <n v="2026"/>
  </r>
  <r>
    <s v="ORD100197"/>
    <d v="2026-02-25T00:00:00"/>
    <x v="1"/>
    <s v="Delhi"/>
    <x v="3"/>
    <x v="0"/>
    <x v="2"/>
    <s v="Paper"/>
    <x v="191"/>
    <n v="1"/>
    <n v="3912.03"/>
    <n v="5"/>
    <x v="195"/>
    <n v="2314.9699999999998"/>
    <n v="1401.46"/>
    <x v="2"/>
    <s v="Cash"/>
    <s v="February"/>
    <n v="2026"/>
  </r>
  <r>
    <s v="ORD100198"/>
    <d v="2025-07-14T00:00:00"/>
    <x v="0"/>
    <s v="Mumbai"/>
    <x v="3"/>
    <x v="2"/>
    <x v="1"/>
    <s v="Bookshelf"/>
    <x v="192"/>
    <n v="12"/>
    <n v="2971.41"/>
    <n v="0"/>
    <x v="196"/>
    <n v="22444.37"/>
    <n v="13212.55"/>
    <x v="1"/>
    <s v="UPI"/>
    <s v="July"/>
    <n v="2025"/>
  </r>
  <r>
    <s v="ORD100199"/>
    <d v="2026-06-08T00:00:00"/>
    <x v="1"/>
    <s v="Chandigarh"/>
    <x v="4"/>
    <x v="0"/>
    <x v="0"/>
    <s v="Laptop"/>
    <x v="193"/>
    <n v="2"/>
    <n v="2460.6999999999998"/>
    <n v="0"/>
    <x v="197"/>
    <n v="2841.63"/>
    <n v="2079.77"/>
    <x v="2"/>
    <s v="Card"/>
    <s v="June"/>
    <n v="2026"/>
  </r>
  <r>
    <s v="ORD100200"/>
    <d v="2025-01-16T00:00:00"/>
    <x v="2"/>
    <s v="Bengaluru"/>
    <x v="7"/>
    <x v="2"/>
    <x v="2"/>
    <s v="Folders"/>
    <x v="194"/>
    <n v="8"/>
    <n v="719.28"/>
    <n v="10"/>
    <x v="198"/>
    <n v="4179.46"/>
    <n v="999.36"/>
    <x v="1"/>
    <s v="Card"/>
    <s v="January"/>
    <n v="2025"/>
  </r>
  <r>
    <s v="ORD100201"/>
    <d v="2025-03-18T00:00:00"/>
    <x v="2"/>
    <s v="Bengaluru"/>
    <x v="0"/>
    <x v="1"/>
    <x v="1"/>
    <s v="Desk"/>
    <x v="195"/>
    <n v="14"/>
    <n v="1147.24"/>
    <n v="20"/>
    <x v="199"/>
    <n v="8181.27"/>
    <n v="4667.82"/>
    <x v="0"/>
    <s v="Net Banking"/>
    <s v="March"/>
    <n v="2025"/>
  </r>
  <r>
    <s v="ORD100202"/>
    <d v="2025-03-15T00:00:00"/>
    <x v="1"/>
    <s v="Chandigarh"/>
    <x v="7"/>
    <x v="1"/>
    <x v="2"/>
    <s v="Paper"/>
    <x v="196"/>
    <n v="2"/>
    <n v="4677.54"/>
    <n v="20"/>
    <x v="200"/>
    <n v="6051.01"/>
    <n v="1433.05"/>
    <x v="1"/>
    <s v="Card"/>
    <s v="March"/>
    <n v="2025"/>
  </r>
  <r>
    <s v="ORD100203"/>
    <d v="2025-08-31T00:00:00"/>
    <x v="2"/>
    <s v="Bengaluru"/>
    <x v="4"/>
    <x v="0"/>
    <x v="1"/>
    <s v="Desk"/>
    <x v="197"/>
    <n v="2"/>
    <n v="4096.2700000000004"/>
    <n v="0"/>
    <x v="201"/>
    <n v="5314.88"/>
    <n v="2877.66"/>
    <x v="2"/>
    <s v="UPI"/>
    <s v="August"/>
    <n v="2025"/>
  </r>
  <r>
    <s v="ORD100204"/>
    <d v="2025-03-27T00:00:00"/>
    <x v="2"/>
    <s v="Chennai"/>
    <x v="1"/>
    <x v="2"/>
    <x v="1"/>
    <s v="Chair"/>
    <x v="198"/>
    <n v="7"/>
    <n v="4140.58"/>
    <n v="5"/>
    <x v="202"/>
    <n v="21619.43"/>
    <n v="5915.43"/>
    <x v="2"/>
    <s v="Card"/>
    <s v="March"/>
    <n v="2025"/>
  </r>
  <r>
    <s v="ORD100205"/>
    <d v="2026-06-13T00:00:00"/>
    <x v="3"/>
    <s v="Bhubaneswar"/>
    <x v="3"/>
    <x v="1"/>
    <x v="0"/>
    <s v="Mouse"/>
    <x v="199"/>
    <n v="11"/>
    <n v="2467.09"/>
    <n v="15"/>
    <x v="203"/>
    <n v="16859.759999999998"/>
    <n v="6207.53"/>
    <x v="0"/>
    <s v="UPI"/>
    <s v="June"/>
    <n v="2026"/>
  </r>
  <r>
    <s v="ORD100206"/>
    <d v="2025-10-11T00:00:00"/>
    <x v="3"/>
    <s v="Kolkata"/>
    <x v="5"/>
    <x v="2"/>
    <x v="1"/>
    <s v="Desk"/>
    <x v="200"/>
    <n v="9"/>
    <n v="886.25"/>
    <n v="10"/>
    <x v="204"/>
    <n v="5751.04"/>
    <n v="1427.58"/>
    <x v="0"/>
    <s v="Cash"/>
    <s v="October"/>
    <n v="2025"/>
  </r>
  <r>
    <s v="ORD100207"/>
    <d v="2025-08-07T00:00:00"/>
    <x v="3"/>
    <s v="Bhubaneswar"/>
    <x v="7"/>
    <x v="2"/>
    <x v="0"/>
    <s v="Monitor"/>
    <x v="201"/>
    <n v="11"/>
    <n v="793.85"/>
    <n v="5"/>
    <x v="205"/>
    <n v="5469.97"/>
    <n v="2825.76"/>
    <x v="0"/>
    <s v="Net Banking"/>
    <s v="August"/>
    <n v="2025"/>
  </r>
  <r>
    <s v="ORD100208"/>
    <d v="2026-01-29T00:00:00"/>
    <x v="3"/>
    <s v="Kolkata"/>
    <x v="5"/>
    <x v="1"/>
    <x v="0"/>
    <s v="Laptop"/>
    <x v="176"/>
    <n v="1"/>
    <n v="2441.11"/>
    <n v="20"/>
    <x v="206"/>
    <n v="1176.67"/>
    <n v="776.22"/>
    <x v="0"/>
    <s v="Net Banking"/>
    <s v="January"/>
    <n v="2026"/>
  </r>
  <r>
    <s v="ORD100209"/>
    <d v="2025-04-19T00:00:00"/>
    <x v="0"/>
    <s v="Ahmedabad"/>
    <x v="1"/>
    <x v="1"/>
    <x v="1"/>
    <s v="Table"/>
    <x v="202"/>
    <n v="3"/>
    <n v="1808.82"/>
    <n v="10"/>
    <x v="207"/>
    <n v="3114.4"/>
    <n v="1769.41"/>
    <x v="1"/>
    <s v="Net Banking"/>
    <s v="April"/>
    <n v="2025"/>
  </r>
  <r>
    <s v="ORD100210"/>
    <d v="2026-02-12T00:00:00"/>
    <x v="3"/>
    <s v="Bhubaneswar"/>
    <x v="1"/>
    <x v="2"/>
    <x v="2"/>
    <s v="Notebook"/>
    <x v="203"/>
    <n v="10"/>
    <n v="4355.58"/>
    <n v="20"/>
    <x v="208"/>
    <n v="26330.44"/>
    <n v="8514.2000000000007"/>
    <x v="2"/>
    <s v="UPI"/>
    <s v="February"/>
    <n v="2026"/>
  </r>
  <r>
    <s v="ORD100211"/>
    <d v="2026-06-14T00:00:00"/>
    <x v="2"/>
    <s v="Chennai"/>
    <x v="4"/>
    <x v="2"/>
    <x v="0"/>
    <s v="Monitor"/>
    <x v="204"/>
    <n v="2"/>
    <n v="3047.51"/>
    <n v="0"/>
    <x v="209"/>
    <n v="4247.3"/>
    <n v="1847.72"/>
    <x v="0"/>
    <s v="Cash"/>
    <s v="June"/>
    <n v="2026"/>
  </r>
  <r>
    <s v="ORD100212"/>
    <d v="2025-10-20T00:00:00"/>
    <x v="1"/>
    <s v="Delhi"/>
    <x v="4"/>
    <x v="1"/>
    <x v="1"/>
    <s v="Cabinet"/>
    <x v="205"/>
    <n v="2"/>
    <n v="2564.14"/>
    <n v="15"/>
    <x v="210"/>
    <n v="3364.64"/>
    <n v="994.4"/>
    <x v="2"/>
    <s v="Cash"/>
    <s v="October"/>
    <n v="2025"/>
  </r>
  <r>
    <s v="ORD100213"/>
    <d v="2025-08-21T00:00:00"/>
    <x v="3"/>
    <s v="Bhubaneswar"/>
    <x v="3"/>
    <x v="2"/>
    <x v="0"/>
    <s v="Keyboard"/>
    <x v="206"/>
    <n v="8"/>
    <n v="252.74"/>
    <n v="5"/>
    <x v="211"/>
    <n v="1074.43"/>
    <n v="846.39"/>
    <x v="1"/>
    <s v="Cash"/>
    <s v="August"/>
    <n v="2025"/>
  </r>
  <r>
    <s v="ORD100214"/>
    <d v="2025-02-20T00:00:00"/>
    <x v="1"/>
    <s v="Delhi"/>
    <x v="7"/>
    <x v="0"/>
    <x v="0"/>
    <s v="Mouse"/>
    <x v="207"/>
    <n v="6"/>
    <n v="4037.73"/>
    <n v="0"/>
    <x v="212"/>
    <n v="15552.81"/>
    <n v="8673.57"/>
    <x v="2"/>
    <s v="Net Banking"/>
    <s v="February"/>
    <n v="2025"/>
  </r>
  <r>
    <s v="ORD100215"/>
    <d v="2025-01-26T00:00:00"/>
    <x v="2"/>
    <s v="Bengaluru"/>
    <x v="6"/>
    <x v="2"/>
    <x v="2"/>
    <s v="Pens"/>
    <x v="208"/>
    <n v="15"/>
    <n v="3510.32"/>
    <n v="0"/>
    <x v="213"/>
    <n v="41850.080000000002"/>
    <n v="10804.72"/>
    <x v="1"/>
    <s v="UPI"/>
    <s v="January"/>
    <n v="2025"/>
  </r>
  <r>
    <s v="ORD100216"/>
    <d v="2025-10-23T00:00:00"/>
    <x v="1"/>
    <s v="Chandigarh"/>
    <x v="2"/>
    <x v="0"/>
    <x v="0"/>
    <s v="Mouse"/>
    <x v="209"/>
    <n v="6"/>
    <n v="1106.6400000000001"/>
    <n v="10"/>
    <x v="214"/>
    <n v="3553.78"/>
    <n v="2422.08"/>
    <x v="1"/>
    <s v="Card"/>
    <s v="October"/>
    <n v="2025"/>
  </r>
  <r>
    <s v="ORD100217"/>
    <d v="2026-03-20T00:00:00"/>
    <x v="2"/>
    <s v="Chennai"/>
    <x v="2"/>
    <x v="0"/>
    <x v="1"/>
    <s v="Chair"/>
    <x v="210"/>
    <n v="12"/>
    <n v="3825.39"/>
    <n v="10"/>
    <x v="215"/>
    <n v="31659"/>
    <n v="9655.2099999999991"/>
    <x v="2"/>
    <s v="UPI"/>
    <s v="March"/>
    <n v="2026"/>
  </r>
  <r>
    <s v="ORD100218"/>
    <d v="2025-04-17T00:00:00"/>
    <x v="2"/>
    <s v="Chennai"/>
    <x v="2"/>
    <x v="0"/>
    <x v="0"/>
    <s v="Headphones"/>
    <x v="211"/>
    <n v="7"/>
    <n v="3785.13"/>
    <n v="10"/>
    <x v="216"/>
    <n v="15275.52"/>
    <n v="8570.7999999999993"/>
    <x v="2"/>
    <s v="UPI"/>
    <s v="April"/>
    <n v="2025"/>
  </r>
  <r>
    <s v="ORD100219"/>
    <d v="2026-06-01T00:00:00"/>
    <x v="1"/>
    <s v="Delhi"/>
    <x v="7"/>
    <x v="0"/>
    <x v="1"/>
    <s v="Cabinet"/>
    <x v="212"/>
    <n v="4"/>
    <n v="2398.25"/>
    <n v="5"/>
    <x v="217"/>
    <n v="6270.77"/>
    <n v="2842.58"/>
    <x v="2"/>
    <s v="Card"/>
    <s v="June"/>
    <n v="2026"/>
  </r>
  <r>
    <s v="ORD100220"/>
    <d v="2025-09-30T00:00:00"/>
    <x v="2"/>
    <s v="Chennai"/>
    <x v="2"/>
    <x v="1"/>
    <x v="0"/>
    <s v="Headphones"/>
    <x v="213"/>
    <n v="11"/>
    <n v="1268.25"/>
    <n v="20"/>
    <x v="218"/>
    <n v="7472.02"/>
    <n v="3688.58"/>
    <x v="0"/>
    <s v="UPI"/>
    <s v="September"/>
    <n v="2025"/>
  </r>
  <r>
    <s v="ORD100221"/>
    <d v="2026-04-14T00:00:00"/>
    <x v="0"/>
    <s v="Mumbai"/>
    <x v="6"/>
    <x v="0"/>
    <x v="0"/>
    <s v="Laptop"/>
    <x v="214"/>
    <n v="6"/>
    <n v="2677.73"/>
    <n v="0"/>
    <x v="219"/>
    <n v="9067.89"/>
    <n v="6998.49"/>
    <x v="2"/>
    <s v="UPI"/>
    <s v="April"/>
    <n v="2026"/>
  </r>
  <r>
    <s v="ORD100222"/>
    <d v="2025-11-26T00:00:00"/>
    <x v="1"/>
    <s v="Delhi"/>
    <x v="3"/>
    <x v="1"/>
    <x v="2"/>
    <s v="Folders"/>
    <x v="215"/>
    <n v="11"/>
    <n v="365.84"/>
    <n v="20"/>
    <x v="220"/>
    <n v="2296.04"/>
    <n v="923.35"/>
    <x v="2"/>
    <s v="UPI"/>
    <s v="November"/>
    <n v="2025"/>
  </r>
  <r>
    <s v="ORD100223"/>
    <d v="2025-09-27T00:00:00"/>
    <x v="3"/>
    <s v="Bhubaneswar"/>
    <x v="3"/>
    <x v="0"/>
    <x v="1"/>
    <s v="Cabinet"/>
    <x v="216"/>
    <n v="15"/>
    <n v="1423.92"/>
    <n v="10"/>
    <x v="221"/>
    <n v="10575.93"/>
    <n v="8646.99"/>
    <x v="2"/>
    <s v="Card"/>
    <s v="September"/>
    <n v="2025"/>
  </r>
  <r>
    <s v="ORD100224"/>
    <d v="2026-01-01T00:00:00"/>
    <x v="0"/>
    <s v="Ahmedabad"/>
    <x v="3"/>
    <x v="0"/>
    <x v="0"/>
    <s v="Monitor"/>
    <x v="217"/>
    <n v="9"/>
    <n v="1899.33"/>
    <n v="5"/>
    <x v="222"/>
    <n v="11676.5"/>
    <n v="4562.7700000000004"/>
    <x v="1"/>
    <s v="Net Banking"/>
    <s v="January"/>
    <n v="2026"/>
  </r>
  <r>
    <s v="ORD100225"/>
    <d v="2026-05-14T00:00:00"/>
    <x v="3"/>
    <s v="Kolkata"/>
    <x v="7"/>
    <x v="2"/>
    <x v="2"/>
    <s v="Printer Ink"/>
    <x v="218"/>
    <n v="15"/>
    <n v="2738.04"/>
    <n v="5"/>
    <x v="223"/>
    <n v="22713.1"/>
    <n v="16303.97"/>
    <x v="0"/>
    <s v="Card"/>
    <s v="May"/>
    <n v="2026"/>
  </r>
  <r>
    <s v="ORD100226"/>
    <d v="2026-06-03T00:00:00"/>
    <x v="1"/>
    <s v="Delhi"/>
    <x v="6"/>
    <x v="0"/>
    <x v="2"/>
    <s v="Paper"/>
    <x v="219"/>
    <n v="4"/>
    <n v="1193.52"/>
    <n v="15"/>
    <x v="224"/>
    <n v="2896.41"/>
    <n v="1161.56"/>
    <x v="2"/>
    <s v="Net Banking"/>
    <s v="June"/>
    <n v="2026"/>
  </r>
  <r>
    <s v="ORD100227"/>
    <d v="2025-04-12T00:00:00"/>
    <x v="2"/>
    <s v="Chennai"/>
    <x v="3"/>
    <x v="1"/>
    <x v="2"/>
    <s v="Notebook"/>
    <x v="220"/>
    <n v="3"/>
    <n v="639.99"/>
    <n v="15"/>
    <x v="225"/>
    <n v="1236.79"/>
    <n v="395.18"/>
    <x v="2"/>
    <s v="Cash"/>
    <s v="April"/>
    <n v="2025"/>
  </r>
  <r>
    <s v="ORD100228"/>
    <d v="2026-02-10T00:00:00"/>
    <x v="3"/>
    <s v="Kolkata"/>
    <x v="2"/>
    <x v="1"/>
    <x v="2"/>
    <s v="Printer Ink"/>
    <x v="221"/>
    <n v="2"/>
    <n v="1645.6"/>
    <n v="0"/>
    <x v="226"/>
    <n v="2224.36"/>
    <n v="1066.8399999999999"/>
    <x v="1"/>
    <s v="Net Banking"/>
    <s v="February"/>
    <n v="2026"/>
  </r>
  <r>
    <s v="ORD100229"/>
    <d v="2025-11-10T00:00:00"/>
    <x v="3"/>
    <s v="Kolkata"/>
    <x v="7"/>
    <x v="0"/>
    <x v="2"/>
    <s v="Paper"/>
    <x v="222"/>
    <n v="7"/>
    <n v="2361.7199999999998"/>
    <n v="0"/>
    <x v="227"/>
    <n v="11722.4"/>
    <n v="4809.6400000000003"/>
    <x v="2"/>
    <s v="Cash"/>
    <s v="November"/>
    <n v="2025"/>
  </r>
  <r>
    <s v="ORD100230"/>
    <d v="2026-04-22T00:00:00"/>
    <x v="2"/>
    <s v="Chennai"/>
    <x v="6"/>
    <x v="1"/>
    <x v="2"/>
    <s v="Pens"/>
    <x v="223"/>
    <n v="7"/>
    <n v="1793.09"/>
    <n v="0"/>
    <x v="228"/>
    <n v="8814.6"/>
    <n v="3737.03"/>
    <x v="0"/>
    <s v="Cash"/>
    <s v="April"/>
    <n v="2026"/>
  </r>
  <r>
    <s v="ORD100231"/>
    <d v="2025-12-12T00:00:00"/>
    <x v="1"/>
    <s v="Chandigarh"/>
    <x v="0"/>
    <x v="2"/>
    <x v="0"/>
    <s v="Laptop"/>
    <x v="224"/>
    <n v="13"/>
    <n v="982.96"/>
    <n v="20"/>
    <x v="229"/>
    <n v="6456.66"/>
    <n v="3766.12"/>
    <x v="1"/>
    <s v="Cash"/>
    <s v="December"/>
    <n v="2025"/>
  </r>
  <r>
    <s v="ORD100232"/>
    <d v="2026-02-20T00:00:00"/>
    <x v="0"/>
    <s v="Ahmedabad"/>
    <x v="3"/>
    <x v="0"/>
    <x v="2"/>
    <s v="Folders"/>
    <x v="225"/>
    <n v="14"/>
    <n v="3698.29"/>
    <n v="0"/>
    <x v="230"/>
    <n v="32161.93"/>
    <n v="19614.13"/>
    <x v="1"/>
    <s v="Card"/>
    <s v="February"/>
    <n v="2026"/>
  </r>
  <r>
    <s v="ORD100233"/>
    <d v="2026-05-23T00:00:00"/>
    <x v="1"/>
    <s v="Chandigarh"/>
    <x v="4"/>
    <x v="2"/>
    <x v="1"/>
    <s v="Cabinet"/>
    <x v="226"/>
    <n v="15"/>
    <n v="3868.82"/>
    <n v="20"/>
    <x v="231"/>
    <n v="27933.96"/>
    <n v="18491.88"/>
    <x v="2"/>
    <s v="Cash"/>
    <s v="May"/>
    <n v="2026"/>
  </r>
  <r>
    <s v="ORD100234"/>
    <d v="2026-01-11T00:00:00"/>
    <x v="0"/>
    <s v="Mumbai"/>
    <x v="6"/>
    <x v="2"/>
    <x v="2"/>
    <s v="Paper"/>
    <x v="227"/>
    <n v="4"/>
    <n v="4887.3100000000004"/>
    <n v="20"/>
    <x v="232"/>
    <n v="11716.53"/>
    <n v="3922.86"/>
    <x v="2"/>
    <s v="Cash"/>
    <s v="January"/>
    <n v="2026"/>
  </r>
  <r>
    <s v="ORD100235"/>
    <d v="2025-08-23T00:00:00"/>
    <x v="0"/>
    <s v="Mumbai"/>
    <x v="5"/>
    <x v="1"/>
    <x v="2"/>
    <s v="Printer Ink"/>
    <x v="228"/>
    <n v="11"/>
    <n v="1954.88"/>
    <n v="15"/>
    <x v="233"/>
    <n v="13154.45"/>
    <n v="5123.68"/>
    <x v="2"/>
    <s v="Cash"/>
    <s v="August"/>
    <n v="2025"/>
  </r>
  <r>
    <s v="ORD100236"/>
    <d v="2025-07-29T00:00:00"/>
    <x v="1"/>
    <s v="Delhi"/>
    <x v="4"/>
    <x v="0"/>
    <x v="2"/>
    <s v="Folders"/>
    <x v="229"/>
    <n v="5"/>
    <n v="3322.7"/>
    <n v="10"/>
    <x v="234"/>
    <n v="8508.66"/>
    <n v="6443.49"/>
    <x v="2"/>
    <s v="Net Banking"/>
    <s v="July"/>
    <n v="2025"/>
  </r>
  <r>
    <s v="ORD100237"/>
    <d v="2025-09-08T00:00:00"/>
    <x v="3"/>
    <s v="Bhubaneswar"/>
    <x v="4"/>
    <x v="1"/>
    <x v="0"/>
    <s v="Headphones"/>
    <x v="230"/>
    <n v="6"/>
    <n v="1615.87"/>
    <n v="15"/>
    <x v="235"/>
    <n v="6587.44"/>
    <n v="1653.5"/>
    <x v="1"/>
    <s v="Cash"/>
    <s v="September"/>
    <n v="2025"/>
  </r>
  <r>
    <s v="ORD100238"/>
    <d v="2025-10-07T00:00:00"/>
    <x v="2"/>
    <s v="Chennai"/>
    <x v="3"/>
    <x v="2"/>
    <x v="2"/>
    <s v="Pens"/>
    <x v="231"/>
    <n v="15"/>
    <n v="999.13"/>
    <n v="0"/>
    <x v="236"/>
    <n v="11987.02"/>
    <n v="2999.93"/>
    <x v="0"/>
    <s v="Net Banking"/>
    <s v="October"/>
    <n v="2025"/>
  </r>
  <r>
    <s v="ORD100239"/>
    <d v="2025-01-15T00:00:00"/>
    <x v="2"/>
    <s v="Chennai"/>
    <x v="5"/>
    <x v="0"/>
    <x v="0"/>
    <s v="Laptop"/>
    <x v="232"/>
    <n v="11"/>
    <n v="2749.41"/>
    <n v="20"/>
    <x v="237"/>
    <n v="14447.7"/>
    <n v="9747.11"/>
    <x v="2"/>
    <s v="Net Banking"/>
    <s v="January"/>
    <n v="2025"/>
  </r>
  <r>
    <s v="ORD100240"/>
    <d v="2025-07-15T00:00:00"/>
    <x v="0"/>
    <s v="Mumbai"/>
    <x v="2"/>
    <x v="0"/>
    <x v="0"/>
    <s v="Monitor"/>
    <x v="233"/>
    <n v="11"/>
    <n v="4362.0600000000004"/>
    <n v="5"/>
    <x v="238"/>
    <n v="34684.980000000003"/>
    <n v="10898.55"/>
    <x v="2"/>
    <s v="Net Banking"/>
    <s v="July"/>
    <n v="2025"/>
  </r>
  <r>
    <s v="ORD100241"/>
    <d v="2026-03-05T00:00:00"/>
    <x v="3"/>
    <s v="Kolkata"/>
    <x v="4"/>
    <x v="0"/>
    <x v="2"/>
    <s v="Printer Ink"/>
    <x v="234"/>
    <n v="6"/>
    <n v="1311.11"/>
    <n v="15"/>
    <x v="239"/>
    <n v="5044.9799999999996"/>
    <n v="1641.68"/>
    <x v="1"/>
    <s v="Net Banking"/>
    <s v="March"/>
    <n v="2026"/>
  </r>
  <r>
    <s v="ORD100242"/>
    <d v="2026-04-30T00:00:00"/>
    <x v="3"/>
    <s v="Kolkata"/>
    <x v="4"/>
    <x v="1"/>
    <x v="0"/>
    <s v="Monitor"/>
    <x v="235"/>
    <n v="15"/>
    <n v="712.93"/>
    <n v="20"/>
    <x v="240"/>
    <n v="6895.97"/>
    <n v="1659.19"/>
    <x v="1"/>
    <s v="Card"/>
    <s v="April"/>
    <n v="2026"/>
  </r>
  <r>
    <s v="ORD100243"/>
    <d v="2026-03-14T00:00:00"/>
    <x v="0"/>
    <s v="Mumbai"/>
    <x v="1"/>
    <x v="2"/>
    <x v="0"/>
    <s v="Mouse"/>
    <x v="236"/>
    <n v="8"/>
    <n v="1632.6"/>
    <n v="5"/>
    <x v="241"/>
    <n v="6845.68"/>
    <n v="5562.08"/>
    <x v="0"/>
    <s v="UPI"/>
    <s v="March"/>
    <n v="2026"/>
  </r>
  <r>
    <s v="ORD100244"/>
    <d v="2025-08-12T00:00:00"/>
    <x v="2"/>
    <s v="Bengaluru"/>
    <x v="3"/>
    <x v="2"/>
    <x v="0"/>
    <s v="Mouse"/>
    <x v="237"/>
    <n v="1"/>
    <n v="2590.8000000000002"/>
    <n v="5"/>
    <x v="242"/>
    <n v="1461.18"/>
    <n v="1000.08"/>
    <x v="2"/>
    <s v="Card"/>
    <s v="August"/>
    <n v="2025"/>
  </r>
  <r>
    <s v="ORD100245"/>
    <d v="2025-06-30T00:00:00"/>
    <x v="0"/>
    <s v="Ahmedabad"/>
    <x v="6"/>
    <x v="1"/>
    <x v="1"/>
    <s v="Desk"/>
    <x v="238"/>
    <n v="5"/>
    <n v="828.27"/>
    <n v="5"/>
    <x v="243"/>
    <n v="2925.07"/>
    <n v="1009.21"/>
    <x v="0"/>
    <s v="Cash"/>
    <s v="June"/>
    <n v="2025"/>
  </r>
  <r>
    <s v="ORD100246"/>
    <d v="2025-06-13T00:00:00"/>
    <x v="3"/>
    <s v="Kolkata"/>
    <x v="5"/>
    <x v="0"/>
    <x v="1"/>
    <s v="Table"/>
    <x v="239"/>
    <n v="11"/>
    <n v="2093.09"/>
    <n v="5"/>
    <x v="244"/>
    <n v="14456.57"/>
    <n v="7416.22"/>
    <x v="2"/>
    <s v="Card"/>
    <s v="June"/>
    <n v="2025"/>
  </r>
  <r>
    <s v="ORD100247"/>
    <d v="2025-07-17T00:00:00"/>
    <x v="3"/>
    <s v="Kolkata"/>
    <x v="5"/>
    <x v="2"/>
    <x v="0"/>
    <s v="Headphones"/>
    <x v="240"/>
    <n v="5"/>
    <n v="255.09"/>
    <n v="10"/>
    <x v="245"/>
    <n v="656.65"/>
    <n v="491.25"/>
    <x v="1"/>
    <s v="Card"/>
    <s v="July"/>
    <n v="2025"/>
  </r>
  <r>
    <s v="ORD100248"/>
    <d v="2026-05-28T00:00:00"/>
    <x v="1"/>
    <s v="Chandigarh"/>
    <x v="4"/>
    <x v="2"/>
    <x v="0"/>
    <s v="Laptop"/>
    <x v="241"/>
    <n v="12"/>
    <n v="3321.86"/>
    <n v="10"/>
    <x v="246"/>
    <n v="24153.65"/>
    <n v="11722.44"/>
    <x v="1"/>
    <s v="Cash"/>
    <s v="May"/>
    <n v="2026"/>
  </r>
  <r>
    <s v="ORD100249"/>
    <d v="2025-04-01T00:00:00"/>
    <x v="1"/>
    <s v="Delhi"/>
    <x v="3"/>
    <x v="2"/>
    <x v="2"/>
    <s v="Pens"/>
    <x v="242"/>
    <n v="1"/>
    <n v="1558.26"/>
    <n v="10"/>
    <x v="247"/>
    <n v="1071.29"/>
    <n v="331.14"/>
    <x v="0"/>
    <s v="UPI"/>
    <s v="April"/>
    <n v="2025"/>
  </r>
  <r>
    <s v="ORD100250"/>
    <d v="2025-02-25T00:00:00"/>
    <x v="2"/>
    <s v="Chennai"/>
    <x v="1"/>
    <x v="0"/>
    <x v="0"/>
    <s v="Headphones"/>
    <x v="243"/>
    <n v="3"/>
    <n v="1582.16"/>
    <n v="5"/>
    <x v="248"/>
    <n v="2949.09"/>
    <n v="1560.07"/>
    <x v="1"/>
    <s v="UPI"/>
    <s v="February"/>
    <n v="2025"/>
  </r>
  <r>
    <s v="ORD100251"/>
    <d v="2025-05-31T00:00:00"/>
    <x v="0"/>
    <s v="Ahmedabad"/>
    <x v="3"/>
    <x v="0"/>
    <x v="1"/>
    <s v="Cabinet"/>
    <x v="244"/>
    <n v="11"/>
    <n v="916.19"/>
    <n v="20"/>
    <x v="249"/>
    <n v="4575.34"/>
    <n v="3487.13"/>
    <x v="0"/>
    <s v="Net Banking"/>
    <s v="May"/>
    <n v="2025"/>
  </r>
  <r>
    <s v="ORD100252"/>
    <d v="2025-08-08T00:00:00"/>
    <x v="3"/>
    <s v="Kolkata"/>
    <x v="7"/>
    <x v="0"/>
    <x v="0"/>
    <s v="Mouse"/>
    <x v="245"/>
    <n v="15"/>
    <n v="1756.39"/>
    <n v="20"/>
    <x v="250"/>
    <n v="15047.08"/>
    <n v="6029.6"/>
    <x v="2"/>
    <s v="Net Banking"/>
    <s v="August"/>
    <n v="2025"/>
  </r>
  <r>
    <s v="ORD100253"/>
    <d v="2026-05-14T00:00:00"/>
    <x v="0"/>
    <s v="Ahmedabad"/>
    <x v="5"/>
    <x v="0"/>
    <x v="0"/>
    <s v="Headphones"/>
    <x v="246"/>
    <n v="3"/>
    <n v="3448.05"/>
    <n v="15"/>
    <x v="251"/>
    <n v="7025.48"/>
    <n v="1767.05"/>
    <x v="1"/>
    <s v="Net Banking"/>
    <s v="May"/>
    <n v="2026"/>
  </r>
  <r>
    <s v="ORD100254"/>
    <d v="2025-02-28T00:00:00"/>
    <x v="2"/>
    <s v="Bengaluru"/>
    <x v="3"/>
    <x v="1"/>
    <x v="0"/>
    <s v="Headphones"/>
    <x v="247"/>
    <n v="13"/>
    <n v="4042.83"/>
    <n v="5"/>
    <x v="252"/>
    <n v="35009.53"/>
    <n v="14919.42"/>
    <x v="1"/>
    <s v="Cash"/>
    <s v="February"/>
    <n v="2025"/>
  </r>
  <r>
    <s v="ORD100255"/>
    <d v="2025-08-26T00:00:00"/>
    <x v="3"/>
    <s v="Bhubaneswar"/>
    <x v="0"/>
    <x v="1"/>
    <x v="2"/>
    <s v="Notebook"/>
    <x v="248"/>
    <n v="5"/>
    <n v="4978.3"/>
    <n v="5"/>
    <x v="253"/>
    <n v="18809.23"/>
    <n v="4837.6899999999996"/>
    <x v="0"/>
    <s v="UPI"/>
    <s v="August"/>
    <n v="2025"/>
  </r>
  <r>
    <s v="ORD100256"/>
    <d v="2025-02-24T00:00:00"/>
    <x v="3"/>
    <s v="Kolkata"/>
    <x v="0"/>
    <x v="0"/>
    <x v="0"/>
    <s v="Monitor"/>
    <x v="249"/>
    <n v="9"/>
    <n v="4269.3"/>
    <n v="0"/>
    <x v="254"/>
    <n v="23151.26"/>
    <n v="15272.44"/>
    <x v="1"/>
    <s v="Cash"/>
    <s v="February"/>
    <n v="2025"/>
  </r>
  <r>
    <s v="ORD100257"/>
    <d v="2026-01-09T00:00:00"/>
    <x v="0"/>
    <s v="Ahmedabad"/>
    <x v="0"/>
    <x v="0"/>
    <x v="0"/>
    <s v="Laptop"/>
    <x v="250"/>
    <n v="7"/>
    <n v="2350.75"/>
    <n v="15"/>
    <x v="255"/>
    <n v="8060.99"/>
    <n v="5925.97"/>
    <x v="1"/>
    <s v="Net Banking"/>
    <s v="January"/>
    <n v="2026"/>
  </r>
  <r>
    <s v="ORD100258"/>
    <d v="2025-04-10T00:00:00"/>
    <x v="1"/>
    <s v="Delhi"/>
    <x v="3"/>
    <x v="2"/>
    <x v="1"/>
    <s v="Desk"/>
    <x v="251"/>
    <n v="3"/>
    <n v="4293.8999999999996"/>
    <n v="0"/>
    <x v="256"/>
    <n v="10189.49"/>
    <n v="2692.21"/>
    <x v="2"/>
    <s v="Card"/>
    <s v="April"/>
    <n v="2025"/>
  </r>
  <r>
    <s v="ORD100259"/>
    <d v="2026-06-24T00:00:00"/>
    <x v="3"/>
    <s v="Kolkata"/>
    <x v="6"/>
    <x v="2"/>
    <x v="2"/>
    <s v="Notebook"/>
    <x v="252"/>
    <n v="14"/>
    <n v="4101.22"/>
    <n v="20"/>
    <x v="257"/>
    <n v="36696.51"/>
    <n v="9237.15"/>
    <x v="1"/>
    <s v="Cash"/>
    <s v="June"/>
    <n v="2026"/>
  </r>
  <r>
    <s v="ORD100260"/>
    <d v="2026-01-13T00:00:00"/>
    <x v="0"/>
    <s v="Ahmedabad"/>
    <x v="2"/>
    <x v="1"/>
    <x v="1"/>
    <s v="Desk"/>
    <x v="253"/>
    <n v="2"/>
    <n v="2138.1"/>
    <n v="0"/>
    <x v="258"/>
    <n v="2356.13"/>
    <n v="1920.07"/>
    <x v="1"/>
    <s v="UPI"/>
    <s v="January"/>
    <n v="2026"/>
  </r>
  <r>
    <s v="ORD100261"/>
    <d v="2025-03-04T00:00:00"/>
    <x v="3"/>
    <s v="Kolkata"/>
    <x v="5"/>
    <x v="1"/>
    <x v="1"/>
    <s v="Bookshelf"/>
    <x v="68"/>
    <n v="2"/>
    <n v="2993.46"/>
    <n v="5"/>
    <x v="259"/>
    <n v="3934.58"/>
    <n v="1752.99"/>
    <x v="1"/>
    <s v="Cash"/>
    <s v="March"/>
    <n v="2025"/>
  </r>
  <r>
    <s v="ORD100262"/>
    <d v="2025-08-18T00:00:00"/>
    <x v="1"/>
    <s v="Delhi"/>
    <x v="0"/>
    <x v="2"/>
    <x v="0"/>
    <s v="Headphones"/>
    <x v="254"/>
    <n v="3"/>
    <n v="4162.84"/>
    <n v="15"/>
    <x v="260"/>
    <n v="5875.23"/>
    <n v="4740.01"/>
    <x v="2"/>
    <s v="Cash"/>
    <s v="August"/>
    <n v="2025"/>
  </r>
  <r>
    <s v="ORD100263"/>
    <d v="2025-10-15T00:00:00"/>
    <x v="3"/>
    <s v="Kolkata"/>
    <x v="7"/>
    <x v="0"/>
    <x v="0"/>
    <s v="Monitor"/>
    <x v="255"/>
    <n v="10"/>
    <n v="4517.17"/>
    <n v="0"/>
    <x v="261"/>
    <n v="26693.53"/>
    <n v="18478.169999999998"/>
    <x v="1"/>
    <s v="Card"/>
    <s v="October"/>
    <n v="2025"/>
  </r>
  <r>
    <s v="ORD100264"/>
    <d v="2025-12-02T00:00:00"/>
    <x v="2"/>
    <s v="Bengaluru"/>
    <x v="5"/>
    <x v="1"/>
    <x v="0"/>
    <s v="Monitor"/>
    <x v="256"/>
    <n v="4"/>
    <n v="2391.31"/>
    <n v="5"/>
    <x v="262"/>
    <n v="5402.06"/>
    <n v="3684.92"/>
    <x v="0"/>
    <s v="Cash"/>
    <s v="December"/>
    <n v="2025"/>
  </r>
  <r>
    <s v="ORD100265"/>
    <d v="2026-02-19T00:00:00"/>
    <x v="1"/>
    <s v="Delhi"/>
    <x v="2"/>
    <x v="0"/>
    <x v="2"/>
    <s v="Notebook"/>
    <x v="257"/>
    <n v="12"/>
    <n v="2905.2"/>
    <n v="20"/>
    <x v="263"/>
    <n v="15955.59"/>
    <n v="11934.33"/>
    <x v="1"/>
    <s v="Net Banking"/>
    <s v="February"/>
    <n v="2026"/>
  </r>
  <r>
    <s v="ORD100266"/>
    <d v="2025-10-21T00:00:00"/>
    <x v="2"/>
    <s v="Chennai"/>
    <x v="5"/>
    <x v="1"/>
    <x v="0"/>
    <s v="Keyboard"/>
    <x v="258"/>
    <n v="7"/>
    <n v="513.6"/>
    <n v="15"/>
    <x v="264"/>
    <n v="1692.31"/>
    <n v="1363.61"/>
    <x v="1"/>
    <s v="Net Banking"/>
    <s v="October"/>
    <n v="2025"/>
  </r>
  <r>
    <s v="ORD100267"/>
    <d v="2025-03-03T00:00:00"/>
    <x v="3"/>
    <s v="Bhubaneswar"/>
    <x v="0"/>
    <x v="0"/>
    <x v="2"/>
    <s v="Paper"/>
    <x v="259"/>
    <n v="4"/>
    <n v="1633.37"/>
    <n v="10"/>
    <x v="265"/>
    <n v="4276.92"/>
    <n v="1603.21"/>
    <x v="1"/>
    <s v="Card"/>
    <s v="March"/>
    <n v="2025"/>
  </r>
  <r>
    <s v="ORD100268"/>
    <d v="2026-04-20T00:00:00"/>
    <x v="3"/>
    <s v="Kolkata"/>
    <x v="5"/>
    <x v="2"/>
    <x v="2"/>
    <s v="Pens"/>
    <x v="260"/>
    <n v="3"/>
    <n v="2627.11"/>
    <n v="5"/>
    <x v="266"/>
    <n v="5184.57"/>
    <n v="2302.69"/>
    <x v="0"/>
    <s v="UPI"/>
    <s v="April"/>
    <n v="2026"/>
  </r>
  <r>
    <s v="ORD100269"/>
    <d v="2025-04-20T00:00:00"/>
    <x v="0"/>
    <s v="Mumbai"/>
    <x v="6"/>
    <x v="0"/>
    <x v="0"/>
    <s v="Mouse"/>
    <x v="261"/>
    <n v="15"/>
    <n v="3089.09"/>
    <n v="5"/>
    <x v="267"/>
    <n v="24950.04"/>
    <n v="19069.490000000002"/>
    <x v="0"/>
    <s v="Net Banking"/>
    <s v="April"/>
    <n v="2025"/>
  </r>
  <r>
    <s v="ORD100270"/>
    <d v="2025-05-20T00:00:00"/>
    <x v="0"/>
    <s v="Ahmedabad"/>
    <x v="3"/>
    <x v="0"/>
    <x v="0"/>
    <s v="Mouse"/>
    <x v="262"/>
    <n v="7"/>
    <n v="4116.8"/>
    <n v="10"/>
    <x v="268"/>
    <n v="17956.63"/>
    <n v="7979.21"/>
    <x v="2"/>
    <s v="UPI"/>
    <s v="May"/>
    <n v="2025"/>
  </r>
  <r>
    <s v="ORD100271"/>
    <d v="2025-02-23T00:00:00"/>
    <x v="1"/>
    <s v="Chandigarh"/>
    <x v="0"/>
    <x v="1"/>
    <x v="1"/>
    <s v="Bookshelf"/>
    <x v="263"/>
    <n v="11"/>
    <n v="2425.1799999999998"/>
    <n v="10"/>
    <x v="269"/>
    <n v="16234.45"/>
    <n v="7774.83"/>
    <x v="2"/>
    <s v="Net Banking"/>
    <s v="February"/>
    <n v="2025"/>
  </r>
  <r>
    <s v="ORD100272"/>
    <d v="2026-06-13T00:00:00"/>
    <x v="0"/>
    <s v="Mumbai"/>
    <x v="4"/>
    <x v="0"/>
    <x v="1"/>
    <s v="Chair"/>
    <x v="264"/>
    <n v="12"/>
    <n v="2248.36"/>
    <n v="15"/>
    <x v="270"/>
    <n v="13787.64"/>
    <n v="9145.6299999999992"/>
    <x v="1"/>
    <s v="Net Banking"/>
    <s v="June"/>
    <n v="2026"/>
  </r>
  <r>
    <s v="ORD100273"/>
    <d v="2025-01-14T00:00:00"/>
    <x v="2"/>
    <s v="Chennai"/>
    <x v="1"/>
    <x v="1"/>
    <x v="0"/>
    <s v="Monitor"/>
    <x v="265"/>
    <n v="4"/>
    <n v="2274.5100000000002"/>
    <n v="0"/>
    <x v="271"/>
    <n v="5505.42"/>
    <n v="3592.62"/>
    <x v="2"/>
    <s v="Cash"/>
    <s v="January"/>
    <n v="2025"/>
  </r>
  <r>
    <s v="ORD100274"/>
    <d v="2026-04-06T00:00:00"/>
    <x v="3"/>
    <s v="Bhubaneswar"/>
    <x v="2"/>
    <x v="1"/>
    <x v="2"/>
    <s v="Folders"/>
    <x v="266"/>
    <n v="9"/>
    <n v="1210.1600000000001"/>
    <n v="10"/>
    <x v="272"/>
    <n v="6135.7"/>
    <n v="3666.6"/>
    <x v="1"/>
    <s v="Card"/>
    <s v="April"/>
    <n v="2026"/>
  </r>
  <r>
    <s v="ORD100275"/>
    <d v="2025-01-26T00:00:00"/>
    <x v="2"/>
    <s v="Chennai"/>
    <x v="2"/>
    <x v="0"/>
    <x v="0"/>
    <s v="Mouse"/>
    <x v="267"/>
    <n v="11"/>
    <n v="2047.56"/>
    <n v="20"/>
    <x v="273"/>
    <n v="10680.47"/>
    <n v="7338.06"/>
    <x v="1"/>
    <s v="Cash"/>
    <s v="January"/>
    <n v="2025"/>
  </r>
  <r>
    <s v="ORD100276"/>
    <d v="2025-08-28T00:00:00"/>
    <x v="3"/>
    <s v="Kolkata"/>
    <x v="7"/>
    <x v="2"/>
    <x v="0"/>
    <s v="Monitor"/>
    <x v="268"/>
    <n v="4"/>
    <n v="2705.1"/>
    <n v="5"/>
    <x v="274"/>
    <n v="7536.1"/>
    <n v="2743.28"/>
    <x v="0"/>
    <s v="Card"/>
    <s v="August"/>
    <n v="2025"/>
  </r>
  <r>
    <s v="ORD100277"/>
    <d v="2025-12-01T00:00:00"/>
    <x v="2"/>
    <s v="Chennai"/>
    <x v="1"/>
    <x v="2"/>
    <x v="1"/>
    <s v="Chair"/>
    <x v="269"/>
    <n v="3"/>
    <n v="1963.72"/>
    <n v="0"/>
    <x v="275"/>
    <n v="4550.1400000000003"/>
    <n v="1341.02"/>
    <x v="2"/>
    <s v="Card"/>
    <s v="December"/>
    <n v="2025"/>
  </r>
  <r>
    <s v="ORD100278"/>
    <d v="2026-06-30T00:00:00"/>
    <x v="2"/>
    <s v="Bengaluru"/>
    <x v="3"/>
    <x v="1"/>
    <x v="1"/>
    <s v="Cabinet"/>
    <x v="270"/>
    <n v="13"/>
    <n v="2166.14"/>
    <n v="5"/>
    <x v="276"/>
    <n v="18442.25"/>
    <n v="8309.58"/>
    <x v="1"/>
    <s v="Net Banking"/>
    <s v="June"/>
    <n v="2026"/>
  </r>
  <r>
    <s v="ORD100279"/>
    <d v="2026-04-13T00:00:00"/>
    <x v="0"/>
    <s v="Ahmedabad"/>
    <x v="0"/>
    <x v="0"/>
    <x v="2"/>
    <s v="Printer Ink"/>
    <x v="271"/>
    <n v="5"/>
    <n v="4066.74"/>
    <n v="0"/>
    <x v="277"/>
    <n v="15723.69"/>
    <n v="4610.01"/>
    <x v="2"/>
    <s v="UPI"/>
    <s v="April"/>
    <n v="2026"/>
  </r>
  <r>
    <s v="ORD100280"/>
    <d v="2026-02-16T00:00:00"/>
    <x v="0"/>
    <s v="Mumbai"/>
    <x v="1"/>
    <x v="0"/>
    <x v="2"/>
    <s v="Notebook"/>
    <x v="3"/>
    <n v="9"/>
    <n v="1380.47"/>
    <n v="20"/>
    <x v="278"/>
    <n v="7189.76"/>
    <n v="2749.62"/>
    <x v="1"/>
    <s v="Net Banking"/>
    <s v="February"/>
    <n v="2026"/>
  </r>
  <r>
    <s v="ORD100281"/>
    <d v="2025-07-25T00:00:00"/>
    <x v="1"/>
    <s v="Chandigarh"/>
    <x v="6"/>
    <x v="2"/>
    <x v="0"/>
    <s v="Laptop"/>
    <x v="272"/>
    <n v="12"/>
    <n v="2666.75"/>
    <n v="0"/>
    <x v="279"/>
    <n v="18304.560000000001"/>
    <n v="13696.44"/>
    <x v="1"/>
    <s v="Card"/>
    <s v="July"/>
    <n v="2025"/>
  </r>
  <r>
    <s v="ORD100282"/>
    <d v="2025-12-01T00:00:00"/>
    <x v="1"/>
    <s v="Delhi"/>
    <x v="6"/>
    <x v="2"/>
    <x v="0"/>
    <s v="Headphones"/>
    <x v="273"/>
    <n v="9"/>
    <n v="966.57"/>
    <n v="20"/>
    <x v="280"/>
    <n v="5404.11"/>
    <n v="1555.19"/>
    <x v="1"/>
    <s v="Net Banking"/>
    <s v="December"/>
    <n v="2025"/>
  </r>
  <r>
    <s v="ORD100283"/>
    <d v="2025-11-19T00:00:00"/>
    <x v="2"/>
    <s v="Bengaluru"/>
    <x v="3"/>
    <x v="2"/>
    <x v="2"/>
    <s v="Paper"/>
    <x v="274"/>
    <n v="3"/>
    <n v="2138.96"/>
    <n v="20"/>
    <x v="281"/>
    <n v="3109.09"/>
    <n v="2024.41"/>
    <x v="2"/>
    <s v="UPI"/>
    <s v="November"/>
    <n v="2025"/>
  </r>
  <r>
    <s v="ORD100284"/>
    <d v="2026-06-05T00:00:00"/>
    <x v="1"/>
    <s v="Delhi"/>
    <x v="3"/>
    <x v="2"/>
    <x v="1"/>
    <s v="Chair"/>
    <x v="275"/>
    <n v="8"/>
    <n v="860.4"/>
    <n v="15"/>
    <x v="282"/>
    <n v="3526.73"/>
    <n v="2323.9899999999998"/>
    <x v="0"/>
    <s v="Cash"/>
    <s v="June"/>
    <n v="2026"/>
  </r>
  <r>
    <s v="ORD100285"/>
    <d v="2025-05-11T00:00:00"/>
    <x v="0"/>
    <s v="Mumbai"/>
    <x v="3"/>
    <x v="1"/>
    <x v="0"/>
    <s v="Mouse"/>
    <x v="276"/>
    <n v="1"/>
    <n v="4070.83"/>
    <n v="20"/>
    <x v="283"/>
    <n v="2384.9699999999998"/>
    <n v="871.69"/>
    <x v="1"/>
    <s v="Net Banking"/>
    <s v="May"/>
    <n v="2025"/>
  </r>
  <r>
    <s v="ORD100286"/>
    <d v="2026-04-09T00:00:00"/>
    <x v="3"/>
    <s v="Kolkata"/>
    <x v="0"/>
    <x v="2"/>
    <x v="2"/>
    <s v="Printer Ink"/>
    <x v="277"/>
    <n v="11"/>
    <n v="1611.85"/>
    <n v="20"/>
    <x v="284"/>
    <n v="10965.29"/>
    <n v="3218.99"/>
    <x v="1"/>
    <s v="Net Banking"/>
    <s v="April"/>
    <n v="2026"/>
  </r>
  <r>
    <s v="ORD100287"/>
    <d v="2025-09-03T00:00:00"/>
    <x v="0"/>
    <s v="Ahmedabad"/>
    <x v="0"/>
    <x v="1"/>
    <x v="1"/>
    <s v="Cabinet"/>
    <x v="278"/>
    <n v="1"/>
    <n v="4154.8"/>
    <n v="15"/>
    <x v="285"/>
    <n v="2295.3200000000002"/>
    <n v="1236.26"/>
    <x v="0"/>
    <s v="Cash"/>
    <s v="September"/>
    <n v="2025"/>
  </r>
  <r>
    <s v="ORD100288"/>
    <d v="2025-06-06T00:00:00"/>
    <x v="3"/>
    <s v="Bhubaneswar"/>
    <x v="7"/>
    <x v="0"/>
    <x v="1"/>
    <s v="Cabinet"/>
    <x v="279"/>
    <n v="9"/>
    <n v="2099.2800000000002"/>
    <n v="15"/>
    <x v="286"/>
    <n v="10992.34"/>
    <n v="5067.1499999999996"/>
    <x v="2"/>
    <s v="Cash"/>
    <s v="June"/>
    <n v="2025"/>
  </r>
  <r>
    <s v="ORD100289"/>
    <d v="2025-05-08T00:00:00"/>
    <x v="1"/>
    <s v="Chandigarh"/>
    <x v="2"/>
    <x v="2"/>
    <x v="2"/>
    <s v="Paper"/>
    <x v="280"/>
    <n v="13"/>
    <n v="1690.61"/>
    <n v="0"/>
    <x v="287"/>
    <n v="13599.48"/>
    <n v="8378.4500000000007"/>
    <x v="0"/>
    <s v="UPI"/>
    <s v="May"/>
    <n v="2025"/>
  </r>
  <r>
    <s v="ORD100290"/>
    <d v="2025-05-02T00:00:00"/>
    <x v="0"/>
    <s v="Ahmedabad"/>
    <x v="4"/>
    <x v="2"/>
    <x v="2"/>
    <s v="Paper"/>
    <x v="259"/>
    <n v="6"/>
    <n v="4684.8900000000003"/>
    <n v="15"/>
    <x v="288"/>
    <n v="16658.330000000002"/>
    <n v="7234.61"/>
    <x v="0"/>
    <s v="Net Banking"/>
    <s v="May"/>
    <n v="2025"/>
  </r>
  <r>
    <s v="ORD100291"/>
    <d v="2025-12-02T00:00:00"/>
    <x v="2"/>
    <s v="Bengaluru"/>
    <x v="7"/>
    <x v="2"/>
    <x v="2"/>
    <s v="Printer Ink"/>
    <x v="281"/>
    <n v="8"/>
    <n v="4070.82"/>
    <n v="15"/>
    <x v="289"/>
    <n v="16628.669999999998"/>
    <n v="11052.91"/>
    <x v="1"/>
    <s v="Card"/>
    <s v="December"/>
    <n v="2025"/>
  </r>
  <r>
    <s v="ORD100292"/>
    <d v="2025-09-25T00:00:00"/>
    <x v="3"/>
    <s v="Kolkata"/>
    <x v="4"/>
    <x v="0"/>
    <x v="0"/>
    <s v="Mouse"/>
    <x v="282"/>
    <n v="14"/>
    <n v="3511"/>
    <n v="5"/>
    <x v="290"/>
    <n v="25742.67"/>
    <n v="20953.63"/>
    <x v="2"/>
    <s v="Card"/>
    <s v="September"/>
    <n v="2025"/>
  </r>
  <r>
    <s v="ORD100293"/>
    <d v="2025-07-10T00:00:00"/>
    <x v="3"/>
    <s v="Kolkata"/>
    <x v="2"/>
    <x v="0"/>
    <x v="1"/>
    <s v="Bookshelf"/>
    <x v="283"/>
    <n v="14"/>
    <n v="3455.07"/>
    <n v="5"/>
    <x v="291"/>
    <n v="31248.44"/>
    <n v="14703.99"/>
    <x v="0"/>
    <s v="Card"/>
    <s v="July"/>
    <n v="2025"/>
  </r>
  <r>
    <s v="ORD100294"/>
    <d v="2026-02-22T00:00:00"/>
    <x v="0"/>
    <s v="Ahmedabad"/>
    <x v="0"/>
    <x v="1"/>
    <x v="2"/>
    <s v="Pens"/>
    <x v="284"/>
    <n v="14"/>
    <n v="979.64"/>
    <n v="0"/>
    <x v="292"/>
    <n v="8854.76"/>
    <n v="4860.2"/>
    <x v="0"/>
    <s v="Cash"/>
    <s v="February"/>
    <n v="2026"/>
  </r>
  <r>
    <s v="ORD100295"/>
    <d v="2025-03-09T00:00:00"/>
    <x v="1"/>
    <s v="Chandigarh"/>
    <x v="6"/>
    <x v="0"/>
    <x v="2"/>
    <s v="Folders"/>
    <x v="285"/>
    <n v="14"/>
    <n v="4285.1499999999996"/>
    <n v="20"/>
    <x v="293"/>
    <n v="31301.13"/>
    <n v="16692.55"/>
    <x v="2"/>
    <s v="Cash"/>
    <s v="March"/>
    <n v="2025"/>
  </r>
  <r>
    <s v="ORD100296"/>
    <d v="2025-07-04T00:00:00"/>
    <x v="0"/>
    <s v="Mumbai"/>
    <x v="7"/>
    <x v="2"/>
    <x v="0"/>
    <s v="Keyboard"/>
    <x v="286"/>
    <n v="2"/>
    <n v="3045.13"/>
    <n v="20"/>
    <x v="294"/>
    <n v="3283.23"/>
    <n v="1588.98"/>
    <x v="2"/>
    <s v="UPI"/>
    <s v="July"/>
    <n v="2025"/>
  </r>
  <r>
    <s v="ORD100297"/>
    <d v="2025-12-07T00:00:00"/>
    <x v="0"/>
    <s v="Ahmedabad"/>
    <x v="1"/>
    <x v="1"/>
    <x v="0"/>
    <s v="Laptop"/>
    <x v="287"/>
    <n v="8"/>
    <n v="1646.49"/>
    <n v="5"/>
    <x v="295"/>
    <n v="7118.17"/>
    <n v="5395.15"/>
    <x v="2"/>
    <s v="Net Banking"/>
    <s v="December"/>
    <n v="2025"/>
  </r>
  <r>
    <s v="ORD100298"/>
    <d v="2026-05-18T00:00:00"/>
    <x v="3"/>
    <s v="Kolkata"/>
    <x v="1"/>
    <x v="2"/>
    <x v="0"/>
    <s v="Headphones"/>
    <x v="288"/>
    <n v="13"/>
    <n v="2509.36"/>
    <n v="5"/>
    <x v="296"/>
    <n v="21844.41"/>
    <n v="9146.19"/>
    <x v="2"/>
    <s v="Net Banking"/>
    <s v="May"/>
    <n v="2026"/>
  </r>
  <r>
    <s v="ORD100299"/>
    <d v="2025-09-17T00:00:00"/>
    <x v="0"/>
    <s v="Mumbai"/>
    <x v="3"/>
    <x v="1"/>
    <x v="1"/>
    <s v="Table"/>
    <x v="289"/>
    <n v="4"/>
    <n v="1123.51"/>
    <n v="5"/>
    <x v="297"/>
    <n v="3042.54"/>
    <n v="1226.8"/>
    <x v="0"/>
    <s v="Net Banking"/>
    <s v="September"/>
    <n v="2025"/>
  </r>
  <r>
    <s v="ORD100300"/>
    <d v="2025-10-18T00:00:00"/>
    <x v="2"/>
    <s v="Bengaluru"/>
    <x v="5"/>
    <x v="2"/>
    <x v="0"/>
    <s v="Mouse"/>
    <x v="290"/>
    <n v="11"/>
    <n v="2489.8000000000002"/>
    <n v="20"/>
    <x v="298"/>
    <n v="16141.62"/>
    <n v="5768.62"/>
    <x v="0"/>
    <s v="Cash"/>
    <s v="October"/>
    <n v="2025"/>
  </r>
  <r>
    <s v="ORD100301"/>
    <d v="2025-06-04T00:00:00"/>
    <x v="2"/>
    <s v="Chennai"/>
    <x v="2"/>
    <x v="2"/>
    <x v="2"/>
    <s v="Folders"/>
    <x v="291"/>
    <n v="3"/>
    <n v="1500.34"/>
    <n v="15"/>
    <x v="299"/>
    <n v="2694.22"/>
    <n v="1131.6500000000001"/>
    <x v="0"/>
    <s v="UPI"/>
    <s v="June"/>
    <n v="2025"/>
  </r>
  <r>
    <s v="ORD100302"/>
    <d v="2025-12-18T00:00:00"/>
    <x v="0"/>
    <s v="Ahmedabad"/>
    <x v="3"/>
    <x v="1"/>
    <x v="2"/>
    <s v="Printer Ink"/>
    <x v="292"/>
    <n v="8"/>
    <n v="2709.67"/>
    <n v="20"/>
    <x v="300"/>
    <n v="9917.4599999999991"/>
    <n v="7424.43"/>
    <x v="0"/>
    <s v="Card"/>
    <s v="December"/>
    <n v="2025"/>
  </r>
  <r>
    <s v="ORD100303"/>
    <d v="2026-03-27T00:00:00"/>
    <x v="3"/>
    <s v="Bhubaneswar"/>
    <x v="4"/>
    <x v="0"/>
    <x v="1"/>
    <s v="Desk"/>
    <x v="293"/>
    <n v="12"/>
    <n v="2637.51"/>
    <n v="10"/>
    <x v="301"/>
    <n v="16751.68"/>
    <n v="11733.43"/>
    <x v="0"/>
    <s v="Card"/>
    <s v="March"/>
    <n v="2026"/>
  </r>
  <r>
    <s v="ORD100304"/>
    <d v="2025-11-04T00:00:00"/>
    <x v="2"/>
    <s v="Chennai"/>
    <x v="5"/>
    <x v="0"/>
    <x v="1"/>
    <s v="Bookshelf"/>
    <x v="294"/>
    <n v="10"/>
    <n v="279.14"/>
    <n v="20"/>
    <x v="302"/>
    <n v="1782.7"/>
    <n v="450.42"/>
    <x v="2"/>
    <s v="UPI"/>
    <s v="November"/>
    <n v="2025"/>
  </r>
  <r>
    <s v="ORD100305"/>
    <d v="2026-05-31T00:00:00"/>
    <x v="1"/>
    <s v="Chandigarh"/>
    <x v="5"/>
    <x v="2"/>
    <x v="0"/>
    <s v="Headphones"/>
    <x v="295"/>
    <n v="4"/>
    <n v="1041.0899999999999"/>
    <n v="15"/>
    <x v="303"/>
    <n v="2563.71"/>
    <n v="976"/>
    <x v="1"/>
    <s v="Card"/>
    <s v="May"/>
    <n v="2026"/>
  </r>
  <r>
    <s v="ORD100306"/>
    <d v="2026-06-05T00:00:00"/>
    <x v="0"/>
    <s v="Ahmedabad"/>
    <x v="2"/>
    <x v="0"/>
    <x v="0"/>
    <s v="Laptop"/>
    <x v="296"/>
    <n v="9"/>
    <n v="1372.24"/>
    <n v="0"/>
    <x v="304"/>
    <n v="9918.41"/>
    <n v="2431.75"/>
    <x v="2"/>
    <s v="UPI"/>
    <s v="June"/>
    <n v="2026"/>
  </r>
  <r>
    <s v="ORD100307"/>
    <d v="2025-10-02T00:00:00"/>
    <x v="3"/>
    <s v="Kolkata"/>
    <x v="6"/>
    <x v="2"/>
    <x v="2"/>
    <s v="Pens"/>
    <x v="297"/>
    <n v="6"/>
    <n v="2199.9299999999998"/>
    <n v="10"/>
    <x v="305"/>
    <n v="9018.18"/>
    <n v="2861.44"/>
    <x v="2"/>
    <s v="Net Banking"/>
    <s v="October"/>
    <n v="2025"/>
  </r>
  <r>
    <s v="ORD100308"/>
    <d v="2025-11-11T00:00:00"/>
    <x v="3"/>
    <s v="Bhubaneswar"/>
    <x v="4"/>
    <x v="1"/>
    <x v="0"/>
    <s v="Mouse"/>
    <x v="298"/>
    <n v="10"/>
    <n v="4422.6499999999996"/>
    <n v="5"/>
    <x v="306"/>
    <n v="33074.94"/>
    <n v="8940.23"/>
    <x v="1"/>
    <s v="Cash"/>
    <s v="November"/>
    <n v="2025"/>
  </r>
  <r>
    <s v="ORD100309"/>
    <d v="2025-09-01T00:00:00"/>
    <x v="1"/>
    <s v="Chandigarh"/>
    <x v="1"/>
    <x v="2"/>
    <x v="1"/>
    <s v="Table"/>
    <x v="299"/>
    <n v="13"/>
    <n v="4845.3900000000003"/>
    <n v="0"/>
    <x v="307"/>
    <n v="49793.14"/>
    <n v="13196.93"/>
    <x v="0"/>
    <s v="Net Banking"/>
    <s v="September"/>
    <n v="2025"/>
  </r>
  <r>
    <s v="ORD100310"/>
    <d v="2025-10-15T00:00:00"/>
    <x v="1"/>
    <s v="Delhi"/>
    <x v="4"/>
    <x v="1"/>
    <x v="2"/>
    <s v="Pens"/>
    <x v="300"/>
    <n v="14"/>
    <n v="2812.72"/>
    <n v="0"/>
    <x v="308"/>
    <n v="24265.18"/>
    <n v="15112.9"/>
    <x v="2"/>
    <s v="UPI"/>
    <s v="October"/>
    <n v="2025"/>
  </r>
  <r>
    <s v="ORD100311"/>
    <d v="2025-06-22T00:00:00"/>
    <x v="3"/>
    <s v="Kolkata"/>
    <x v="7"/>
    <x v="0"/>
    <x v="0"/>
    <s v="Monitor"/>
    <x v="301"/>
    <n v="7"/>
    <n v="4555.4399999999996"/>
    <n v="0"/>
    <x v="309"/>
    <n v="19811.8"/>
    <n v="12076.28"/>
    <x v="2"/>
    <s v="Card"/>
    <s v="June"/>
    <n v="2025"/>
  </r>
  <r>
    <s v="ORD100312"/>
    <d v="2025-01-28T00:00:00"/>
    <x v="2"/>
    <s v="Bengaluru"/>
    <x v="4"/>
    <x v="1"/>
    <x v="0"/>
    <s v="Keyboard"/>
    <x v="302"/>
    <n v="13"/>
    <n v="509.69"/>
    <n v="15"/>
    <x v="310"/>
    <n v="4485.1899999999996"/>
    <n v="1146.8800000000001"/>
    <x v="1"/>
    <s v="UPI"/>
    <s v="January"/>
    <n v="2025"/>
  </r>
  <r>
    <s v="ORD100313"/>
    <d v="2025-05-01T00:00:00"/>
    <x v="3"/>
    <s v="Bhubaneswar"/>
    <x v="0"/>
    <x v="2"/>
    <x v="0"/>
    <s v="Headphones"/>
    <x v="303"/>
    <n v="9"/>
    <n v="2361.2600000000002"/>
    <n v="0"/>
    <x v="311"/>
    <n v="15691.52"/>
    <n v="5559.82"/>
    <x v="2"/>
    <s v="Net Banking"/>
    <s v="May"/>
    <n v="2025"/>
  </r>
  <r>
    <s v="ORD100314"/>
    <d v="2025-04-06T00:00:00"/>
    <x v="2"/>
    <s v="Chennai"/>
    <x v="7"/>
    <x v="1"/>
    <x v="1"/>
    <s v="Desk"/>
    <x v="304"/>
    <n v="1"/>
    <n v="3769.8"/>
    <n v="10"/>
    <x v="312"/>
    <n v="2626.69"/>
    <n v="766.13"/>
    <x v="0"/>
    <s v="Net Banking"/>
    <s v="April"/>
    <n v="2025"/>
  </r>
  <r>
    <s v="ORD100315"/>
    <d v="2025-02-20T00:00:00"/>
    <x v="2"/>
    <s v="Bengaluru"/>
    <x v="5"/>
    <x v="1"/>
    <x v="0"/>
    <s v="Laptop"/>
    <x v="305"/>
    <n v="4"/>
    <n v="1256.76"/>
    <n v="0"/>
    <x v="313"/>
    <n v="3027.3"/>
    <n v="1999.74"/>
    <x v="2"/>
    <s v="Card"/>
    <s v="February"/>
    <n v="2025"/>
  </r>
  <r>
    <s v="ORD100316"/>
    <d v="2025-10-09T00:00:00"/>
    <x v="0"/>
    <s v="Ahmedabad"/>
    <x v="7"/>
    <x v="1"/>
    <x v="0"/>
    <s v="Headphones"/>
    <x v="306"/>
    <n v="5"/>
    <n v="2182.9899999999998"/>
    <n v="0"/>
    <x v="314"/>
    <n v="8297.2000000000007"/>
    <n v="2617.75"/>
    <x v="1"/>
    <s v="Net Banking"/>
    <s v="October"/>
    <n v="2025"/>
  </r>
  <r>
    <s v="ORD100317"/>
    <d v="2025-07-08T00:00:00"/>
    <x v="3"/>
    <s v="Kolkata"/>
    <x v="4"/>
    <x v="1"/>
    <x v="0"/>
    <s v="Headphones"/>
    <x v="307"/>
    <n v="11"/>
    <n v="2256.34"/>
    <n v="0"/>
    <x v="315"/>
    <n v="17937.02"/>
    <n v="6882.72"/>
    <x v="0"/>
    <s v="UPI"/>
    <s v="July"/>
    <n v="2025"/>
  </r>
  <r>
    <s v="ORD100318"/>
    <d v="2025-02-10T00:00:00"/>
    <x v="0"/>
    <s v="Ahmedabad"/>
    <x v="0"/>
    <x v="1"/>
    <x v="1"/>
    <s v="Chair"/>
    <x v="308"/>
    <n v="11"/>
    <n v="2346.25"/>
    <n v="5"/>
    <x v="316"/>
    <n v="18423.62"/>
    <n v="6094.69"/>
    <x v="1"/>
    <s v="UPI"/>
    <s v="February"/>
    <n v="2025"/>
  </r>
  <r>
    <s v="ORD100319"/>
    <d v="2026-04-21T00:00:00"/>
    <x v="3"/>
    <s v="Bhubaneswar"/>
    <x v="7"/>
    <x v="0"/>
    <x v="0"/>
    <s v="Laptop"/>
    <x v="309"/>
    <n v="12"/>
    <n v="4804.6099999999997"/>
    <n v="0"/>
    <x v="317"/>
    <n v="32216.57"/>
    <n v="25438.75"/>
    <x v="0"/>
    <s v="Cash"/>
    <s v="April"/>
    <n v="2026"/>
  </r>
  <r>
    <s v="ORD100320"/>
    <d v="2025-06-10T00:00:00"/>
    <x v="2"/>
    <s v="Chennai"/>
    <x v="6"/>
    <x v="2"/>
    <x v="1"/>
    <s v="Cabinet"/>
    <x v="310"/>
    <n v="4"/>
    <n v="3210.27"/>
    <n v="5"/>
    <x v="318"/>
    <n v="6951.94"/>
    <n v="5247.09"/>
    <x v="1"/>
    <s v="Net Banking"/>
    <s v="June"/>
    <n v="2025"/>
  </r>
  <r>
    <s v="ORD100321"/>
    <d v="2025-10-14T00:00:00"/>
    <x v="2"/>
    <s v="Bengaluru"/>
    <x v="1"/>
    <x v="0"/>
    <x v="1"/>
    <s v="Bookshelf"/>
    <x v="311"/>
    <n v="11"/>
    <n v="1880.55"/>
    <n v="10"/>
    <x v="319"/>
    <n v="10670.32"/>
    <n v="7947.12"/>
    <x v="2"/>
    <s v="Net Banking"/>
    <s v="October"/>
    <n v="2025"/>
  </r>
  <r>
    <s v="ORD100322"/>
    <d v="2025-07-23T00:00:00"/>
    <x v="1"/>
    <s v="Delhi"/>
    <x v="0"/>
    <x v="0"/>
    <x v="0"/>
    <s v="Mouse"/>
    <x v="312"/>
    <n v="8"/>
    <n v="1955.59"/>
    <n v="10"/>
    <x v="320"/>
    <n v="8849.07"/>
    <n v="5231.18"/>
    <x v="0"/>
    <s v="Net Banking"/>
    <s v="July"/>
    <n v="2025"/>
  </r>
  <r>
    <s v="ORD100323"/>
    <d v="2025-05-13T00:00:00"/>
    <x v="1"/>
    <s v="Delhi"/>
    <x v="3"/>
    <x v="2"/>
    <x v="0"/>
    <s v="Headphones"/>
    <x v="313"/>
    <n v="6"/>
    <n v="2200.34"/>
    <n v="10"/>
    <x v="321"/>
    <n v="8493.49"/>
    <n v="3388.35"/>
    <x v="2"/>
    <s v="UPI"/>
    <s v="May"/>
    <n v="2025"/>
  </r>
  <r>
    <s v="ORD100324"/>
    <d v="2026-03-29T00:00:00"/>
    <x v="3"/>
    <s v="Bhubaneswar"/>
    <x v="5"/>
    <x v="1"/>
    <x v="0"/>
    <s v="Keyboard"/>
    <x v="314"/>
    <n v="9"/>
    <n v="506.91"/>
    <n v="5"/>
    <x v="322"/>
    <n v="2561.4699999999998"/>
    <n v="1772.61"/>
    <x v="1"/>
    <s v="Cash"/>
    <s v="March"/>
    <n v="2026"/>
  </r>
  <r>
    <s v="ORD100325"/>
    <d v="2025-09-25T00:00:00"/>
    <x v="3"/>
    <s v="Kolkata"/>
    <x v="7"/>
    <x v="2"/>
    <x v="2"/>
    <s v="Folders"/>
    <x v="315"/>
    <n v="1"/>
    <n v="3341.11"/>
    <n v="10"/>
    <x v="323"/>
    <n v="2026.94"/>
    <n v="980.06"/>
    <x v="2"/>
    <s v="Card"/>
    <s v="September"/>
    <n v="2025"/>
  </r>
  <r>
    <s v="ORD100326"/>
    <d v="2026-02-27T00:00:00"/>
    <x v="0"/>
    <s v="Ahmedabad"/>
    <x v="2"/>
    <x v="1"/>
    <x v="1"/>
    <s v="Chair"/>
    <x v="316"/>
    <n v="7"/>
    <n v="2679.48"/>
    <n v="0"/>
    <x v="324"/>
    <n v="13619.2"/>
    <n v="5137.16"/>
    <x v="2"/>
    <s v="Cash"/>
    <s v="February"/>
    <n v="2026"/>
  </r>
  <r>
    <s v="ORD100327"/>
    <d v="2026-01-14T00:00:00"/>
    <x v="3"/>
    <s v="Bhubaneswar"/>
    <x v="4"/>
    <x v="1"/>
    <x v="0"/>
    <s v="Mouse"/>
    <x v="317"/>
    <n v="13"/>
    <n v="518.65"/>
    <n v="15"/>
    <x v="325"/>
    <n v="3157.28"/>
    <n v="2573.8000000000002"/>
    <x v="0"/>
    <s v="UPI"/>
    <s v="January"/>
    <n v="2026"/>
  </r>
  <r>
    <s v="ORD100328"/>
    <d v="2025-12-03T00:00:00"/>
    <x v="3"/>
    <s v="Bhubaneswar"/>
    <x v="4"/>
    <x v="0"/>
    <x v="2"/>
    <s v="Paper"/>
    <x v="318"/>
    <n v="7"/>
    <n v="3117.32"/>
    <n v="10"/>
    <x v="326"/>
    <n v="11905.04"/>
    <n v="7734.08"/>
    <x v="1"/>
    <s v="Cash"/>
    <s v="December"/>
    <n v="2025"/>
  </r>
  <r>
    <s v="ORD100329"/>
    <d v="2025-09-21T00:00:00"/>
    <x v="0"/>
    <s v="Ahmedabad"/>
    <x v="2"/>
    <x v="2"/>
    <x v="2"/>
    <s v="Printer Ink"/>
    <x v="319"/>
    <n v="13"/>
    <n v="611.36"/>
    <n v="0"/>
    <x v="327"/>
    <n v="4626.54"/>
    <n v="3321.14"/>
    <x v="1"/>
    <s v="UPI"/>
    <s v="September"/>
    <n v="2025"/>
  </r>
  <r>
    <s v="ORD100330"/>
    <d v="2026-01-29T00:00:00"/>
    <x v="1"/>
    <s v="Chandigarh"/>
    <x v="1"/>
    <x v="1"/>
    <x v="1"/>
    <s v="Bookshelf"/>
    <x v="320"/>
    <n v="14"/>
    <n v="2272.67"/>
    <n v="10"/>
    <x v="328"/>
    <n v="21965.42"/>
    <n v="6670.22"/>
    <x v="2"/>
    <s v="Net Banking"/>
    <s v="January"/>
    <n v="2026"/>
  </r>
  <r>
    <s v="ORD100331"/>
    <d v="2026-04-24T00:00:00"/>
    <x v="3"/>
    <s v="Kolkata"/>
    <x v="5"/>
    <x v="1"/>
    <x v="0"/>
    <s v="Laptop"/>
    <x v="321"/>
    <n v="8"/>
    <n v="4497.66"/>
    <n v="0"/>
    <x v="329"/>
    <n v="23262.62"/>
    <n v="12718.66"/>
    <x v="1"/>
    <s v="Net Banking"/>
    <s v="April"/>
    <n v="2026"/>
  </r>
  <r>
    <s v="ORD100332"/>
    <d v="2025-02-23T00:00:00"/>
    <x v="3"/>
    <s v="Kolkata"/>
    <x v="1"/>
    <x v="1"/>
    <x v="0"/>
    <s v="Keyboard"/>
    <x v="322"/>
    <n v="12"/>
    <n v="612.05999999999995"/>
    <n v="10"/>
    <x v="330"/>
    <n v="4170.8"/>
    <n v="2439.4499999999998"/>
    <x v="1"/>
    <s v="Net Banking"/>
    <s v="February"/>
    <n v="2025"/>
  </r>
  <r>
    <s v="ORD100333"/>
    <d v="2025-12-20T00:00:00"/>
    <x v="3"/>
    <s v="Bhubaneswar"/>
    <x v="3"/>
    <x v="0"/>
    <x v="1"/>
    <s v="Chair"/>
    <x v="323"/>
    <n v="5"/>
    <n v="2646.56"/>
    <n v="15"/>
    <x v="331"/>
    <n v="7607.39"/>
    <n v="3640.49"/>
    <x v="2"/>
    <s v="UPI"/>
    <s v="December"/>
    <n v="2025"/>
  </r>
  <r>
    <s v="ORD100334"/>
    <d v="2025-11-02T00:00:00"/>
    <x v="2"/>
    <s v="Chennai"/>
    <x v="7"/>
    <x v="1"/>
    <x v="0"/>
    <s v="Monitor"/>
    <x v="324"/>
    <n v="1"/>
    <n v="827.14"/>
    <n v="15"/>
    <x v="332"/>
    <n v="479.41"/>
    <n v="223.66"/>
    <x v="0"/>
    <s v="Net Banking"/>
    <s v="November"/>
    <n v="2025"/>
  </r>
  <r>
    <s v="ORD100335"/>
    <d v="2025-08-05T00:00:00"/>
    <x v="1"/>
    <s v="Chandigarh"/>
    <x v="6"/>
    <x v="0"/>
    <x v="1"/>
    <s v="Bookshelf"/>
    <x v="325"/>
    <n v="15"/>
    <n v="4997.2700000000004"/>
    <n v="10"/>
    <x v="333"/>
    <n v="51266.77"/>
    <n v="16196.38"/>
    <x v="2"/>
    <s v="Card"/>
    <s v="August"/>
    <n v="2025"/>
  </r>
  <r>
    <s v="ORD100336"/>
    <d v="2026-01-22T00:00:00"/>
    <x v="3"/>
    <s v="Kolkata"/>
    <x v="7"/>
    <x v="1"/>
    <x v="0"/>
    <s v="Headphones"/>
    <x v="326"/>
    <n v="13"/>
    <n v="4534.58"/>
    <n v="20"/>
    <x v="334"/>
    <n v="33910.910000000003"/>
    <n v="13248.72"/>
    <x v="1"/>
    <s v="Cash"/>
    <s v="January"/>
    <n v="2026"/>
  </r>
  <r>
    <s v="ORD100337"/>
    <d v="2025-07-17T00:00:00"/>
    <x v="1"/>
    <s v="Delhi"/>
    <x v="5"/>
    <x v="0"/>
    <x v="1"/>
    <s v="Desk"/>
    <x v="327"/>
    <n v="10"/>
    <n v="2194.5"/>
    <n v="0"/>
    <x v="335"/>
    <n v="12777.58"/>
    <n v="9167.42"/>
    <x v="2"/>
    <s v="Cash"/>
    <s v="July"/>
    <n v="2025"/>
  </r>
  <r>
    <s v="ORD100338"/>
    <d v="2025-07-13T00:00:00"/>
    <x v="0"/>
    <s v="Ahmedabad"/>
    <x v="0"/>
    <x v="2"/>
    <x v="2"/>
    <s v="Folders"/>
    <x v="328"/>
    <n v="7"/>
    <n v="1219.53"/>
    <n v="15"/>
    <x v="336"/>
    <n v="5044.21"/>
    <n v="2211.9899999999998"/>
    <x v="1"/>
    <s v="Card"/>
    <s v="July"/>
    <n v="2025"/>
  </r>
  <r>
    <s v="ORD100339"/>
    <d v="2025-08-30T00:00:00"/>
    <x v="0"/>
    <s v="Ahmedabad"/>
    <x v="5"/>
    <x v="0"/>
    <x v="2"/>
    <s v="Folders"/>
    <x v="329"/>
    <n v="7"/>
    <n v="1694.57"/>
    <n v="20"/>
    <x v="337"/>
    <n v="6953.81"/>
    <n v="2535.7800000000002"/>
    <x v="1"/>
    <s v="Cash"/>
    <s v="August"/>
    <n v="2025"/>
  </r>
  <r>
    <s v="ORD100340"/>
    <d v="2025-02-10T00:00:00"/>
    <x v="1"/>
    <s v="Delhi"/>
    <x v="4"/>
    <x v="0"/>
    <x v="2"/>
    <s v="Paper"/>
    <x v="330"/>
    <n v="1"/>
    <n v="575.41999999999996"/>
    <n v="5"/>
    <x v="338"/>
    <n v="387.81"/>
    <n v="158.84"/>
    <x v="1"/>
    <s v="Card"/>
    <s v="February"/>
    <n v="2025"/>
  </r>
  <r>
    <s v="ORD100341"/>
    <d v="2026-06-08T00:00:00"/>
    <x v="3"/>
    <s v="Kolkata"/>
    <x v="0"/>
    <x v="0"/>
    <x v="2"/>
    <s v="Pens"/>
    <x v="331"/>
    <n v="4"/>
    <n v="4915.4799999999996"/>
    <n v="15"/>
    <x v="339"/>
    <n v="13561.38"/>
    <n v="3151.25"/>
    <x v="1"/>
    <s v="Cash"/>
    <s v="June"/>
    <n v="2026"/>
  </r>
  <r>
    <s v="ORD100342"/>
    <d v="2025-05-01T00:00:00"/>
    <x v="1"/>
    <s v="Delhi"/>
    <x v="3"/>
    <x v="2"/>
    <x v="2"/>
    <s v="Paper"/>
    <x v="274"/>
    <n v="14"/>
    <n v="2559.54"/>
    <n v="15"/>
    <x v="340"/>
    <n v="20511.14"/>
    <n v="9947.39"/>
    <x v="2"/>
    <s v="Cash"/>
    <s v="May"/>
    <n v="2025"/>
  </r>
  <r>
    <s v="ORD100343"/>
    <d v="2025-12-29T00:00:00"/>
    <x v="0"/>
    <s v="Ahmedabad"/>
    <x v="1"/>
    <x v="2"/>
    <x v="1"/>
    <s v="Table"/>
    <x v="332"/>
    <n v="6"/>
    <n v="407.97"/>
    <n v="15"/>
    <x v="341"/>
    <n v="1487.75"/>
    <n v="592.9"/>
    <x v="0"/>
    <s v="Card"/>
    <s v="December"/>
    <n v="2025"/>
  </r>
  <r>
    <s v="ORD100344"/>
    <d v="2025-06-06T00:00:00"/>
    <x v="3"/>
    <s v="Kolkata"/>
    <x v="7"/>
    <x v="2"/>
    <x v="1"/>
    <s v="Bookshelf"/>
    <x v="333"/>
    <n v="2"/>
    <n v="2319.0100000000002"/>
    <n v="0"/>
    <x v="342"/>
    <n v="2648.51"/>
    <n v="1989.51"/>
    <x v="1"/>
    <s v="UPI"/>
    <s v="June"/>
    <n v="2025"/>
  </r>
  <r>
    <s v="ORD100345"/>
    <d v="2026-03-25T00:00:00"/>
    <x v="1"/>
    <s v="Chandigarh"/>
    <x v="5"/>
    <x v="2"/>
    <x v="2"/>
    <s v="Notebook"/>
    <x v="334"/>
    <n v="7"/>
    <n v="569.70000000000005"/>
    <n v="0"/>
    <x v="343"/>
    <n v="3146.55"/>
    <n v="841.35"/>
    <x v="2"/>
    <s v="UPI"/>
    <s v="March"/>
    <n v="2026"/>
  </r>
  <r>
    <s v="ORD100346"/>
    <d v="2026-04-20T00:00:00"/>
    <x v="0"/>
    <s v="Ahmedabad"/>
    <x v="6"/>
    <x v="0"/>
    <x v="1"/>
    <s v="Cabinet"/>
    <x v="335"/>
    <n v="5"/>
    <n v="4426.95"/>
    <n v="5"/>
    <x v="344"/>
    <n v="11803.57"/>
    <n v="9224.44"/>
    <x v="2"/>
    <s v="Card"/>
    <s v="April"/>
    <n v="2026"/>
  </r>
  <r>
    <s v="ORD100347"/>
    <d v="2025-03-15T00:00:00"/>
    <x v="2"/>
    <s v="Bengaluru"/>
    <x v="3"/>
    <x v="0"/>
    <x v="0"/>
    <s v="Keyboard"/>
    <x v="336"/>
    <n v="12"/>
    <n v="1203.9000000000001"/>
    <n v="20"/>
    <x v="345"/>
    <n v="9219.68"/>
    <n v="2337.7600000000002"/>
    <x v="1"/>
    <s v="Net Banking"/>
    <s v="March"/>
    <n v="2025"/>
  </r>
  <r>
    <s v="ORD100348"/>
    <d v="2025-04-25T00:00:00"/>
    <x v="0"/>
    <s v="Mumbai"/>
    <x v="7"/>
    <x v="2"/>
    <x v="2"/>
    <s v="Paper"/>
    <x v="337"/>
    <n v="14"/>
    <n v="3765.9"/>
    <n v="5"/>
    <x v="346"/>
    <n v="28143.67"/>
    <n v="21942.799999999999"/>
    <x v="0"/>
    <s v="Cash"/>
    <s v="April"/>
    <n v="2025"/>
  </r>
  <r>
    <s v="ORD100349"/>
    <d v="2025-08-13T00:00:00"/>
    <x v="0"/>
    <s v="Ahmedabad"/>
    <x v="6"/>
    <x v="1"/>
    <x v="1"/>
    <s v="Chair"/>
    <x v="338"/>
    <n v="14"/>
    <n v="375.28"/>
    <n v="5"/>
    <x v="347"/>
    <n v="2833.7"/>
    <n v="2157.52"/>
    <x v="1"/>
    <s v="UPI"/>
    <s v="August"/>
    <n v="2025"/>
  </r>
  <r>
    <s v="ORD100350"/>
    <d v="2026-01-11T00:00:00"/>
    <x v="1"/>
    <s v="Delhi"/>
    <x v="2"/>
    <x v="2"/>
    <x v="1"/>
    <s v="Chair"/>
    <x v="339"/>
    <n v="14"/>
    <n v="1785.81"/>
    <n v="20"/>
    <x v="348"/>
    <n v="15308.16"/>
    <n v="4692.91"/>
    <x v="2"/>
    <s v="UPI"/>
    <s v="January"/>
    <n v="2026"/>
  </r>
  <r>
    <s v="ORD100351"/>
    <d v="2025-04-21T00:00:00"/>
    <x v="3"/>
    <s v="Bhubaneswar"/>
    <x v="0"/>
    <x v="1"/>
    <x v="2"/>
    <s v="Pens"/>
    <x v="340"/>
    <n v="6"/>
    <n v="3670.7"/>
    <n v="0"/>
    <x v="349"/>
    <n v="14810.3"/>
    <n v="7213.9"/>
    <x v="2"/>
    <s v="Net Banking"/>
    <s v="April"/>
    <n v="2025"/>
  </r>
  <r>
    <s v="ORD100352"/>
    <d v="2025-12-04T00:00:00"/>
    <x v="2"/>
    <s v="Bengaluru"/>
    <x v="0"/>
    <x v="1"/>
    <x v="1"/>
    <s v="Chair"/>
    <x v="341"/>
    <n v="12"/>
    <n v="2300.5300000000002"/>
    <n v="15"/>
    <x v="350"/>
    <n v="19137.830000000002"/>
    <n v="4327.58"/>
    <x v="0"/>
    <s v="Card"/>
    <s v="December"/>
    <n v="2025"/>
  </r>
  <r>
    <s v="ORD100353"/>
    <d v="2026-06-11T00:00:00"/>
    <x v="1"/>
    <s v="Chandigarh"/>
    <x v="2"/>
    <x v="2"/>
    <x v="0"/>
    <s v="Laptop"/>
    <x v="342"/>
    <n v="5"/>
    <n v="1285.94"/>
    <n v="0"/>
    <x v="351"/>
    <n v="5090.03"/>
    <n v="1339.67"/>
    <x v="2"/>
    <s v="Card"/>
    <s v="June"/>
    <n v="2026"/>
  </r>
  <r>
    <s v="ORD100354"/>
    <d v="2025-06-12T00:00:00"/>
    <x v="1"/>
    <s v="Delhi"/>
    <x v="5"/>
    <x v="1"/>
    <x v="2"/>
    <s v="Folders"/>
    <x v="343"/>
    <n v="6"/>
    <n v="4994.17"/>
    <n v="20"/>
    <x v="352"/>
    <n v="14285.82"/>
    <n v="9686.2000000000007"/>
    <x v="2"/>
    <s v="Card"/>
    <s v="June"/>
    <n v="2025"/>
  </r>
  <r>
    <s v="ORD100355"/>
    <d v="2025-06-17T00:00:00"/>
    <x v="0"/>
    <s v="Mumbai"/>
    <x v="5"/>
    <x v="1"/>
    <x v="2"/>
    <s v="Pens"/>
    <x v="344"/>
    <n v="8"/>
    <n v="2759.74"/>
    <n v="15"/>
    <x v="353"/>
    <n v="12001.78"/>
    <n v="6764.45"/>
    <x v="2"/>
    <s v="Card"/>
    <s v="June"/>
    <n v="2025"/>
  </r>
  <r>
    <s v="ORD100356"/>
    <d v="2026-05-26T00:00:00"/>
    <x v="2"/>
    <s v="Bengaluru"/>
    <x v="4"/>
    <x v="0"/>
    <x v="2"/>
    <s v="Notebook"/>
    <x v="252"/>
    <n v="14"/>
    <n v="1235.6199999999999"/>
    <n v="15"/>
    <x v="354"/>
    <n v="10295.07"/>
    <n v="4408.8100000000004"/>
    <x v="1"/>
    <s v="Net Banking"/>
    <s v="May"/>
    <n v="2026"/>
  </r>
  <r>
    <s v="ORD100357"/>
    <d v="2025-05-26T00:00:00"/>
    <x v="1"/>
    <s v="Delhi"/>
    <x v="0"/>
    <x v="1"/>
    <x v="0"/>
    <s v="Headphones"/>
    <x v="345"/>
    <n v="2"/>
    <n v="2239.69"/>
    <n v="20"/>
    <x v="355"/>
    <n v="2385.41"/>
    <n v="1198.0899999999999"/>
    <x v="1"/>
    <s v="Net Banking"/>
    <s v="May"/>
    <n v="2025"/>
  </r>
  <r>
    <s v="ORD100358"/>
    <d v="2026-06-07T00:00:00"/>
    <x v="3"/>
    <s v="Kolkata"/>
    <x v="4"/>
    <x v="2"/>
    <x v="0"/>
    <s v="Monitor"/>
    <x v="346"/>
    <n v="5"/>
    <n v="3166.42"/>
    <n v="5"/>
    <x v="356"/>
    <n v="11828.02"/>
    <n v="3212.47"/>
    <x v="2"/>
    <s v="Net Banking"/>
    <s v="June"/>
    <n v="2026"/>
  </r>
  <r>
    <s v="ORD100359"/>
    <d v="2025-02-12T00:00:00"/>
    <x v="3"/>
    <s v="Kolkata"/>
    <x v="5"/>
    <x v="2"/>
    <x v="1"/>
    <s v="Cabinet"/>
    <x v="347"/>
    <n v="9"/>
    <n v="4916.95"/>
    <n v="0"/>
    <x v="357"/>
    <n v="27298.65"/>
    <n v="16953.900000000001"/>
    <x v="2"/>
    <s v="Cash"/>
    <s v="February"/>
    <n v="2025"/>
  </r>
  <r>
    <s v="ORD100360"/>
    <d v="2025-11-18T00:00:00"/>
    <x v="0"/>
    <s v="Ahmedabad"/>
    <x v="6"/>
    <x v="0"/>
    <x v="0"/>
    <s v="Laptop"/>
    <x v="348"/>
    <n v="9"/>
    <n v="3353.07"/>
    <n v="20"/>
    <x v="358"/>
    <n v="15346.76"/>
    <n v="8795.34"/>
    <x v="1"/>
    <s v="Cash"/>
    <s v="November"/>
    <n v="2025"/>
  </r>
  <r>
    <s v="ORD100361"/>
    <d v="2026-04-29T00:00:00"/>
    <x v="2"/>
    <s v="Chennai"/>
    <x v="5"/>
    <x v="2"/>
    <x v="2"/>
    <s v="Folders"/>
    <x v="349"/>
    <n v="8"/>
    <n v="4692.12"/>
    <n v="20"/>
    <x v="359"/>
    <n v="20012.03"/>
    <n v="10017.540000000001"/>
    <x v="2"/>
    <s v="Cash"/>
    <s v="April"/>
    <n v="2026"/>
  </r>
  <r>
    <s v="ORD100362"/>
    <d v="2025-02-04T00:00:00"/>
    <x v="2"/>
    <s v="Bengaluru"/>
    <x v="4"/>
    <x v="0"/>
    <x v="2"/>
    <s v="Paper"/>
    <x v="350"/>
    <n v="10"/>
    <n v="215.41"/>
    <n v="0"/>
    <x v="360"/>
    <n v="1555.47"/>
    <n v="598.63"/>
    <x v="2"/>
    <s v="UPI"/>
    <s v="February"/>
    <n v="2025"/>
  </r>
  <r>
    <s v="ORD100363"/>
    <d v="2026-06-22T00:00:00"/>
    <x v="1"/>
    <s v="Delhi"/>
    <x v="2"/>
    <x v="1"/>
    <x v="1"/>
    <s v="Desk"/>
    <x v="351"/>
    <n v="7"/>
    <n v="778.55"/>
    <n v="20"/>
    <x v="361"/>
    <n v="3525.9"/>
    <n v="833.98"/>
    <x v="0"/>
    <s v="Card"/>
    <s v="June"/>
    <n v="2026"/>
  </r>
  <r>
    <s v="ORD100364"/>
    <d v="2025-07-26T00:00:00"/>
    <x v="0"/>
    <s v="Ahmedabad"/>
    <x v="3"/>
    <x v="0"/>
    <x v="0"/>
    <s v="Monitor"/>
    <x v="352"/>
    <n v="15"/>
    <n v="1125.8599999999999"/>
    <n v="0"/>
    <x v="362"/>
    <n v="12500.67"/>
    <n v="4387.2299999999996"/>
    <x v="0"/>
    <s v="UPI"/>
    <s v="July"/>
    <n v="2025"/>
  </r>
  <r>
    <s v="ORD100365"/>
    <d v="2025-03-25T00:00:00"/>
    <x v="0"/>
    <s v="Mumbai"/>
    <x v="1"/>
    <x v="2"/>
    <x v="2"/>
    <s v="Folders"/>
    <x v="353"/>
    <n v="4"/>
    <n v="3471.62"/>
    <n v="15"/>
    <x v="363"/>
    <n v="6711.23"/>
    <n v="5092.28"/>
    <x v="0"/>
    <s v="Cash"/>
    <s v="March"/>
    <n v="2025"/>
  </r>
  <r>
    <s v="ORD100366"/>
    <d v="2025-09-20T00:00:00"/>
    <x v="3"/>
    <s v="Bhubaneswar"/>
    <x v="6"/>
    <x v="0"/>
    <x v="1"/>
    <s v="Table"/>
    <x v="354"/>
    <n v="7"/>
    <n v="720.6"/>
    <n v="0"/>
    <x v="364"/>
    <n v="3787.77"/>
    <n v="1256.43"/>
    <x v="0"/>
    <s v="Card"/>
    <s v="September"/>
    <n v="2025"/>
  </r>
  <r>
    <s v="ORD100367"/>
    <d v="2026-04-14T00:00:00"/>
    <x v="0"/>
    <s v="Ahmedabad"/>
    <x v="7"/>
    <x v="2"/>
    <x v="0"/>
    <s v="Mouse"/>
    <x v="355"/>
    <n v="10"/>
    <n v="1092.51"/>
    <n v="10"/>
    <x v="365"/>
    <n v="5972.36"/>
    <n v="3860.23"/>
    <x v="0"/>
    <s v="Cash"/>
    <s v="April"/>
    <n v="2026"/>
  </r>
  <r>
    <s v="ORD100368"/>
    <d v="2025-11-22T00:00:00"/>
    <x v="2"/>
    <s v="Chennai"/>
    <x v="5"/>
    <x v="0"/>
    <x v="2"/>
    <s v="Pens"/>
    <x v="356"/>
    <n v="14"/>
    <n v="657.54"/>
    <n v="10"/>
    <x v="366"/>
    <n v="6546.2"/>
    <n v="1738.8"/>
    <x v="0"/>
    <s v="Net Banking"/>
    <s v="November"/>
    <n v="2025"/>
  </r>
  <r>
    <s v="ORD100369"/>
    <d v="2026-01-28T00:00:00"/>
    <x v="0"/>
    <s v="Mumbai"/>
    <x v="7"/>
    <x v="2"/>
    <x v="0"/>
    <s v="Mouse"/>
    <x v="357"/>
    <n v="4"/>
    <n v="4722.33"/>
    <n v="5"/>
    <x v="367"/>
    <n v="12271.25"/>
    <n v="5673.6"/>
    <x v="0"/>
    <s v="Net Banking"/>
    <s v="January"/>
    <n v="2026"/>
  </r>
  <r>
    <s v="ORD100370"/>
    <d v="2025-08-28T00:00:00"/>
    <x v="0"/>
    <s v="Ahmedabad"/>
    <x v="7"/>
    <x v="2"/>
    <x v="1"/>
    <s v="Table"/>
    <x v="358"/>
    <n v="4"/>
    <n v="431.22"/>
    <n v="0"/>
    <x v="368"/>
    <n v="1155.9000000000001"/>
    <n v="568.98"/>
    <x v="2"/>
    <s v="UPI"/>
    <s v="August"/>
    <n v="2025"/>
  </r>
  <r>
    <s v="ORD100371"/>
    <d v="2025-04-04T00:00:00"/>
    <x v="0"/>
    <s v="Ahmedabad"/>
    <x v="4"/>
    <x v="2"/>
    <x v="1"/>
    <s v="Bookshelf"/>
    <x v="359"/>
    <n v="7"/>
    <n v="2326.0100000000002"/>
    <n v="0"/>
    <x v="369"/>
    <n v="9093.64"/>
    <n v="7188.43"/>
    <x v="1"/>
    <s v="Cash"/>
    <s v="April"/>
    <n v="2025"/>
  </r>
  <r>
    <s v="ORD100372"/>
    <d v="2025-10-10T00:00:00"/>
    <x v="2"/>
    <s v="Bengaluru"/>
    <x v="0"/>
    <x v="2"/>
    <x v="0"/>
    <s v="Mouse"/>
    <x v="360"/>
    <n v="8"/>
    <n v="4879.8"/>
    <n v="10"/>
    <x v="370"/>
    <n v="25601.9"/>
    <n v="9532.66"/>
    <x v="0"/>
    <s v="Net Banking"/>
    <s v="October"/>
    <n v="2025"/>
  </r>
  <r>
    <s v="ORD100373"/>
    <d v="2025-09-15T00:00:00"/>
    <x v="0"/>
    <s v="Ahmedabad"/>
    <x v="0"/>
    <x v="2"/>
    <x v="1"/>
    <s v="Cabinet"/>
    <x v="361"/>
    <n v="15"/>
    <n v="3689.27"/>
    <n v="15"/>
    <x v="371"/>
    <n v="36529.949999999997"/>
    <n v="10508.24"/>
    <x v="0"/>
    <s v="UPI"/>
    <s v="September"/>
    <n v="2025"/>
  </r>
  <r>
    <s v="ORD100374"/>
    <d v="2026-03-19T00:00:00"/>
    <x v="3"/>
    <s v="Bhubaneswar"/>
    <x v="5"/>
    <x v="0"/>
    <x v="2"/>
    <s v="Pens"/>
    <x v="362"/>
    <n v="3"/>
    <n v="2309"/>
    <n v="20"/>
    <x v="372"/>
    <n v="3483.31"/>
    <n v="2058.29"/>
    <x v="1"/>
    <s v="Net Banking"/>
    <s v="March"/>
    <n v="2026"/>
  </r>
  <r>
    <s v="ORD100375"/>
    <d v="2025-05-09T00:00:00"/>
    <x v="2"/>
    <s v="Bengaluru"/>
    <x v="5"/>
    <x v="1"/>
    <x v="2"/>
    <s v="Pens"/>
    <x v="363"/>
    <n v="10"/>
    <n v="1136.46"/>
    <n v="5"/>
    <x v="373"/>
    <n v="7824.12"/>
    <n v="2972.25"/>
    <x v="1"/>
    <s v="Card"/>
    <s v="May"/>
    <n v="2025"/>
  </r>
  <r>
    <s v="ORD100376"/>
    <d v="2025-07-25T00:00:00"/>
    <x v="0"/>
    <s v="Ahmedabad"/>
    <x v="6"/>
    <x v="2"/>
    <x v="0"/>
    <s v="Laptop"/>
    <x v="364"/>
    <n v="2"/>
    <n v="3607.74"/>
    <n v="10"/>
    <x v="374"/>
    <n v="3578.52"/>
    <n v="2915.41"/>
    <x v="2"/>
    <s v="Card"/>
    <s v="July"/>
    <n v="2025"/>
  </r>
  <r>
    <s v="ORD100377"/>
    <d v="2026-05-23T00:00:00"/>
    <x v="2"/>
    <s v="Chennai"/>
    <x v="0"/>
    <x v="0"/>
    <x v="0"/>
    <s v="Keyboard"/>
    <x v="365"/>
    <n v="2"/>
    <n v="4974.8999999999996"/>
    <n v="20"/>
    <x v="375"/>
    <n v="4793.91"/>
    <n v="3165.93"/>
    <x v="2"/>
    <s v="Net Banking"/>
    <s v="May"/>
    <n v="2026"/>
  </r>
  <r>
    <s v="ORD100378"/>
    <d v="2025-03-11T00:00:00"/>
    <x v="1"/>
    <s v="Delhi"/>
    <x v="6"/>
    <x v="1"/>
    <x v="1"/>
    <s v="Chair"/>
    <x v="366"/>
    <n v="9"/>
    <n v="1955.64"/>
    <n v="0"/>
    <x v="376"/>
    <n v="10562.48"/>
    <n v="7038.28"/>
    <x v="0"/>
    <s v="UPI"/>
    <s v="March"/>
    <n v="2025"/>
  </r>
  <r>
    <s v="ORD100379"/>
    <d v="2025-10-19T00:00:00"/>
    <x v="1"/>
    <s v="Chandigarh"/>
    <x v="7"/>
    <x v="2"/>
    <x v="1"/>
    <s v="Chair"/>
    <x v="367"/>
    <n v="15"/>
    <n v="2507.81"/>
    <n v="20"/>
    <x v="377"/>
    <n v="22004.66"/>
    <n v="8089.06"/>
    <x v="2"/>
    <s v="Cash"/>
    <s v="October"/>
    <n v="2025"/>
  </r>
  <r>
    <s v="ORD100380"/>
    <d v="2025-06-29T00:00:00"/>
    <x v="3"/>
    <s v="Bhubaneswar"/>
    <x v="2"/>
    <x v="2"/>
    <x v="2"/>
    <s v="Notebook"/>
    <x v="368"/>
    <n v="7"/>
    <n v="3040.12"/>
    <n v="20"/>
    <x v="378"/>
    <n v="11060.35"/>
    <n v="5964.32"/>
    <x v="1"/>
    <s v="Cash"/>
    <s v="June"/>
    <n v="2025"/>
  </r>
  <r>
    <s v="ORD100381"/>
    <d v="2025-03-04T00:00:00"/>
    <x v="3"/>
    <s v="Bhubaneswar"/>
    <x v="0"/>
    <x v="0"/>
    <x v="1"/>
    <s v="Cabinet"/>
    <x v="369"/>
    <n v="13"/>
    <n v="4249.09"/>
    <n v="15"/>
    <x v="379"/>
    <n v="34741.56"/>
    <n v="12210.88"/>
    <x v="0"/>
    <s v="UPI"/>
    <s v="March"/>
    <n v="2025"/>
  </r>
  <r>
    <s v="ORD100382"/>
    <d v="2025-10-12T00:00:00"/>
    <x v="3"/>
    <s v="Kolkata"/>
    <x v="2"/>
    <x v="2"/>
    <x v="0"/>
    <s v="Mouse"/>
    <x v="370"/>
    <n v="15"/>
    <n v="2662.86"/>
    <n v="10"/>
    <x v="380"/>
    <n v="23584"/>
    <n v="12364.61"/>
    <x v="2"/>
    <s v="Cash"/>
    <s v="October"/>
    <n v="2025"/>
  </r>
  <r>
    <s v="ORD100383"/>
    <d v="2025-09-12T00:00:00"/>
    <x v="0"/>
    <s v="Mumbai"/>
    <x v="6"/>
    <x v="2"/>
    <x v="1"/>
    <s v="Chair"/>
    <x v="371"/>
    <n v="4"/>
    <n v="855.89"/>
    <n v="0"/>
    <x v="381"/>
    <n v="2728.03"/>
    <n v="695.53"/>
    <x v="2"/>
    <s v="Net Banking"/>
    <s v="September"/>
    <n v="2025"/>
  </r>
  <r>
    <s v="ORD100384"/>
    <d v="2025-04-24T00:00:00"/>
    <x v="2"/>
    <s v="Bengaluru"/>
    <x v="5"/>
    <x v="2"/>
    <x v="0"/>
    <s v="Mouse"/>
    <x v="372"/>
    <n v="13"/>
    <n v="814.67"/>
    <n v="5"/>
    <x v="382"/>
    <n v="6852.45"/>
    <n v="3208.72"/>
    <x v="2"/>
    <s v="Cash"/>
    <s v="April"/>
    <n v="2025"/>
  </r>
  <r>
    <s v="ORD100385"/>
    <d v="2025-01-09T00:00:00"/>
    <x v="3"/>
    <s v="Kolkata"/>
    <x v="0"/>
    <x v="0"/>
    <x v="2"/>
    <s v="Paper"/>
    <x v="92"/>
    <n v="1"/>
    <n v="2488.16"/>
    <n v="0"/>
    <x v="383"/>
    <n v="1979.68"/>
    <n v="508.48"/>
    <x v="1"/>
    <s v="Net Banking"/>
    <s v="January"/>
    <n v="2025"/>
  </r>
  <r>
    <s v="ORD100386"/>
    <d v="2025-05-16T00:00:00"/>
    <x v="1"/>
    <s v="Delhi"/>
    <x v="5"/>
    <x v="1"/>
    <x v="2"/>
    <s v="Paper"/>
    <x v="373"/>
    <n v="1"/>
    <n v="868.08"/>
    <n v="0"/>
    <x v="384"/>
    <n v="692.17"/>
    <n v="175.91"/>
    <x v="0"/>
    <s v="Net Banking"/>
    <s v="May"/>
    <n v="2025"/>
  </r>
  <r>
    <s v="ORD100387"/>
    <d v="2025-01-29T00:00:00"/>
    <x v="2"/>
    <s v="Chennai"/>
    <x v="4"/>
    <x v="2"/>
    <x v="1"/>
    <s v="Table"/>
    <x v="374"/>
    <n v="9"/>
    <n v="3647.25"/>
    <n v="15"/>
    <x v="385"/>
    <n v="21061.03"/>
    <n v="6840.43"/>
    <x v="2"/>
    <s v="Card"/>
    <s v="January"/>
    <n v="2025"/>
  </r>
  <r>
    <s v="ORD100388"/>
    <d v="2025-07-04T00:00:00"/>
    <x v="2"/>
    <s v="Chennai"/>
    <x v="5"/>
    <x v="0"/>
    <x v="2"/>
    <s v="Notebook"/>
    <x v="375"/>
    <n v="5"/>
    <n v="4930.74"/>
    <n v="20"/>
    <x v="386"/>
    <n v="11231.15"/>
    <n v="8491.81"/>
    <x v="0"/>
    <s v="Net Banking"/>
    <s v="July"/>
    <n v="2025"/>
  </r>
  <r>
    <s v="ORD100389"/>
    <d v="2025-10-20T00:00:00"/>
    <x v="1"/>
    <s v="Delhi"/>
    <x v="5"/>
    <x v="1"/>
    <x v="2"/>
    <s v="Notebook"/>
    <x v="376"/>
    <n v="14"/>
    <n v="1003.42"/>
    <n v="0"/>
    <x v="387"/>
    <n v="11446.16"/>
    <n v="2601.7199999999998"/>
    <x v="2"/>
    <s v="Card"/>
    <s v="October"/>
    <n v="2025"/>
  </r>
  <r>
    <s v="ORD100390"/>
    <d v="2025-10-15T00:00:00"/>
    <x v="1"/>
    <s v="Delhi"/>
    <x v="4"/>
    <x v="2"/>
    <x v="2"/>
    <s v="Pens"/>
    <x v="377"/>
    <n v="3"/>
    <n v="4151.28"/>
    <n v="5"/>
    <x v="388"/>
    <n v="7099"/>
    <n v="4732.1499999999996"/>
    <x v="0"/>
    <s v="Card"/>
    <s v="October"/>
    <n v="2025"/>
  </r>
  <r>
    <s v="ORD100391"/>
    <d v="2026-04-23T00:00:00"/>
    <x v="2"/>
    <s v="Chennai"/>
    <x v="5"/>
    <x v="0"/>
    <x v="2"/>
    <s v="Notebook"/>
    <x v="378"/>
    <n v="2"/>
    <n v="1462.65"/>
    <n v="5"/>
    <x v="389"/>
    <n v="2139.38"/>
    <n v="639.65"/>
    <x v="0"/>
    <s v="Card"/>
    <s v="April"/>
    <n v="2026"/>
  </r>
  <r>
    <s v="ORD100392"/>
    <d v="2025-07-14T00:00:00"/>
    <x v="3"/>
    <s v="Bhubaneswar"/>
    <x v="2"/>
    <x v="2"/>
    <x v="2"/>
    <s v="Paper"/>
    <x v="379"/>
    <n v="9"/>
    <n v="235.1"/>
    <n v="10"/>
    <x v="390"/>
    <n v="1253.94"/>
    <n v="650.37"/>
    <x v="0"/>
    <s v="Card"/>
    <s v="July"/>
    <n v="2025"/>
  </r>
  <r>
    <s v="ORD100393"/>
    <d v="2026-01-28T00:00:00"/>
    <x v="0"/>
    <s v="Mumbai"/>
    <x v="4"/>
    <x v="0"/>
    <x v="1"/>
    <s v="Chair"/>
    <x v="380"/>
    <n v="6"/>
    <n v="975.63"/>
    <n v="20"/>
    <x v="391"/>
    <n v="2610.19"/>
    <n v="2072.83"/>
    <x v="0"/>
    <s v="Net Banking"/>
    <s v="January"/>
    <n v="2026"/>
  </r>
  <r>
    <s v="ORD100394"/>
    <d v="2025-05-21T00:00:00"/>
    <x v="2"/>
    <s v="Chennai"/>
    <x v="5"/>
    <x v="0"/>
    <x v="1"/>
    <s v="Table"/>
    <x v="381"/>
    <n v="12"/>
    <n v="4131.1000000000004"/>
    <n v="20"/>
    <x v="392"/>
    <n v="23221.599999999999"/>
    <n v="16436.96"/>
    <x v="2"/>
    <s v="Cash"/>
    <s v="May"/>
    <n v="2025"/>
  </r>
  <r>
    <s v="ORD100395"/>
    <d v="2026-06-17T00:00:00"/>
    <x v="0"/>
    <s v="Mumbai"/>
    <x v="1"/>
    <x v="2"/>
    <x v="2"/>
    <s v="Paper"/>
    <x v="382"/>
    <n v="12"/>
    <n v="2205.58"/>
    <n v="20"/>
    <x v="393"/>
    <n v="13734.98"/>
    <n v="7438.59"/>
    <x v="0"/>
    <s v="UPI"/>
    <s v="June"/>
    <n v="2026"/>
  </r>
  <r>
    <s v="ORD100396"/>
    <d v="2025-05-12T00:00:00"/>
    <x v="0"/>
    <s v="Mumbai"/>
    <x v="0"/>
    <x v="0"/>
    <x v="0"/>
    <s v="Monitor"/>
    <x v="383"/>
    <n v="13"/>
    <n v="2252.58"/>
    <n v="10"/>
    <x v="394"/>
    <n v="19861.55"/>
    <n v="6493.64"/>
    <x v="0"/>
    <s v="Card"/>
    <s v="May"/>
    <n v="2025"/>
  </r>
  <r>
    <s v="ORD100397"/>
    <d v="2025-07-12T00:00:00"/>
    <x v="2"/>
    <s v="Chennai"/>
    <x v="4"/>
    <x v="1"/>
    <x v="1"/>
    <s v="Bookshelf"/>
    <x v="384"/>
    <n v="14"/>
    <n v="4481.07"/>
    <n v="20"/>
    <x v="395"/>
    <n v="30257.57"/>
    <n v="19930.41"/>
    <x v="2"/>
    <s v="Net Banking"/>
    <s v="July"/>
    <n v="2025"/>
  </r>
  <r>
    <s v="ORD100398"/>
    <d v="2025-03-05T00:00:00"/>
    <x v="1"/>
    <s v="Chandigarh"/>
    <x v="0"/>
    <x v="2"/>
    <x v="2"/>
    <s v="Notebook"/>
    <x v="385"/>
    <n v="11"/>
    <n v="3378.14"/>
    <n v="0"/>
    <x v="396"/>
    <n v="28208.43"/>
    <n v="8951.11"/>
    <x v="0"/>
    <s v="UPI"/>
    <s v="March"/>
    <n v="2025"/>
  </r>
  <r>
    <s v="ORD100399"/>
    <d v="2025-08-06T00:00:00"/>
    <x v="0"/>
    <s v="Ahmedabad"/>
    <x v="1"/>
    <x v="1"/>
    <x v="0"/>
    <s v="Laptop"/>
    <x v="386"/>
    <n v="5"/>
    <n v="2809.5"/>
    <n v="20"/>
    <x v="397"/>
    <n v="7906.12"/>
    <n v="3331.88"/>
    <x v="1"/>
    <s v="Net Banking"/>
    <s v="August"/>
    <n v="2025"/>
  </r>
  <r>
    <s v="ORD100400"/>
    <d v="2026-06-26T00:00:00"/>
    <x v="2"/>
    <s v="Bengaluru"/>
    <x v="5"/>
    <x v="0"/>
    <x v="0"/>
    <s v="Laptop"/>
    <x v="387"/>
    <n v="11"/>
    <n v="3433.26"/>
    <n v="20"/>
    <x v="398"/>
    <n v="19560.38"/>
    <n v="10652.31"/>
    <x v="2"/>
    <s v="Cash"/>
    <s v="June"/>
    <n v="2026"/>
  </r>
  <r>
    <s v="ORD100401"/>
    <d v="2025-12-06T00:00:00"/>
    <x v="0"/>
    <s v="Ahmedabad"/>
    <x v="7"/>
    <x v="0"/>
    <x v="2"/>
    <s v="Pens"/>
    <x v="388"/>
    <n v="1"/>
    <n v="3837.1"/>
    <n v="10"/>
    <x v="399"/>
    <n v="2269.62"/>
    <n v="1183.77"/>
    <x v="0"/>
    <s v="Cash"/>
    <s v="December"/>
    <n v="2025"/>
  </r>
  <r>
    <s v="ORD100402"/>
    <d v="2026-02-11T00:00:00"/>
    <x v="3"/>
    <s v="Bhubaneswar"/>
    <x v="3"/>
    <x v="2"/>
    <x v="1"/>
    <s v="Cabinet"/>
    <x v="389"/>
    <n v="6"/>
    <n v="434.07"/>
    <n v="10"/>
    <x v="400"/>
    <n v="1384.15"/>
    <n v="959.83"/>
    <x v="2"/>
    <s v="Net Banking"/>
    <s v="February"/>
    <n v="2026"/>
  </r>
  <r>
    <s v="ORD100403"/>
    <d v="2025-07-03T00:00:00"/>
    <x v="2"/>
    <s v="Chennai"/>
    <x v="6"/>
    <x v="0"/>
    <x v="0"/>
    <s v="Mouse"/>
    <x v="390"/>
    <n v="10"/>
    <n v="2062.3000000000002"/>
    <n v="20"/>
    <x v="401"/>
    <n v="9300.2199999999993"/>
    <n v="7198.18"/>
    <x v="0"/>
    <s v="UPI"/>
    <s v="July"/>
    <n v="2025"/>
  </r>
  <r>
    <s v="ORD100404"/>
    <d v="2025-03-14T00:00:00"/>
    <x v="2"/>
    <s v="Chennai"/>
    <x v="3"/>
    <x v="0"/>
    <x v="1"/>
    <s v="Chair"/>
    <x v="391"/>
    <n v="5"/>
    <n v="2740.47"/>
    <n v="5"/>
    <x v="402"/>
    <n v="9928.07"/>
    <n v="3089.16"/>
    <x v="1"/>
    <s v="Card"/>
    <s v="March"/>
    <n v="2025"/>
  </r>
  <r>
    <s v="ORD100405"/>
    <d v="2026-02-05T00:00:00"/>
    <x v="1"/>
    <s v="Delhi"/>
    <x v="4"/>
    <x v="1"/>
    <x v="2"/>
    <s v="Folders"/>
    <x v="392"/>
    <n v="7"/>
    <n v="4656.8100000000004"/>
    <n v="20"/>
    <x v="403"/>
    <n v="14853.31"/>
    <n v="11224.83"/>
    <x v="1"/>
    <s v="Net Banking"/>
    <s v="February"/>
    <n v="2026"/>
  </r>
  <r>
    <s v="ORD100406"/>
    <d v="2025-11-13T00:00:00"/>
    <x v="3"/>
    <s v="Kolkata"/>
    <x v="5"/>
    <x v="1"/>
    <x v="2"/>
    <s v="Paper"/>
    <x v="393"/>
    <n v="14"/>
    <n v="1385.74"/>
    <n v="5"/>
    <x v="404"/>
    <n v="14676.15"/>
    <n v="3754.19"/>
    <x v="1"/>
    <s v="UPI"/>
    <s v="November"/>
    <n v="2025"/>
  </r>
  <r>
    <s v="ORD100407"/>
    <d v="2026-05-21T00:00:00"/>
    <x v="0"/>
    <s v="Mumbai"/>
    <x v="2"/>
    <x v="1"/>
    <x v="2"/>
    <s v="Folders"/>
    <x v="185"/>
    <n v="7"/>
    <n v="3072.15"/>
    <n v="15"/>
    <x v="405"/>
    <n v="13835.37"/>
    <n v="4443.92"/>
    <x v="0"/>
    <s v="Net Banking"/>
    <s v="May"/>
    <n v="2026"/>
  </r>
  <r>
    <s v="ORD100408"/>
    <d v="2025-09-22T00:00:00"/>
    <x v="1"/>
    <s v="Delhi"/>
    <x v="6"/>
    <x v="0"/>
    <x v="1"/>
    <s v="Chair"/>
    <x v="394"/>
    <n v="15"/>
    <n v="1365.63"/>
    <n v="10"/>
    <x v="406"/>
    <n v="12024.87"/>
    <n v="6411.14"/>
    <x v="2"/>
    <s v="Cash"/>
    <s v="September"/>
    <n v="2025"/>
  </r>
  <r>
    <s v="ORD100409"/>
    <d v="2025-07-23T00:00:00"/>
    <x v="1"/>
    <s v="Delhi"/>
    <x v="0"/>
    <x v="2"/>
    <x v="1"/>
    <s v="Bookshelf"/>
    <x v="395"/>
    <n v="11"/>
    <n v="2864.04"/>
    <n v="15"/>
    <x v="407"/>
    <n v="16257.97"/>
    <n v="10520.8"/>
    <x v="2"/>
    <s v="Net Banking"/>
    <s v="July"/>
    <n v="2025"/>
  </r>
  <r>
    <s v="ORD100410"/>
    <d v="2025-04-24T00:00:00"/>
    <x v="2"/>
    <s v="Chennai"/>
    <x v="5"/>
    <x v="0"/>
    <x v="1"/>
    <s v="Cabinet"/>
    <x v="396"/>
    <n v="7"/>
    <n v="4744.82"/>
    <n v="0"/>
    <x v="408"/>
    <n v="20681.689999999999"/>
    <n v="12532.05"/>
    <x v="1"/>
    <s v="Card"/>
    <s v="April"/>
    <n v="2025"/>
  </r>
  <r>
    <s v="ORD100411"/>
    <d v="2025-08-14T00:00:00"/>
    <x v="2"/>
    <s v="Chennai"/>
    <x v="0"/>
    <x v="1"/>
    <x v="0"/>
    <s v="Keyboard"/>
    <x v="397"/>
    <n v="11"/>
    <n v="203.18"/>
    <n v="10"/>
    <x v="409"/>
    <n v="1202.3399999999999"/>
    <n v="809.14"/>
    <x v="1"/>
    <s v="Cash"/>
    <s v="August"/>
    <n v="2025"/>
  </r>
  <r>
    <s v="ORD100412"/>
    <d v="2026-02-24T00:00:00"/>
    <x v="0"/>
    <s v="Ahmedabad"/>
    <x v="0"/>
    <x v="0"/>
    <x v="1"/>
    <s v="Bookshelf"/>
    <x v="398"/>
    <n v="14"/>
    <n v="3664.62"/>
    <n v="5"/>
    <x v="410"/>
    <n v="29908.11"/>
    <n v="18831.34"/>
    <x v="0"/>
    <s v="Card"/>
    <s v="February"/>
    <n v="2026"/>
  </r>
  <r>
    <s v="ORD100413"/>
    <d v="2025-10-28T00:00:00"/>
    <x v="1"/>
    <s v="Chandigarh"/>
    <x v="6"/>
    <x v="2"/>
    <x v="0"/>
    <s v="Keyboard"/>
    <x v="399"/>
    <n v="14"/>
    <n v="2218.81"/>
    <n v="0"/>
    <x v="411"/>
    <n v="21651.29"/>
    <n v="9412.0499999999993"/>
    <x v="1"/>
    <s v="Cash"/>
    <s v="October"/>
    <n v="2025"/>
  </r>
  <r>
    <s v="ORD100414"/>
    <d v="2025-01-18T00:00:00"/>
    <x v="3"/>
    <s v="Bhubaneswar"/>
    <x v="7"/>
    <x v="1"/>
    <x v="0"/>
    <s v="Mouse"/>
    <x v="400"/>
    <n v="7"/>
    <n v="3178.2"/>
    <n v="5"/>
    <x v="412"/>
    <n v="12873.23"/>
    <n v="8261.7999999999993"/>
    <x v="2"/>
    <s v="UPI"/>
    <s v="January"/>
    <n v="2025"/>
  </r>
  <r>
    <s v="ORD100415"/>
    <d v="2025-01-29T00:00:00"/>
    <x v="1"/>
    <s v="Delhi"/>
    <x v="4"/>
    <x v="1"/>
    <x v="0"/>
    <s v="Mouse"/>
    <x v="401"/>
    <n v="3"/>
    <n v="4280.49"/>
    <n v="15"/>
    <x v="413"/>
    <n v="7429.99"/>
    <n v="3485.26"/>
    <x v="1"/>
    <s v="Net Banking"/>
    <s v="January"/>
    <n v="2025"/>
  </r>
  <r>
    <s v="ORD100416"/>
    <d v="2025-09-01T00:00:00"/>
    <x v="2"/>
    <s v="Bengaluru"/>
    <x v="5"/>
    <x v="2"/>
    <x v="1"/>
    <s v="Table"/>
    <x v="402"/>
    <n v="15"/>
    <n v="4841.09"/>
    <n v="20"/>
    <x v="414"/>
    <n v="43627.22"/>
    <n v="14465.86"/>
    <x v="0"/>
    <s v="Cash"/>
    <s v="September"/>
    <n v="2025"/>
  </r>
  <r>
    <s v="ORD100417"/>
    <d v="2025-01-06T00:00:00"/>
    <x v="2"/>
    <s v="Chennai"/>
    <x v="7"/>
    <x v="0"/>
    <x v="2"/>
    <s v="Printer Ink"/>
    <x v="403"/>
    <n v="1"/>
    <n v="1119.3900000000001"/>
    <n v="5"/>
    <x v="415"/>
    <n v="615.46"/>
    <n v="447.96"/>
    <x v="1"/>
    <s v="Net Banking"/>
    <s v="January"/>
    <n v="2025"/>
  </r>
  <r>
    <s v="ORD100418"/>
    <d v="2025-04-26T00:00:00"/>
    <x v="3"/>
    <s v="Kolkata"/>
    <x v="3"/>
    <x v="0"/>
    <x v="1"/>
    <s v="Desk"/>
    <x v="404"/>
    <n v="2"/>
    <n v="1822.22"/>
    <n v="10"/>
    <x v="416"/>
    <n v="2547.46"/>
    <n v="732.54"/>
    <x v="0"/>
    <s v="Cash"/>
    <s v="April"/>
    <n v="2025"/>
  </r>
  <r>
    <s v="ORD100419"/>
    <d v="2026-03-14T00:00:00"/>
    <x v="3"/>
    <s v="Bhubaneswar"/>
    <x v="4"/>
    <x v="1"/>
    <x v="0"/>
    <s v="Mouse"/>
    <x v="405"/>
    <n v="10"/>
    <n v="2893.68"/>
    <n v="0"/>
    <x v="417"/>
    <n v="18864.37"/>
    <n v="10072.43"/>
    <x v="1"/>
    <s v="Card"/>
    <s v="March"/>
    <n v="2026"/>
  </r>
  <r>
    <s v="ORD100420"/>
    <d v="2025-11-29T00:00:00"/>
    <x v="1"/>
    <s v="Chandigarh"/>
    <x v="0"/>
    <x v="1"/>
    <x v="2"/>
    <s v="Notebook"/>
    <x v="406"/>
    <n v="1"/>
    <n v="4661.03"/>
    <n v="10"/>
    <x v="418"/>
    <n v="2541.23"/>
    <n v="1653.7"/>
    <x v="2"/>
    <s v="UPI"/>
    <s v="November"/>
    <n v="2025"/>
  </r>
  <r>
    <s v="ORD100421"/>
    <d v="2025-04-16T00:00:00"/>
    <x v="3"/>
    <s v="Kolkata"/>
    <x v="0"/>
    <x v="0"/>
    <x v="0"/>
    <s v="Keyboard"/>
    <x v="407"/>
    <n v="12"/>
    <n v="4902.26"/>
    <n v="20"/>
    <x v="419"/>
    <n v="32397.75"/>
    <n v="14663.95"/>
    <x v="0"/>
    <s v="UPI"/>
    <s v="April"/>
    <n v="2025"/>
  </r>
  <r>
    <s v="ORD100422"/>
    <d v="2026-05-07T00:00:00"/>
    <x v="3"/>
    <s v="Bhubaneswar"/>
    <x v="7"/>
    <x v="1"/>
    <x v="1"/>
    <s v="Chair"/>
    <x v="408"/>
    <n v="7"/>
    <n v="885.12"/>
    <n v="20"/>
    <x v="420"/>
    <n v="2951.39"/>
    <n v="2005.28"/>
    <x v="1"/>
    <s v="Net Banking"/>
    <s v="May"/>
    <n v="2026"/>
  </r>
  <r>
    <s v="ORD100423"/>
    <d v="2025-07-05T00:00:00"/>
    <x v="1"/>
    <s v="Delhi"/>
    <x v="4"/>
    <x v="2"/>
    <x v="2"/>
    <s v="Paper"/>
    <x v="409"/>
    <n v="4"/>
    <n v="1974.95"/>
    <n v="10"/>
    <x v="421"/>
    <n v="4650.17"/>
    <n v="2459.65"/>
    <x v="2"/>
    <s v="Cash"/>
    <s v="July"/>
    <n v="2025"/>
  </r>
  <r>
    <s v="ORD100424"/>
    <d v="2026-03-28T00:00:00"/>
    <x v="3"/>
    <s v="Kolkata"/>
    <x v="5"/>
    <x v="2"/>
    <x v="0"/>
    <s v="Mouse"/>
    <x v="410"/>
    <n v="4"/>
    <n v="1011.11"/>
    <n v="0"/>
    <x v="422"/>
    <n v="3287.83"/>
    <n v="756.61"/>
    <x v="0"/>
    <s v="Card"/>
    <s v="March"/>
    <n v="2026"/>
  </r>
  <r>
    <s v="ORD100425"/>
    <d v="2026-04-09T00:00:00"/>
    <x v="0"/>
    <s v="Mumbai"/>
    <x v="4"/>
    <x v="2"/>
    <x v="0"/>
    <s v="Mouse"/>
    <x v="411"/>
    <n v="10"/>
    <n v="3816.94"/>
    <n v="20"/>
    <x v="423"/>
    <n v="18726.66"/>
    <n v="11808.86"/>
    <x v="2"/>
    <s v="Cash"/>
    <s v="April"/>
    <n v="2026"/>
  </r>
  <r>
    <s v="ORD100426"/>
    <d v="2025-06-14T00:00:00"/>
    <x v="1"/>
    <s v="Delhi"/>
    <x v="2"/>
    <x v="2"/>
    <x v="0"/>
    <s v="Mouse"/>
    <x v="412"/>
    <n v="7"/>
    <n v="2935.5"/>
    <n v="20"/>
    <x v="424"/>
    <n v="10241.69"/>
    <n v="6197.11"/>
    <x v="0"/>
    <s v="Cash"/>
    <s v="June"/>
    <n v="2025"/>
  </r>
  <r>
    <s v="ORD100427"/>
    <d v="2025-04-30T00:00:00"/>
    <x v="1"/>
    <s v="Chandigarh"/>
    <x v="4"/>
    <x v="0"/>
    <x v="1"/>
    <s v="Table"/>
    <x v="413"/>
    <n v="12"/>
    <n v="3477.2"/>
    <n v="20"/>
    <x v="425"/>
    <n v="22795.06"/>
    <n v="10586.06"/>
    <x v="0"/>
    <s v="UPI"/>
    <s v="April"/>
    <n v="2025"/>
  </r>
  <r>
    <s v="ORD100428"/>
    <d v="2025-04-12T00:00:00"/>
    <x v="3"/>
    <s v="Bhubaneswar"/>
    <x v="5"/>
    <x v="2"/>
    <x v="2"/>
    <s v="Folders"/>
    <x v="414"/>
    <n v="9"/>
    <n v="2343.65"/>
    <n v="0"/>
    <x v="426"/>
    <n v="16711.93"/>
    <n v="4380.92"/>
    <x v="2"/>
    <s v="Card"/>
    <s v="April"/>
    <n v="2025"/>
  </r>
  <r>
    <s v="ORD100429"/>
    <d v="2025-04-20T00:00:00"/>
    <x v="0"/>
    <s v="Ahmedabad"/>
    <x v="3"/>
    <x v="0"/>
    <x v="0"/>
    <s v="Headphones"/>
    <x v="415"/>
    <n v="8"/>
    <n v="1595.47"/>
    <n v="15"/>
    <x v="427"/>
    <n v="6985.57"/>
    <n v="3863.63"/>
    <x v="1"/>
    <s v="Cash"/>
    <s v="April"/>
    <n v="2025"/>
  </r>
  <r>
    <s v="ORD100430"/>
    <d v="2025-03-16T00:00:00"/>
    <x v="3"/>
    <s v="Bhubaneswar"/>
    <x v="4"/>
    <x v="0"/>
    <x v="1"/>
    <s v="Desk"/>
    <x v="416"/>
    <n v="8"/>
    <n v="2433.41"/>
    <n v="15"/>
    <x v="428"/>
    <n v="13149.22"/>
    <n v="3397.97"/>
    <x v="0"/>
    <s v="Net Banking"/>
    <s v="March"/>
    <n v="2025"/>
  </r>
  <r>
    <s v="ORD100431"/>
    <d v="2026-04-10T00:00:00"/>
    <x v="0"/>
    <s v="Mumbai"/>
    <x v="1"/>
    <x v="1"/>
    <x v="0"/>
    <s v="Keyboard"/>
    <x v="417"/>
    <n v="4"/>
    <n v="1022.61"/>
    <n v="10"/>
    <x v="429"/>
    <n v="2194.41"/>
    <n v="1486.99"/>
    <x v="2"/>
    <s v="UPI"/>
    <s v="April"/>
    <n v="2026"/>
  </r>
  <r>
    <s v="ORD100432"/>
    <d v="2025-04-16T00:00:00"/>
    <x v="0"/>
    <s v="Mumbai"/>
    <x v="6"/>
    <x v="0"/>
    <x v="0"/>
    <s v="Keyboard"/>
    <x v="418"/>
    <n v="9"/>
    <n v="2861.14"/>
    <n v="15"/>
    <x v="430"/>
    <n v="12163.44"/>
    <n v="9724.2800000000007"/>
    <x v="1"/>
    <s v="Cash"/>
    <s v="April"/>
    <n v="2025"/>
  </r>
  <r>
    <s v="ORD100433"/>
    <d v="2025-01-23T00:00:00"/>
    <x v="3"/>
    <s v="Kolkata"/>
    <x v="5"/>
    <x v="2"/>
    <x v="0"/>
    <s v="Keyboard"/>
    <x v="419"/>
    <n v="5"/>
    <n v="845.32"/>
    <n v="5"/>
    <x v="431"/>
    <n v="2362.6799999999998"/>
    <n v="1652.59"/>
    <x v="2"/>
    <s v="Net Banking"/>
    <s v="January"/>
    <n v="2025"/>
  </r>
  <r>
    <s v="ORD100434"/>
    <d v="2026-03-05T00:00:00"/>
    <x v="2"/>
    <s v="Bengaluru"/>
    <x v="4"/>
    <x v="0"/>
    <x v="2"/>
    <s v="Paper"/>
    <x v="420"/>
    <n v="7"/>
    <n v="4285.16"/>
    <n v="5"/>
    <x v="432"/>
    <n v="15827.19"/>
    <n v="12669.12"/>
    <x v="2"/>
    <s v="Cash"/>
    <s v="March"/>
    <n v="2026"/>
  </r>
  <r>
    <s v="ORD100435"/>
    <d v="2025-12-26T00:00:00"/>
    <x v="0"/>
    <s v="Mumbai"/>
    <x v="0"/>
    <x v="2"/>
    <x v="2"/>
    <s v="Paper"/>
    <x v="421"/>
    <n v="7"/>
    <n v="1834.72"/>
    <n v="10"/>
    <x v="433"/>
    <n v="7960.48"/>
    <n v="3598.26"/>
    <x v="1"/>
    <s v="Cash"/>
    <s v="December"/>
    <n v="2025"/>
  </r>
  <r>
    <s v="ORD100436"/>
    <d v="2025-04-26T00:00:00"/>
    <x v="3"/>
    <s v="Kolkata"/>
    <x v="4"/>
    <x v="2"/>
    <x v="1"/>
    <s v="Bookshelf"/>
    <x v="422"/>
    <n v="5"/>
    <n v="2640.99"/>
    <n v="10"/>
    <x v="434"/>
    <n v="8077.36"/>
    <n v="3807.09"/>
    <x v="0"/>
    <s v="Card"/>
    <s v="April"/>
    <n v="2025"/>
  </r>
  <r>
    <s v="ORD100437"/>
    <d v="2025-06-12T00:00:00"/>
    <x v="2"/>
    <s v="Bengaluru"/>
    <x v="7"/>
    <x v="2"/>
    <x v="1"/>
    <s v="Chair"/>
    <x v="423"/>
    <n v="13"/>
    <n v="3904.81"/>
    <n v="20"/>
    <x v="435"/>
    <n v="28056.69"/>
    <n v="12553.33"/>
    <x v="0"/>
    <s v="Card"/>
    <s v="June"/>
    <n v="2025"/>
  </r>
  <r>
    <s v="ORD100438"/>
    <d v="2025-09-10T00:00:00"/>
    <x v="3"/>
    <s v="Kolkata"/>
    <x v="4"/>
    <x v="1"/>
    <x v="0"/>
    <s v="Headphones"/>
    <x v="424"/>
    <n v="4"/>
    <n v="1783.71"/>
    <n v="0"/>
    <x v="436"/>
    <n v="3946.07"/>
    <n v="3188.77"/>
    <x v="2"/>
    <s v="Card"/>
    <s v="September"/>
    <n v="2025"/>
  </r>
  <r>
    <s v="ORD100439"/>
    <d v="2025-01-17T00:00:00"/>
    <x v="0"/>
    <s v="Ahmedabad"/>
    <x v="3"/>
    <x v="2"/>
    <x v="0"/>
    <s v="Keyboard"/>
    <x v="425"/>
    <n v="2"/>
    <n v="3284.92"/>
    <n v="10"/>
    <x v="437"/>
    <n v="3989.19"/>
    <n v="1923.67"/>
    <x v="2"/>
    <s v="Net Banking"/>
    <s v="January"/>
    <n v="2025"/>
  </r>
  <r>
    <s v="ORD100440"/>
    <d v="2025-09-14T00:00:00"/>
    <x v="0"/>
    <s v="Ahmedabad"/>
    <x v="2"/>
    <x v="1"/>
    <x v="1"/>
    <s v="Chair"/>
    <x v="426"/>
    <n v="6"/>
    <n v="4356.29"/>
    <n v="10"/>
    <x v="438"/>
    <n v="18749.02"/>
    <n v="4774.95"/>
    <x v="0"/>
    <s v="UPI"/>
    <s v="September"/>
    <n v="2025"/>
  </r>
  <r>
    <s v="ORD100441"/>
    <d v="2025-01-29T00:00:00"/>
    <x v="1"/>
    <s v="Chandigarh"/>
    <x v="3"/>
    <x v="1"/>
    <x v="1"/>
    <s v="Bookshelf"/>
    <x v="427"/>
    <n v="8"/>
    <n v="914.43"/>
    <n v="20"/>
    <x v="439"/>
    <n v="3992.78"/>
    <n v="1859.57"/>
    <x v="1"/>
    <s v="Net Banking"/>
    <s v="January"/>
    <n v="2025"/>
  </r>
  <r>
    <s v="ORD100442"/>
    <d v="2026-04-14T00:00:00"/>
    <x v="0"/>
    <s v="Mumbai"/>
    <x v="4"/>
    <x v="2"/>
    <x v="2"/>
    <s v="Pens"/>
    <x v="428"/>
    <n v="9"/>
    <n v="4854.53"/>
    <n v="0"/>
    <x v="440"/>
    <n v="26566.51"/>
    <n v="17124.259999999998"/>
    <x v="2"/>
    <s v="Net Banking"/>
    <s v="April"/>
    <n v="2026"/>
  </r>
  <r>
    <s v="ORD100443"/>
    <d v="2025-03-28T00:00:00"/>
    <x v="3"/>
    <s v="Bhubaneswar"/>
    <x v="6"/>
    <x v="2"/>
    <x v="1"/>
    <s v="Desk"/>
    <x v="429"/>
    <n v="1"/>
    <n v="3579.7"/>
    <n v="5"/>
    <x v="441"/>
    <n v="2214.0500000000002"/>
    <n v="1186.6600000000001"/>
    <x v="1"/>
    <s v="Net Banking"/>
    <s v="March"/>
    <n v="2025"/>
  </r>
  <r>
    <s v="ORD100444"/>
    <d v="2026-04-30T00:00:00"/>
    <x v="1"/>
    <s v="Chandigarh"/>
    <x v="6"/>
    <x v="1"/>
    <x v="1"/>
    <s v="Cabinet"/>
    <x v="430"/>
    <n v="3"/>
    <n v="4747.24"/>
    <n v="0"/>
    <x v="442"/>
    <n v="8330.52"/>
    <n v="5911.2"/>
    <x v="2"/>
    <s v="Card"/>
    <s v="April"/>
    <n v="2026"/>
  </r>
  <r>
    <s v="ORD100445"/>
    <d v="2026-04-14T00:00:00"/>
    <x v="3"/>
    <s v="Kolkata"/>
    <x v="7"/>
    <x v="1"/>
    <x v="1"/>
    <s v="Chair"/>
    <x v="431"/>
    <n v="12"/>
    <n v="4076.79"/>
    <n v="15"/>
    <x v="443"/>
    <n v="27891.83"/>
    <n v="13691.43"/>
    <x v="0"/>
    <s v="Card"/>
    <s v="April"/>
    <n v="2026"/>
  </r>
  <r>
    <s v="ORD100446"/>
    <d v="2025-12-20T00:00:00"/>
    <x v="1"/>
    <s v="Delhi"/>
    <x v="3"/>
    <x v="1"/>
    <x v="2"/>
    <s v="Notebook"/>
    <x v="83"/>
    <n v="1"/>
    <n v="4535.7299999999996"/>
    <n v="20"/>
    <x v="444"/>
    <n v="2254.63"/>
    <n v="1373.95"/>
    <x v="0"/>
    <s v="Cash"/>
    <s v="December"/>
    <n v="2025"/>
  </r>
  <r>
    <s v="ORD100447"/>
    <d v="2026-06-25T00:00:00"/>
    <x v="0"/>
    <s v="Mumbai"/>
    <x v="0"/>
    <x v="2"/>
    <x v="1"/>
    <s v="Bookshelf"/>
    <x v="432"/>
    <n v="3"/>
    <n v="3558.25"/>
    <n v="10"/>
    <x v="445"/>
    <n v="7365.77"/>
    <n v="2241.5"/>
    <x v="0"/>
    <s v="UPI"/>
    <s v="June"/>
    <n v="2026"/>
  </r>
  <r>
    <s v="ORD100448"/>
    <d v="2025-08-18T00:00:00"/>
    <x v="2"/>
    <s v="Bengaluru"/>
    <x v="6"/>
    <x v="0"/>
    <x v="0"/>
    <s v="Laptop"/>
    <x v="433"/>
    <n v="7"/>
    <n v="4584.01"/>
    <n v="20"/>
    <x v="446"/>
    <n v="17884.29"/>
    <n v="7786.17"/>
    <x v="2"/>
    <s v="Card"/>
    <s v="August"/>
    <n v="2025"/>
  </r>
  <r>
    <s v="ORD100449"/>
    <d v="2025-01-25T00:00:00"/>
    <x v="0"/>
    <s v="Mumbai"/>
    <x v="6"/>
    <x v="2"/>
    <x v="2"/>
    <s v="Folders"/>
    <x v="434"/>
    <n v="3"/>
    <n v="402.34"/>
    <n v="5"/>
    <x v="447"/>
    <n v="910.83"/>
    <n v="235.84"/>
    <x v="0"/>
    <s v="Net Banking"/>
    <s v="January"/>
    <n v="2025"/>
  </r>
  <r>
    <s v="ORD100450"/>
    <d v="2026-06-21T00:00:00"/>
    <x v="2"/>
    <s v="Chennai"/>
    <x v="4"/>
    <x v="0"/>
    <x v="1"/>
    <s v="Desk"/>
    <x v="435"/>
    <n v="12"/>
    <n v="1008.19"/>
    <n v="20"/>
    <x v="448"/>
    <n v="7659.52"/>
    <n v="2019.1"/>
    <x v="1"/>
    <s v="UPI"/>
    <s v="June"/>
    <n v="2026"/>
  </r>
  <r>
    <s v="ORD100451"/>
    <d v="2026-02-25T00:00:00"/>
    <x v="0"/>
    <s v="Mumbai"/>
    <x v="7"/>
    <x v="2"/>
    <x v="1"/>
    <s v="Desk"/>
    <x v="436"/>
    <n v="8"/>
    <n v="1245.48"/>
    <n v="0"/>
    <x v="449"/>
    <n v="5664.16"/>
    <n v="4299.68"/>
    <x v="0"/>
    <s v="Net Banking"/>
    <s v="February"/>
    <n v="2026"/>
  </r>
  <r>
    <s v="ORD100452"/>
    <d v="2025-01-02T00:00:00"/>
    <x v="1"/>
    <s v="Chandigarh"/>
    <x v="6"/>
    <x v="2"/>
    <x v="0"/>
    <s v="Laptop"/>
    <x v="437"/>
    <n v="5"/>
    <n v="3910.46"/>
    <n v="10"/>
    <x v="450"/>
    <n v="13077.53"/>
    <n v="4519.54"/>
    <x v="2"/>
    <s v="Cash"/>
    <s v="January"/>
    <n v="2025"/>
  </r>
  <r>
    <s v="ORD100453"/>
    <d v="2025-06-01T00:00:00"/>
    <x v="2"/>
    <s v="Chennai"/>
    <x v="6"/>
    <x v="2"/>
    <x v="2"/>
    <s v="Pens"/>
    <x v="438"/>
    <n v="15"/>
    <n v="2500.34"/>
    <n v="0"/>
    <x v="451"/>
    <n v="24195.919999999998"/>
    <n v="13309.18"/>
    <x v="0"/>
    <s v="Cash"/>
    <s v="June"/>
    <n v="2025"/>
  </r>
  <r>
    <s v="ORD100454"/>
    <d v="2026-03-08T00:00:00"/>
    <x v="2"/>
    <s v="Chennai"/>
    <x v="6"/>
    <x v="2"/>
    <x v="0"/>
    <s v="Mouse"/>
    <x v="439"/>
    <n v="14"/>
    <n v="1647.46"/>
    <n v="20"/>
    <x v="452"/>
    <n v="13777.13"/>
    <n v="4674.42"/>
    <x v="1"/>
    <s v="UPI"/>
    <s v="March"/>
    <n v="2026"/>
  </r>
  <r>
    <s v="ORD100455"/>
    <d v="2025-06-12T00:00:00"/>
    <x v="3"/>
    <s v="Bhubaneswar"/>
    <x v="6"/>
    <x v="0"/>
    <x v="0"/>
    <s v="Mouse"/>
    <x v="440"/>
    <n v="6"/>
    <n v="2189.11"/>
    <n v="5"/>
    <x v="453"/>
    <n v="7096.48"/>
    <n v="5381.45"/>
    <x v="1"/>
    <s v="UPI"/>
    <s v="June"/>
    <n v="2025"/>
  </r>
  <r>
    <s v="ORD100456"/>
    <d v="2025-02-07T00:00:00"/>
    <x v="0"/>
    <s v="Mumbai"/>
    <x v="2"/>
    <x v="1"/>
    <x v="0"/>
    <s v="Headphones"/>
    <x v="441"/>
    <n v="12"/>
    <n v="717.51"/>
    <n v="20"/>
    <x v="454"/>
    <n v="4990.57"/>
    <n v="1897.53"/>
    <x v="0"/>
    <s v="UPI"/>
    <s v="February"/>
    <n v="2025"/>
  </r>
  <r>
    <s v="ORD100457"/>
    <d v="2025-12-31T00:00:00"/>
    <x v="2"/>
    <s v="Chennai"/>
    <x v="7"/>
    <x v="1"/>
    <x v="2"/>
    <s v="Pens"/>
    <x v="442"/>
    <n v="14"/>
    <n v="1204.32"/>
    <n v="5"/>
    <x v="455"/>
    <n v="9316.6299999999992"/>
    <n v="6700.83"/>
    <x v="1"/>
    <s v="Net Banking"/>
    <s v="December"/>
    <n v="2025"/>
  </r>
  <r>
    <s v="ORD100458"/>
    <d v="2025-01-24T00:00:00"/>
    <x v="0"/>
    <s v="Mumbai"/>
    <x v="1"/>
    <x v="1"/>
    <x v="1"/>
    <s v="Desk"/>
    <x v="443"/>
    <n v="8"/>
    <n v="469.56"/>
    <n v="0"/>
    <x v="456"/>
    <n v="2839.66"/>
    <n v="916.82"/>
    <x v="2"/>
    <s v="Net Banking"/>
    <s v="January"/>
    <n v="2025"/>
  </r>
  <r>
    <s v="ORD100459"/>
    <d v="2026-04-11T00:00:00"/>
    <x v="2"/>
    <s v="Chennai"/>
    <x v="1"/>
    <x v="0"/>
    <x v="0"/>
    <s v="Keyboard"/>
    <x v="444"/>
    <n v="11"/>
    <n v="3341.82"/>
    <n v="0"/>
    <x v="457"/>
    <n v="29251.27"/>
    <n v="7508.75"/>
    <x v="2"/>
    <s v="Cash"/>
    <s v="April"/>
    <n v="2026"/>
  </r>
  <r>
    <s v="ORD100460"/>
    <d v="2025-02-10T00:00:00"/>
    <x v="3"/>
    <s v="Bhubaneswar"/>
    <x v="4"/>
    <x v="1"/>
    <x v="2"/>
    <s v="Notebook"/>
    <x v="445"/>
    <n v="1"/>
    <n v="4839.21"/>
    <n v="10"/>
    <x v="458"/>
    <n v="2941.1"/>
    <n v="1414.19"/>
    <x v="0"/>
    <s v="Card"/>
    <s v="February"/>
    <n v="2025"/>
  </r>
  <r>
    <s v="ORD100461"/>
    <d v="2025-12-06T00:00:00"/>
    <x v="1"/>
    <s v="Chandigarh"/>
    <x v="4"/>
    <x v="0"/>
    <x v="0"/>
    <s v="Headphones"/>
    <x v="446"/>
    <n v="3"/>
    <n v="3030.34"/>
    <n v="0"/>
    <x v="459"/>
    <n v="5206.55"/>
    <n v="3884.47"/>
    <x v="0"/>
    <s v="UPI"/>
    <s v="December"/>
    <n v="2025"/>
  </r>
  <r>
    <s v="ORD100462"/>
    <d v="2025-12-18T00:00:00"/>
    <x v="0"/>
    <s v="Ahmedabad"/>
    <x v="1"/>
    <x v="0"/>
    <x v="1"/>
    <s v="Chair"/>
    <x v="447"/>
    <n v="9"/>
    <n v="1696.26"/>
    <n v="5"/>
    <x v="460"/>
    <n v="8731.89"/>
    <n v="5771.13"/>
    <x v="0"/>
    <s v="Card"/>
    <s v="December"/>
    <n v="2025"/>
  </r>
  <r>
    <s v="ORD100463"/>
    <d v="2025-04-24T00:00:00"/>
    <x v="0"/>
    <s v="Ahmedabad"/>
    <x v="3"/>
    <x v="1"/>
    <x v="1"/>
    <s v="Table"/>
    <x v="448"/>
    <n v="9"/>
    <n v="2684.31"/>
    <n v="5"/>
    <x v="461"/>
    <n v="13255.78"/>
    <n v="9695.07"/>
    <x v="0"/>
    <s v="UPI"/>
    <s v="April"/>
    <n v="2025"/>
  </r>
  <r>
    <s v="ORD100464"/>
    <d v="2025-10-21T00:00:00"/>
    <x v="1"/>
    <s v="Delhi"/>
    <x v="3"/>
    <x v="2"/>
    <x v="2"/>
    <s v="Folders"/>
    <x v="449"/>
    <n v="12"/>
    <n v="4528.62"/>
    <n v="10"/>
    <x v="462"/>
    <n v="35776.769999999997"/>
    <n v="13132.33"/>
    <x v="2"/>
    <s v="Card"/>
    <s v="October"/>
    <n v="2025"/>
  </r>
  <r>
    <s v="ORD100465"/>
    <d v="2026-04-03T00:00:00"/>
    <x v="0"/>
    <s v="Mumbai"/>
    <x v="5"/>
    <x v="0"/>
    <x v="0"/>
    <s v="Laptop"/>
    <x v="450"/>
    <n v="9"/>
    <n v="3075.09"/>
    <n v="20"/>
    <x v="463"/>
    <n v="13824.35"/>
    <n v="8316.2999999999993"/>
    <x v="0"/>
    <s v="Card"/>
    <s v="April"/>
    <n v="2026"/>
  </r>
  <r>
    <s v="ORD100466"/>
    <d v="2025-03-14T00:00:00"/>
    <x v="0"/>
    <s v="Ahmedabad"/>
    <x v="5"/>
    <x v="0"/>
    <x v="2"/>
    <s v="Printer Ink"/>
    <x v="451"/>
    <n v="12"/>
    <n v="3300.62"/>
    <n v="10"/>
    <x v="464"/>
    <n v="27651.66"/>
    <n v="7995.04"/>
    <x v="1"/>
    <s v="Net Banking"/>
    <s v="March"/>
    <n v="2025"/>
  </r>
  <r>
    <s v="ORD100467"/>
    <d v="2025-10-28T00:00:00"/>
    <x v="1"/>
    <s v="Delhi"/>
    <x v="6"/>
    <x v="2"/>
    <x v="2"/>
    <s v="Printer Ink"/>
    <x v="452"/>
    <n v="10"/>
    <n v="2507.33"/>
    <n v="10"/>
    <x v="465"/>
    <n v="17773.259999999998"/>
    <n v="4792.71"/>
    <x v="2"/>
    <s v="Cash"/>
    <s v="October"/>
    <n v="2025"/>
  </r>
  <r>
    <s v="ORD100468"/>
    <d v="2026-02-06T00:00:00"/>
    <x v="2"/>
    <s v="Bengaluru"/>
    <x v="2"/>
    <x v="2"/>
    <x v="2"/>
    <s v="Folders"/>
    <x v="453"/>
    <n v="14"/>
    <n v="4893.26"/>
    <n v="15"/>
    <x v="466"/>
    <n v="43388.14"/>
    <n v="14841.65"/>
    <x v="2"/>
    <s v="Cash"/>
    <s v="February"/>
    <n v="2026"/>
  </r>
  <r>
    <s v="ORD100469"/>
    <d v="2026-03-01T00:00:00"/>
    <x v="3"/>
    <s v="Bhubaneswar"/>
    <x v="5"/>
    <x v="1"/>
    <x v="1"/>
    <s v="Chair"/>
    <x v="454"/>
    <n v="13"/>
    <n v="4351.42"/>
    <n v="10"/>
    <x v="467"/>
    <n v="39334.22"/>
    <n v="11577.39"/>
    <x v="0"/>
    <s v="UPI"/>
    <s v="March"/>
    <n v="2026"/>
  </r>
  <r>
    <s v="ORD100470"/>
    <d v="2025-09-12T00:00:00"/>
    <x v="3"/>
    <s v="Bhubaneswar"/>
    <x v="1"/>
    <x v="1"/>
    <x v="2"/>
    <s v="Folders"/>
    <x v="455"/>
    <n v="6"/>
    <n v="259.58999999999997"/>
    <n v="0"/>
    <x v="468"/>
    <n v="1259.1300000000001"/>
    <n v="298.41000000000003"/>
    <x v="2"/>
    <s v="Card"/>
    <s v="September"/>
    <n v="2025"/>
  </r>
  <r>
    <s v="ORD100471"/>
    <d v="2025-02-17T00:00:00"/>
    <x v="3"/>
    <s v="Bhubaneswar"/>
    <x v="3"/>
    <x v="0"/>
    <x v="0"/>
    <s v="Keyboard"/>
    <x v="456"/>
    <n v="5"/>
    <n v="1531.95"/>
    <n v="0"/>
    <x v="469"/>
    <n v="4812.32"/>
    <n v="2847.43"/>
    <x v="2"/>
    <s v="Card"/>
    <s v="February"/>
    <n v="2025"/>
  </r>
  <r>
    <s v="ORD100472"/>
    <d v="2025-07-02T00:00:00"/>
    <x v="0"/>
    <s v="Mumbai"/>
    <x v="1"/>
    <x v="0"/>
    <x v="2"/>
    <s v="Folders"/>
    <x v="457"/>
    <n v="7"/>
    <n v="2473.04"/>
    <n v="20"/>
    <x v="470"/>
    <n v="10573.59"/>
    <n v="3275.43"/>
    <x v="2"/>
    <s v="Cash"/>
    <s v="July"/>
    <n v="2025"/>
  </r>
  <r>
    <s v="ORD100473"/>
    <d v="2025-09-07T00:00:00"/>
    <x v="3"/>
    <s v="Bhubaneswar"/>
    <x v="3"/>
    <x v="2"/>
    <x v="1"/>
    <s v="Desk"/>
    <x v="458"/>
    <n v="10"/>
    <n v="1165.8499999999999"/>
    <n v="15"/>
    <x v="471"/>
    <n v="5520.28"/>
    <n v="4389.45"/>
    <x v="2"/>
    <s v="Cash"/>
    <s v="September"/>
    <n v="2025"/>
  </r>
  <r>
    <s v="ORD100474"/>
    <d v="2026-02-04T00:00:00"/>
    <x v="1"/>
    <s v="Delhi"/>
    <x v="2"/>
    <x v="0"/>
    <x v="1"/>
    <s v="Bookshelf"/>
    <x v="459"/>
    <n v="13"/>
    <n v="1319.97"/>
    <n v="5"/>
    <x v="472"/>
    <n v="9418.36"/>
    <n v="6883.27"/>
    <x v="1"/>
    <s v="UPI"/>
    <s v="February"/>
    <n v="2026"/>
  </r>
  <r>
    <s v="ORD100475"/>
    <d v="2026-03-14T00:00:00"/>
    <x v="1"/>
    <s v="Delhi"/>
    <x v="3"/>
    <x v="2"/>
    <x v="1"/>
    <s v="Table"/>
    <x v="460"/>
    <n v="11"/>
    <n v="2587.27"/>
    <n v="0"/>
    <x v="473"/>
    <n v="18515.57"/>
    <n v="9944.4"/>
    <x v="0"/>
    <s v="Card"/>
    <s v="March"/>
    <n v="2026"/>
  </r>
  <r>
    <s v="ORD100476"/>
    <d v="2025-01-26T00:00:00"/>
    <x v="2"/>
    <s v="Bengaluru"/>
    <x v="2"/>
    <x v="0"/>
    <x v="2"/>
    <s v="Printer Ink"/>
    <x v="461"/>
    <n v="11"/>
    <n v="3339.74"/>
    <n v="20"/>
    <x v="474"/>
    <n v="22680.95"/>
    <n v="6708.76"/>
    <x v="0"/>
    <s v="Cash"/>
    <s v="January"/>
    <n v="2025"/>
  </r>
  <r>
    <s v="ORD100477"/>
    <d v="2026-06-15T00:00:00"/>
    <x v="1"/>
    <s v="Delhi"/>
    <x v="1"/>
    <x v="2"/>
    <x v="1"/>
    <s v="Table"/>
    <x v="462"/>
    <n v="13"/>
    <n v="2272.52"/>
    <n v="10"/>
    <x v="475"/>
    <n v="17363"/>
    <n v="9225.48"/>
    <x v="0"/>
    <s v="Cash"/>
    <s v="June"/>
    <n v="2026"/>
  </r>
  <r>
    <s v="ORD100478"/>
    <d v="2025-02-07T00:00:00"/>
    <x v="3"/>
    <s v="Bhubaneswar"/>
    <x v="2"/>
    <x v="2"/>
    <x v="0"/>
    <s v="Keyboard"/>
    <x v="463"/>
    <n v="2"/>
    <n v="517.76"/>
    <n v="0"/>
    <x v="476"/>
    <n v="682.88"/>
    <n v="352.64"/>
    <x v="1"/>
    <s v="UPI"/>
    <s v="February"/>
    <n v="2025"/>
  </r>
  <r>
    <s v="ORD100479"/>
    <d v="2025-10-15T00:00:00"/>
    <x v="0"/>
    <s v="Ahmedabad"/>
    <x v="3"/>
    <x v="2"/>
    <x v="1"/>
    <s v="Bookshelf"/>
    <x v="464"/>
    <n v="2"/>
    <n v="2011.08"/>
    <n v="5"/>
    <x v="477"/>
    <n v="2197.39"/>
    <n v="1623.66"/>
    <x v="0"/>
    <s v="Net Banking"/>
    <s v="October"/>
    <n v="2025"/>
  </r>
  <r>
    <s v="ORD100480"/>
    <d v="2025-02-07T00:00:00"/>
    <x v="3"/>
    <s v="Bhubaneswar"/>
    <x v="4"/>
    <x v="1"/>
    <x v="0"/>
    <s v="Monitor"/>
    <x v="465"/>
    <n v="7"/>
    <n v="2812"/>
    <n v="0"/>
    <x v="478"/>
    <n v="11938.74"/>
    <n v="7745.26"/>
    <x v="1"/>
    <s v="Net Banking"/>
    <s v="February"/>
    <n v="2025"/>
  </r>
  <r>
    <s v="ORD100481"/>
    <d v="2025-12-24T00:00:00"/>
    <x v="2"/>
    <s v="Chennai"/>
    <x v="2"/>
    <x v="0"/>
    <x v="2"/>
    <s v="Printer Ink"/>
    <x v="466"/>
    <n v="1"/>
    <n v="2266.38"/>
    <n v="5"/>
    <x v="479"/>
    <n v="1678.05"/>
    <n v="475.01"/>
    <x v="0"/>
    <s v="UPI"/>
    <s v="December"/>
    <n v="2025"/>
  </r>
  <r>
    <s v="ORD100482"/>
    <d v="2026-02-15T00:00:00"/>
    <x v="0"/>
    <s v="Mumbai"/>
    <x v="6"/>
    <x v="1"/>
    <x v="1"/>
    <s v="Cabinet"/>
    <x v="467"/>
    <n v="4"/>
    <n v="4941.53"/>
    <n v="15"/>
    <x v="480"/>
    <n v="10085.9"/>
    <n v="6715.3"/>
    <x v="1"/>
    <s v="Cash"/>
    <s v="February"/>
    <n v="2026"/>
  </r>
  <r>
    <s v="ORD100483"/>
    <d v="2026-01-08T00:00:00"/>
    <x v="0"/>
    <s v="Ahmedabad"/>
    <x v="5"/>
    <x v="0"/>
    <x v="2"/>
    <s v="Printer Ink"/>
    <x v="468"/>
    <n v="4"/>
    <n v="1637.24"/>
    <n v="20"/>
    <x v="481"/>
    <n v="3018.64"/>
    <n v="2220.5300000000002"/>
    <x v="0"/>
    <s v="Net Banking"/>
    <s v="January"/>
    <n v="2026"/>
  </r>
  <r>
    <s v="ORD100484"/>
    <d v="2026-01-02T00:00:00"/>
    <x v="1"/>
    <s v="Chandigarh"/>
    <x v="6"/>
    <x v="0"/>
    <x v="0"/>
    <s v="Keyboard"/>
    <x v="469"/>
    <n v="8"/>
    <n v="1875.46"/>
    <n v="20"/>
    <x v="482"/>
    <n v="7351.02"/>
    <n v="4651.92"/>
    <x v="2"/>
    <s v="UPI"/>
    <s v="January"/>
    <n v="2026"/>
  </r>
  <r>
    <s v="ORD100485"/>
    <d v="2026-02-05T00:00:00"/>
    <x v="0"/>
    <s v="Ahmedabad"/>
    <x v="0"/>
    <x v="2"/>
    <x v="0"/>
    <s v="Keyboard"/>
    <x v="444"/>
    <n v="12"/>
    <n v="4900.76"/>
    <n v="20"/>
    <x v="483"/>
    <n v="37638.11"/>
    <n v="9409.19"/>
    <x v="1"/>
    <s v="UPI"/>
    <s v="February"/>
    <n v="2026"/>
  </r>
  <r>
    <s v="ORD100486"/>
    <d v="2025-03-03T00:00:00"/>
    <x v="3"/>
    <s v="Bhubaneswar"/>
    <x v="3"/>
    <x v="2"/>
    <x v="0"/>
    <s v="Monitor"/>
    <x v="470"/>
    <n v="1"/>
    <n v="330.52"/>
    <n v="0"/>
    <x v="484"/>
    <n v="254.74"/>
    <n v="75.78"/>
    <x v="2"/>
    <s v="Net Banking"/>
    <s v="March"/>
    <n v="2025"/>
  </r>
  <r>
    <s v="ORD100487"/>
    <d v="2026-04-17T00:00:00"/>
    <x v="2"/>
    <s v="Bengaluru"/>
    <x v="3"/>
    <x v="2"/>
    <x v="0"/>
    <s v="Keyboard"/>
    <x v="471"/>
    <n v="12"/>
    <n v="4048.84"/>
    <n v="5"/>
    <x v="485"/>
    <n v="32111.48"/>
    <n v="14045.3"/>
    <x v="0"/>
    <s v="Card"/>
    <s v="April"/>
    <n v="2026"/>
  </r>
  <r>
    <s v="ORD100488"/>
    <d v="2025-04-13T00:00:00"/>
    <x v="3"/>
    <s v="Bhubaneswar"/>
    <x v="4"/>
    <x v="1"/>
    <x v="0"/>
    <s v="Keyboard"/>
    <x v="472"/>
    <n v="8"/>
    <n v="2976.71"/>
    <n v="20"/>
    <x v="486"/>
    <n v="14893.71"/>
    <n v="4157.2299999999996"/>
    <x v="2"/>
    <s v="Card"/>
    <s v="April"/>
    <n v="2025"/>
  </r>
  <r>
    <s v="ORD100489"/>
    <d v="2026-01-07T00:00:00"/>
    <x v="1"/>
    <s v="Chandigarh"/>
    <x v="3"/>
    <x v="0"/>
    <x v="0"/>
    <s v="Laptop"/>
    <x v="473"/>
    <n v="10"/>
    <n v="4855.1000000000004"/>
    <n v="20"/>
    <x v="487"/>
    <n v="30376.36"/>
    <n v="8464.44"/>
    <x v="0"/>
    <s v="Card"/>
    <s v="January"/>
    <n v="2026"/>
  </r>
  <r>
    <s v="ORD100490"/>
    <d v="2026-04-13T00:00:00"/>
    <x v="2"/>
    <s v="Bengaluru"/>
    <x v="4"/>
    <x v="0"/>
    <x v="2"/>
    <s v="Paper"/>
    <x v="474"/>
    <n v="1"/>
    <n v="4366.71"/>
    <n v="0"/>
    <x v="488"/>
    <n v="2638.36"/>
    <n v="1728.35"/>
    <x v="1"/>
    <s v="Net Banking"/>
    <s v="April"/>
    <n v="2026"/>
  </r>
  <r>
    <s v="ORD100491"/>
    <d v="2025-12-25T00:00:00"/>
    <x v="0"/>
    <s v="Mumbai"/>
    <x v="1"/>
    <x v="1"/>
    <x v="2"/>
    <s v="Paper"/>
    <x v="475"/>
    <n v="11"/>
    <n v="2596.33"/>
    <n v="15"/>
    <x v="489"/>
    <n v="19410.099999999999"/>
    <n v="4865.59"/>
    <x v="0"/>
    <s v="Card"/>
    <s v="December"/>
    <n v="2025"/>
  </r>
  <r>
    <s v="ORD100492"/>
    <d v="2025-05-19T00:00:00"/>
    <x v="2"/>
    <s v="Bengaluru"/>
    <x v="5"/>
    <x v="1"/>
    <x v="1"/>
    <s v="Desk"/>
    <x v="476"/>
    <n v="11"/>
    <n v="3115.47"/>
    <n v="0"/>
    <x v="490"/>
    <n v="25273.06"/>
    <n v="8997.11"/>
    <x v="2"/>
    <s v="Net Banking"/>
    <s v="May"/>
    <n v="2025"/>
  </r>
  <r>
    <s v="ORD100493"/>
    <d v="2025-08-14T00:00:00"/>
    <x v="2"/>
    <s v="Chennai"/>
    <x v="5"/>
    <x v="1"/>
    <x v="1"/>
    <s v="Cabinet"/>
    <x v="477"/>
    <n v="11"/>
    <n v="332.21"/>
    <n v="5"/>
    <x v="491"/>
    <n v="2178.27"/>
    <n v="1293.32"/>
    <x v="2"/>
    <s v="Card"/>
    <s v="August"/>
    <n v="2025"/>
  </r>
  <r>
    <s v="ORD100494"/>
    <d v="2026-02-07T00:00:00"/>
    <x v="1"/>
    <s v="Delhi"/>
    <x v="2"/>
    <x v="2"/>
    <x v="2"/>
    <s v="Pens"/>
    <x v="478"/>
    <n v="1"/>
    <n v="3348.96"/>
    <n v="15"/>
    <x v="492"/>
    <n v="2002.44"/>
    <n v="844.18"/>
    <x v="2"/>
    <s v="Net Banking"/>
    <s v="February"/>
    <n v="2026"/>
  </r>
  <r>
    <s v="ORD100495"/>
    <d v="2026-02-12T00:00:00"/>
    <x v="3"/>
    <s v="Bhubaneswar"/>
    <x v="3"/>
    <x v="1"/>
    <x v="1"/>
    <s v="Cabinet"/>
    <x v="479"/>
    <n v="6"/>
    <n v="329.3"/>
    <n v="10"/>
    <x v="493"/>
    <n v="1239.04"/>
    <n v="539.17999999999995"/>
    <x v="1"/>
    <s v="Cash"/>
    <s v="February"/>
    <n v="2026"/>
  </r>
  <r>
    <s v="ORD100496"/>
    <d v="2025-04-24T00:00:00"/>
    <x v="3"/>
    <s v="Kolkata"/>
    <x v="6"/>
    <x v="1"/>
    <x v="2"/>
    <s v="Folders"/>
    <x v="480"/>
    <n v="14"/>
    <n v="3968.35"/>
    <n v="10"/>
    <x v="494"/>
    <n v="37636.99"/>
    <n v="12364.22"/>
    <x v="0"/>
    <s v="Card"/>
    <s v="April"/>
    <n v="2025"/>
  </r>
  <r>
    <s v="ORD100497"/>
    <d v="2025-09-09T00:00:00"/>
    <x v="1"/>
    <s v="Chandigarh"/>
    <x v="2"/>
    <x v="0"/>
    <x v="1"/>
    <s v="Table"/>
    <x v="481"/>
    <n v="2"/>
    <n v="4675.66"/>
    <n v="20"/>
    <x v="495"/>
    <n v="5665.66"/>
    <n v="1815.4"/>
    <x v="0"/>
    <s v="UPI"/>
    <s v="September"/>
    <n v="2025"/>
  </r>
  <r>
    <s v="ORD100498"/>
    <d v="2025-12-13T00:00:00"/>
    <x v="3"/>
    <s v="Bhubaneswar"/>
    <x v="3"/>
    <x v="1"/>
    <x v="0"/>
    <s v="Keyboard"/>
    <x v="482"/>
    <n v="13"/>
    <n v="1472.84"/>
    <n v="15"/>
    <x v="496"/>
    <n v="10383.68"/>
    <n v="5891.2"/>
    <x v="1"/>
    <s v="Net Banking"/>
    <s v="December"/>
    <n v="2025"/>
  </r>
  <r>
    <s v="ORD100499"/>
    <d v="2025-02-09T00:00:00"/>
    <x v="1"/>
    <s v="Delhi"/>
    <x v="3"/>
    <x v="0"/>
    <x v="2"/>
    <s v="Folders"/>
    <x v="483"/>
    <n v="15"/>
    <n v="726.59"/>
    <n v="20"/>
    <x v="497"/>
    <n v="6190.14"/>
    <n v="2528.94"/>
    <x v="0"/>
    <s v="Card"/>
    <s v="February"/>
    <n v="2025"/>
  </r>
  <r>
    <s v="ORD100500"/>
    <d v="2026-02-26T00:00:00"/>
    <x v="1"/>
    <s v="Delhi"/>
    <x v="7"/>
    <x v="0"/>
    <x v="0"/>
    <s v="Monitor"/>
    <x v="484"/>
    <n v="3"/>
    <n v="3391.59"/>
    <n v="15"/>
    <x v="498"/>
    <n v="6797.13"/>
    <n v="1851.42"/>
    <x v="2"/>
    <s v="UPI"/>
    <s v="February"/>
    <n v="2026"/>
  </r>
  <r>
    <s v="ORD100501"/>
    <d v="2025-03-03T00:00:00"/>
    <x v="0"/>
    <s v="Mumbai"/>
    <x v="3"/>
    <x v="0"/>
    <x v="2"/>
    <s v="Printer Ink"/>
    <x v="485"/>
    <n v="1"/>
    <n v="4377.57"/>
    <n v="0"/>
    <x v="499"/>
    <n v="3196.03"/>
    <n v="1181.54"/>
    <x v="0"/>
    <s v="Net Banking"/>
    <s v="March"/>
    <n v="2025"/>
  </r>
  <r>
    <s v="ORD100502"/>
    <d v="2026-03-24T00:00:00"/>
    <x v="2"/>
    <s v="Bengaluru"/>
    <x v="5"/>
    <x v="2"/>
    <x v="1"/>
    <s v="Bookshelf"/>
    <x v="486"/>
    <n v="13"/>
    <n v="2459.94"/>
    <n v="0"/>
    <x v="500"/>
    <n v="20948.060000000001"/>
    <n v="11031.16"/>
    <x v="1"/>
    <s v="Card"/>
    <s v="March"/>
    <n v="2026"/>
  </r>
  <r>
    <s v="ORD100503"/>
    <d v="2025-01-05T00:00:00"/>
    <x v="0"/>
    <s v="Mumbai"/>
    <x v="2"/>
    <x v="0"/>
    <x v="0"/>
    <s v="Mouse"/>
    <x v="487"/>
    <n v="9"/>
    <n v="4191.16"/>
    <n v="0"/>
    <x v="501"/>
    <n v="27300.12"/>
    <n v="10420.32"/>
    <x v="1"/>
    <s v="Net Banking"/>
    <s v="January"/>
    <n v="2025"/>
  </r>
  <r>
    <s v="ORD100504"/>
    <d v="2025-04-22T00:00:00"/>
    <x v="1"/>
    <s v="Delhi"/>
    <x v="6"/>
    <x v="2"/>
    <x v="1"/>
    <s v="Cabinet"/>
    <x v="488"/>
    <n v="7"/>
    <n v="4390.59"/>
    <n v="5"/>
    <x v="502"/>
    <n v="19896.82"/>
    <n v="9300.6"/>
    <x v="2"/>
    <s v="Card"/>
    <s v="April"/>
    <n v="2025"/>
  </r>
  <r>
    <s v="ORD100505"/>
    <d v="2026-02-20T00:00:00"/>
    <x v="0"/>
    <s v="Ahmedabad"/>
    <x v="7"/>
    <x v="0"/>
    <x v="2"/>
    <s v="Folders"/>
    <x v="489"/>
    <n v="7"/>
    <n v="2977.62"/>
    <n v="15"/>
    <x v="503"/>
    <n v="13466.86"/>
    <n v="4249.9799999999996"/>
    <x v="1"/>
    <s v="Net Banking"/>
    <s v="February"/>
    <n v="2026"/>
  </r>
  <r>
    <s v="ORD100506"/>
    <d v="2026-03-12T00:00:00"/>
    <x v="0"/>
    <s v="Ahmedabad"/>
    <x v="4"/>
    <x v="1"/>
    <x v="2"/>
    <s v="Printer Ink"/>
    <x v="490"/>
    <n v="2"/>
    <n v="2162.0700000000002"/>
    <n v="15"/>
    <x v="504"/>
    <n v="2416.6"/>
    <n v="1258.92"/>
    <x v="2"/>
    <s v="UPI"/>
    <s v="March"/>
    <n v="2026"/>
  </r>
  <r>
    <s v="ORD100507"/>
    <d v="2025-10-10T00:00:00"/>
    <x v="2"/>
    <s v="Bengaluru"/>
    <x v="2"/>
    <x v="0"/>
    <x v="2"/>
    <s v="Folders"/>
    <x v="491"/>
    <n v="5"/>
    <n v="593.47"/>
    <n v="20"/>
    <x v="505"/>
    <n v="1523.38"/>
    <n v="850.5"/>
    <x v="1"/>
    <s v="Card"/>
    <s v="October"/>
    <n v="2025"/>
  </r>
  <r>
    <s v="ORD100508"/>
    <d v="2026-05-20T00:00:00"/>
    <x v="3"/>
    <s v="Bhubaneswar"/>
    <x v="1"/>
    <x v="2"/>
    <x v="2"/>
    <s v="Folders"/>
    <x v="492"/>
    <n v="3"/>
    <n v="3120.5"/>
    <n v="5"/>
    <x v="506"/>
    <n v="5801.61"/>
    <n v="3091.81"/>
    <x v="0"/>
    <s v="Card"/>
    <s v="May"/>
    <n v="2026"/>
  </r>
  <r>
    <s v="ORD100509"/>
    <d v="2025-01-23T00:00:00"/>
    <x v="3"/>
    <s v="Kolkata"/>
    <x v="3"/>
    <x v="1"/>
    <x v="1"/>
    <s v="Cabinet"/>
    <x v="493"/>
    <n v="4"/>
    <n v="4819.82"/>
    <n v="20"/>
    <x v="507"/>
    <n v="8716.2199999999993"/>
    <n v="6707.2"/>
    <x v="0"/>
    <s v="UPI"/>
    <s v="January"/>
    <n v="2025"/>
  </r>
  <r>
    <s v="ORD100510"/>
    <d v="2025-12-15T00:00:00"/>
    <x v="1"/>
    <s v="Chandigarh"/>
    <x v="2"/>
    <x v="0"/>
    <x v="0"/>
    <s v="Laptop"/>
    <x v="494"/>
    <n v="11"/>
    <n v="663.69"/>
    <n v="0"/>
    <x v="508"/>
    <n v="4015.62"/>
    <n v="3284.97"/>
    <x v="1"/>
    <s v="UPI"/>
    <s v="December"/>
    <n v="2025"/>
  </r>
  <r>
    <s v="ORD100511"/>
    <d v="2025-12-14T00:00:00"/>
    <x v="1"/>
    <s v="Chandigarh"/>
    <x v="2"/>
    <x v="0"/>
    <x v="0"/>
    <s v="Monitor"/>
    <x v="495"/>
    <n v="1"/>
    <n v="2695.22"/>
    <n v="0"/>
    <x v="509"/>
    <n v="1581.35"/>
    <n v="1113.8699999999999"/>
    <x v="1"/>
    <s v="Cash"/>
    <s v="December"/>
    <n v="2025"/>
  </r>
  <r>
    <s v="ORD100512"/>
    <d v="2026-02-28T00:00:00"/>
    <x v="1"/>
    <s v="Delhi"/>
    <x v="3"/>
    <x v="0"/>
    <x v="0"/>
    <s v="Keyboard"/>
    <x v="496"/>
    <n v="8"/>
    <n v="4921.0200000000004"/>
    <n v="0"/>
    <x v="510"/>
    <n v="21769.61"/>
    <n v="17598.55"/>
    <x v="2"/>
    <s v="Card"/>
    <s v="February"/>
    <n v="2026"/>
  </r>
  <r>
    <s v="ORD100513"/>
    <d v="2026-04-12T00:00:00"/>
    <x v="3"/>
    <s v="Kolkata"/>
    <x v="7"/>
    <x v="1"/>
    <x v="0"/>
    <s v="Monitor"/>
    <x v="497"/>
    <n v="10"/>
    <n v="4186.7700000000004"/>
    <n v="0"/>
    <x v="511"/>
    <n v="32985.949999999997"/>
    <n v="8881.75"/>
    <x v="1"/>
    <s v="Card"/>
    <s v="April"/>
    <n v="2026"/>
  </r>
  <r>
    <s v="ORD100514"/>
    <d v="2025-11-03T00:00:00"/>
    <x v="3"/>
    <s v="Kolkata"/>
    <x v="7"/>
    <x v="2"/>
    <x v="1"/>
    <s v="Cabinet"/>
    <x v="244"/>
    <n v="5"/>
    <n v="1494.98"/>
    <n v="20"/>
    <x v="512"/>
    <n v="3881.45"/>
    <n v="2098.4699999999998"/>
    <x v="0"/>
    <s v="Card"/>
    <s v="November"/>
    <n v="2025"/>
  </r>
  <r>
    <s v="ORD100515"/>
    <d v="2026-05-14T00:00:00"/>
    <x v="2"/>
    <s v="Chennai"/>
    <x v="0"/>
    <x v="0"/>
    <x v="1"/>
    <s v="Desk"/>
    <x v="498"/>
    <n v="3"/>
    <n v="1054.0899999999999"/>
    <n v="20"/>
    <x v="513"/>
    <n v="1831.83"/>
    <n v="697.99"/>
    <x v="1"/>
    <s v="Card"/>
    <s v="May"/>
    <n v="2026"/>
  </r>
  <r>
    <s v="ORD100516"/>
    <d v="2025-02-27T00:00:00"/>
    <x v="0"/>
    <s v="Mumbai"/>
    <x v="4"/>
    <x v="1"/>
    <x v="0"/>
    <s v="Laptop"/>
    <x v="499"/>
    <n v="12"/>
    <n v="376.24"/>
    <n v="0"/>
    <x v="514"/>
    <n v="3517.56"/>
    <n v="997.32"/>
    <x v="2"/>
    <s v="Net Banking"/>
    <s v="February"/>
    <n v="2025"/>
  </r>
  <r>
    <s v="ORD100517"/>
    <d v="2026-03-17T00:00:00"/>
    <x v="1"/>
    <s v="Chandigarh"/>
    <x v="4"/>
    <x v="2"/>
    <x v="0"/>
    <s v="Headphones"/>
    <x v="500"/>
    <n v="12"/>
    <n v="1440.45"/>
    <n v="20"/>
    <x v="515"/>
    <n v="7910.99"/>
    <n v="5917.33"/>
    <x v="2"/>
    <s v="Net Banking"/>
    <s v="March"/>
    <n v="2026"/>
  </r>
  <r>
    <s v="ORD100518"/>
    <d v="2025-04-20T00:00:00"/>
    <x v="1"/>
    <s v="Chandigarh"/>
    <x v="3"/>
    <x v="0"/>
    <x v="1"/>
    <s v="Table"/>
    <x v="501"/>
    <n v="14"/>
    <n v="370.02"/>
    <n v="0"/>
    <x v="516"/>
    <n v="2909.05"/>
    <n v="2271.23"/>
    <x v="0"/>
    <s v="Cash"/>
    <s v="April"/>
    <n v="2025"/>
  </r>
  <r>
    <s v="ORD100519"/>
    <d v="2025-04-08T00:00:00"/>
    <x v="1"/>
    <s v="Delhi"/>
    <x v="4"/>
    <x v="1"/>
    <x v="2"/>
    <s v="Paper"/>
    <x v="502"/>
    <n v="8"/>
    <n v="1817.22"/>
    <n v="20"/>
    <x v="517"/>
    <n v="8694.68"/>
    <n v="2935.53"/>
    <x v="0"/>
    <s v="Cash"/>
    <s v="April"/>
    <n v="2025"/>
  </r>
  <r>
    <s v="ORD100520"/>
    <d v="2025-12-10T00:00:00"/>
    <x v="3"/>
    <s v="Kolkata"/>
    <x v="0"/>
    <x v="0"/>
    <x v="1"/>
    <s v="Table"/>
    <x v="503"/>
    <n v="2"/>
    <n v="2746.65"/>
    <n v="15"/>
    <x v="518"/>
    <n v="3629.4"/>
    <n v="1039.9100000000001"/>
    <x v="0"/>
    <s v="Net Banking"/>
    <s v="December"/>
    <n v="2025"/>
  </r>
  <r>
    <s v="ORD100521"/>
    <d v="2025-07-11T00:00:00"/>
    <x v="2"/>
    <s v="Chennai"/>
    <x v="1"/>
    <x v="2"/>
    <x v="0"/>
    <s v="Laptop"/>
    <x v="504"/>
    <n v="8"/>
    <n v="2983.82"/>
    <n v="20"/>
    <x v="519"/>
    <n v="15006.67"/>
    <n v="4089.78"/>
    <x v="0"/>
    <s v="Cash"/>
    <s v="July"/>
    <n v="2025"/>
  </r>
  <r>
    <s v="ORD100522"/>
    <d v="2025-12-18T00:00:00"/>
    <x v="0"/>
    <s v="Ahmedabad"/>
    <x v="4"/>
    <x v="2"/>
    <x v="2"/>
    <s v="Pens"/>
    <x v="505"/>
    <n v="14"/>
    <n v="602.59"/>
    <n v="15"/>
    <x v="520"/>
    <n v="4065.63"/>
    <n v="3105.19"/>
    <x v="0"/>
    <s v="Cash"/>
    <s v="December"/>
    <n v="2025"/>
  </r>
  <r>
    <s v="ORD100523"/>
    <d v="2025-04-16T00:00:00"/>
    <x v="3"/>
    <s v="Bhubaneswar"/>
    <x v="3"/>
    <x v="2"/>
    <x v="2"/>
    <s v="Folders"/>
    <x v="506"/>
    <n v="6"/>
    <n v="4499.67"/>
    <n v="10"/>
    <x v="521"/>
    <n v="19798.64"/>
    <n v="4499.58"/>
    <x v="1"/>
    <s v="UPI"/>
    <s v="April"/>
    <n v="2025"/>
  </r>
  <r>
    <s v="ORD100524"/>
    <d v="2025-09-03T00:00:00"/>
    <x v="3"/>
    <s v="Bhubaneswar"/>
    <x v="7"/>
    <x v="2"/>
    <x v="2"/>
    <s v="Paper"/>
    <x v="507"/>
    <n v="11"/>
    <n v="1801.26"/>
    <n v="0"/>
    <x v="522"/>
    <n v="13708.89"/>
    <n v="6104.97"/>
    <x v="2"/>
    <s v="Cash"/>
    <s v="September"/>
    <n v="2025"/>
  </r>
  <r>
    <s v="ORD100525"/>
    <d v="2025-09-21T00:00:00"/>
    <x v="1"/>
    <s v="Delhi"/>
    <x v="5"/>
    <x v="2"/>
    <x v="0"/>
    <s v="Laptop"/>
    <x v="508"/>
    <n v="4"/>
    <n v="1939.54"/>
    <n v="15"/>
    <x v="523"/>
    <n v="3980.17"/>
    <n v="2614.27"/>
    <x v="0"/>
    <s v="Net Banking"/>
    <s v="September"/>
    <n v="2025"/>
  </r>
  <r>
    <s v="ORD100526"/>
    <d v="2025-11-24T00:00:00"/>
    <x v="0"/>
    <s v="Ahmedabad"/>
    <x v="1"/>
    <x v="2"/>
    <x v="1"/>
    <s v="Table"/>
    <x v="509"/>
    <n v="15"/>
    <n v="277.14"/>
    <n v="5"/>
    <x v="524"/>
    <n v="3176.76"/>
    <n v="772.48"/>
    <x v="2"/>
    <s v="UPI"/>
    <s v="November"/>
    <n v="2025"/>
  </r>
  <r>
    <s v="ORD100527"/>
    <d v="2025-06-25T00:00:00"/>
    <x v="1"/>
    <s v="Chandigarh"/>
    <x v="6"/>
    <x v="0"/>
    <x v="1"/>
    <s v="Table"/>
    <x v="510"/>
    <n v="14"/>
    <n v="1384.63"/>
    <n v="20"/>
    <x v="525"/>
    <n v="9878"/>
    <n v="5629.86"/>
    <x v="1"/>
    <s v="UPI"/>
    <s v="June"/>
    <n v="2025"/>
  </r>
  <r>
    <s v="ORD100528"/>
    <d v="2025-08-13T00:00:00"/>
    <x v="3"/>
    <s v="Kolkata"/>
    <x v="1"/>
    <x v="1"/>
    <x v="2"/>
    <s v="Pens"/>
    <x v="511"/>
    <n v="10"/>
    <n v="1250.6300000000001"/>
    <n v="20"/>
    <x v="526"/>
    <n v="7134.09"/>
    <n v="2870.95"/>
    <x v="2"/>
    <s v="Cash"/>
    <s v="August"/>
    <n v="2025"/>
  </r>
  <r>
    <s v="ORD100529"/>
    <d v="2026-02-19T00:00:00"/>
    <x v="2"/>
    <s v="Bengaluru"/>
    <x v="2"/>
    <x v="0"/>
    <x v="2"/>
    <s v="Printer Ink"/>
    <x v="512"/>
    <n v="9"/>
    <n v="2233.1999999999998"/>
    <n v="15"/>
    <x v="527"/>
    <n v="11966.36"/>
    <n v="5117.62"/>
    <x v="0"/>
    <s v="Cash"/>
    <s v="February"/>
    <n v="2026"/>
  </r>
  <r>
    <s v="ORD100530"/>
    <d v="2026-05-01T00:00:00"/>
    <x v="2"/>
    <s v="Bengaluru"/>
    <x v="2"/>
    <x v="2"/>
    <x v="0"/>
    <s v="Monitor"/>
    <x v="513"/>
    <n v="5"/>
    <n v="319.8"/>
    <n v="15"/>
    <x v="528"/>
    <n v="775.82"/>
    <n v="583.33000000000004"/>
    <x v="1"/>
    <s v="Card"/>
    <s v="May"/>
    <n v="2026"/>
  </r>
  <r>
    <s v="ORD100531"/>
    <d v="2025-10-29T00:00:00"/>
    <x v="1"/>
    <s v="Delhi"/>
    <x v="2"/>
    <x v="0"/>
    <x v="2"/>
    <s v="Pens"/>
    <x v="514"/>
    <n v="14"/>
    <n v="1421.4"/>
    <n v="10"/>
    <x v="529"/>
    <n v="11894.67"/>
    <n v="6014.97"/>
    <x v="2"/>
    <s v="Net Banking"/>
    <s v="October"/>
    <n v="2025"/>
  </r>
  <r>
    <s v="ORD100532"/>
    <d v="2026-01-16T00:00:00"/>
    <x v="3"/>
    <s v="Bhubaneswar"/>
    <x v="3"/>
    <x v="1"/>
    <x v="0"/>
    <s v="Laptop"/>
    <x v="515"/>
    <n v="13"/>
    <n v="2601.71"/>
    <n v="10"/>
    <x v="530"/>
    <n v="23215.57"/>
    <n v="7224.44"/>
    <x v="1"/>
    <s v="Cash"/>
    <s v="January"/>
    <n v="2026"/>
  </r>
  <r>
    <s v="ORD100533"/>
    <d v="2026-06-16T00:00:00"/>
    <x v="1"/>
    <s v="Chandigarh"/>
    <x v="5"/>
    <x v="0"/>
    <x v="0"/>
    <s v="Mouse"/>
    <x v="516"/>
    <n v="1"/>
    <n v="3839.89"/>
    <n v="5"/>
    <x v="531"/>
    <n v="2008.47"/>
    <n v="1639.43"/>
    <x v="2"/>
    <s v="Net Banking"/>
    <s v="June"/>
    <n v="2026"/>
  </r>
  <r>
    <s v="ORD100534"/>
    <d v="2025-08-19T00:00:00"/>
    <x v="3"/>
    <s v="Kolkata"/>
    <x v="7"/>
    <x v="1"/>
    <x v="1"/>
    <s v="Table"/>
    <x v="517"/>
    <n v="7"/>
    <n v="686.88"/>
    <n v="5"/>
    <x v="532"/>
    <n v="2821.73"/>
    <n v="1746.02"/>
    <x v="2"/>
    <s v="Cash"/>
    <s v="August"/>
    <n v="2025"/>
  </r>
  <r>
    <s v="ORD100535"/>
    <d v="2025-10-23T00:00:00"/>
    <x v="0"/>
    <s v="Ahmedabad"/>
    <x v="0"/>
    <x v="0"/>
    <x v="2"/>
    <s v="Notebook"/>
    <x v="518"/>
    <n v="6"/>
    <n v="4273.1899999999996"/>
    <n v="15"/>
    <x v="533"/>
    <n v="13437.89"/>
    <n v="8355.3799999999992"/>
    <x v="1"/>
    <s v="Card"/>
    <s v="October"/>
    <n v="2025"/>
  </r>
  <r>
    <s v="ORD100536"/>
    <d v="2025-04-17T00:00:00"/>
    <x v="2"/>
    <s v="Bengaluru"/>
    <x v="5"/>
    <x v="2"/>
    <x v="1"/>
    <s v="Table"/>
    <x v="519"/>
    <n v="3"/>
    <n v="1587.88"/>
    <n v="20"/>
    <x v="534"/>
    <n v="2723.57"/>
    <n v="1087.3399999999999"/>
    <x v="2"/>
    <s v="Card"/>
    <s v="April"/>
    <n v="2025"/>
  </r>
  <r>
    <s v="ORD100537"/>
    <d v="2025-01-08T00:00:00"/>
    <x v="2"/>
    <s v="Chennai"/>
    <x v="6"/>
    <x v="0"/>
    <x v="2"/>
    <s v="Folders"/>
    <x v="520"/>
    <n v="12"/>
    <n v="1048.71"/>
    <n v="10"/>
    <x v="535"/>
    <n v="9219.19"/>
    <n v="2106.88"/>
    <x v="2"/>
    <s v="UPI"/>
    <s v="January"/>
    <n v="2025"/>
  </r>
  <r>
    <s v="ORD100538"/>
    <d v="2025-01-10T00:00:00"/>
    <x v="0"/>
    <s v="Mumbai"/>
    <x v="7"/>
    <x v="0"/>
    <x v="0"/>
    <s v="Keyboard"/>
    <x v="521"/>
    <n v="14"/>
    <n v="2287.9499999999998"/>
    <n v="0"/>
    <x v="536"/>
    <n v="26108.53"/>
    <n v="5922.77"/>
    <x v="0"/>
    <s v="Card"/>
    <s v="January"/>
    <n v="2025"/>
  </r>
  <r>
    <s v="ORD100539"/>
    <d v="2025-08-24T00:00:00"/>
    <x v="1"/>
    <s v="Delhi"/>
    <x v="0"/>
    <x v="0"/>
    <x v="2"/>
    <s v="Notebook"/>
    <x v="522"/>
    <n v="10"/>
    <n v="3261.08"/>
    <n v="0"/>
    <x v="537"/>
    <n v="23546.35"/>
    <n v="9064.4500000000007"/>
    <x v="1"/>
    <s v="UPI"/>
    <s v="August"/>
    <n v="2025"/>
  </r>
  <r>
    <s v="ORD100540"/>
    <d v="2025-01-20T00:00:00"/>
    <x v="0"/>
    <s v="Mumbai"/>
    <x v="6"/>
    <x v="2"/>
    <x v="0"/>
    <s v="Laptop"/>
    <x v="523"/>
    <n v="2"/>
    <n v="1526.1"/>
    <n v="0"/>
    <x v="538"/>
    <n v="1864.46"/>
    <n v="1187.74"/>
    <x v="0"/>
    <s v="Cash"/>
    <s v="January"/>
    <n v="2025"/>
  </r>
  <r>
    <s v="ORD100541"/>
    <d v="2025-11-15T00:00:00"/>
    <x v="1"/>
    <s v="Delhi"/>
    <x v="7"/>
    <x v="1"/>
    <x v="2"/>
    <s v="Printer Ink"/>
    <x v="524"/>
    <n v="6"/>
    <n v="2447.25"/>
    <n v="10"/>
    <x v="539"/>
    <n v="8458.56"/>
    <n v="4756.59"/>
    <x v="1"/>
    <s v="Card"/>
    <s v="November"/>
    <n v="2025"/>
  </r>
  <r>
    <s v="ORD100542"/>
    <d v="2025-04-04T00:00:00"/>
    <x v="2"/>
    <s v="Bengaluru"/>
    <x v="6"/>
    <x v="0"/>
    <x v="0"/>
    <s v="Headphones"/>
    <x v="525"/>
    <n v="10"/>
    <n v="2725.49"/>
    <n v="0"/>
    <x v="540"/>
    <n v="17455.55"/>
    <n v="9799.35"/>
    <x v="0"/>
    <s v="UPI"/>
    <s v="April"/>
    <n v="2025"/>
  </r>
  <r>
    <s v="ORD100543"/>
    <d v="2025-11-15T00:00:00"/>
    <x v="3"/>
    <s v="Bhubaneswar"/>
    <x v="4"/>
    <x v="0"/>
    <x v="1"/>
    <s v="Bookshelf"/>
    <x v="526"/>
    <n v="8"/>
    <n v="3650.86"/>
    <n v="15"/>
    <x v="541"/>
    <n v="19017.86"/>
    <n v="5807.99"/>
    <x v="1"/>
    <s v="Card"/>
    <s v="November"/>
    <n v="2025"/>
  </r>
  <r>
    <s v="ORD100544"/>
    <d v="2025-12-31T00:00:00"/>
    <x v="2"/>
    <s v="Chennai"/>
    <x v="2"/>
    <x v="0"/>
    <x v="1"/>
    <s v="Chair"/>
    <x v="527"/>
    <n v="15"/>
    <n v="1564.11"/>
    <n v="0"/>
    <x v="542"/>
    <n v="13881.79"/>
    <n v="9579.86"/>
    <x v="0"/>
    <s v="Cash"/>
    <s v="December"/>
    <n v="2025"/>
  </r>
  <r>
    <s v="ORD100545"/>
    <d v="2025-10-03T00:00:00"/>
    <x v="3"/>
    <s v="Bhubaneswar"/>
    <x v="3"/>
    <x v="1"/>
    <x v="0"/>
    <s v="Monitor"/>
    <x v="528"/>
    <n v="10"/>
    <n v="517.16"/>
    <n v="0"/>
    <x v="543"/>
    <n v="4138.12"/>
    <n v="1033.48"/>
    <x v="1"/>
    <s v="Net Banking"/>
    <s v="October"/>
    <n v="2025"/>
  </r>
  <r>
    <s v="ORD100546"/>
    <d v="2025-07-21T00:00:00"/>
    <x v="2"/>
    <s v="Bengaluru"/>
    <x v="2"/>
    <x v="2"/>
    <x v="2"/>
    <s v="Pens"/>
    <x v="529"/>
    <n v="8"/>
    <n v="2817.15"/>
    <n v="20"/>
    <x v="544"/>
    <n v="11285.77"/>
    <n v="6743.99"/>
    <x v="0"/>
    <s v="Cash"/>
    <s v="July"/>
    <n v="2025"/>
  </r>
  <r>
    <s v="ORD100547"/>
    <d v="2025-02-07T00:00:00"/>
    <x v="2"/>
    <s v="Bengaluru"/>
    <x v="6"/>
    <x v="1"/>
    <x v="2"/>
    <s v="Pens"/>
    <x v="530"/>
    <n v="12"/>
    <n v="310.95"/>
    <n v="15"/>
    <x v="545"/>
    <n v="2390.88"/>
    <n v="780.81"/>
    <x v="0"/>
    <s v="Card"/>
    <s v="February"/>
    <n v="2025"/>
  </r>
  <r>
    <s v="ORD100548"/>
    <d v="2025-02-20T00:00:00"/>
    <x v="3"/>
    <s v="Bhubaneswar"/>
    <x v="2"/>
    <x v="0"/>
    <x v="1"/>
    <s v="Chair"/>
    <x v="531"/>
    <n v="8"/>
    <n v="4616.58"/>
    <n v="0"/>
    <x v="546"/>
    <n v="21904.93"/>
    <n v="15027.71"/>
    <x v="2"/>
    <s v="Net Banking"/>
    <s v="February"/>
    <n v="2025"/>
  </r>
  <r>
    <s v="ORD100549"/>
    <d v="2025-01-24T00:00:00"/>
    <x v="3"/>
    <s v="Bhubaneswar"/>
    <x v="5"/>
    <x v="0"/>
    <x v="0"/>
    <s v="Mouse"/>
    <x v="532"/>
    <n v="5"/>
    <n v="4546.04"/>
    <n v="20"/>
    <x v="547"/>
    <n v="10159.209999999999"/>
    <n v="8024.95"/>
    <x v="2"/>
    <s v="UPI"/>
    <s v="January"/>
    <n v="2025"/>
  </r>
  <r>
    <s v="ORD100550"/>
    <d v="2025-04-06T00:00:00"/>
    <x v="0"/>
    <s v="Ahmedabad"/>
    <x v="1"/>
    <x v="0"/>
    <x v="2"/>
    <s v="Paper"/>
    <x v="533"/>
    <n v="4"/>
    <n v="2496.6999999999998"/>
    <n v="10"/>
    <x v="548"/>
    <n v="5220.8500000000004"/>
    <n v="3767.27"/>
    <x v="2"/>
    <s v="UPI"/>
    <s v="April"/>
    <n v="2025"/>
  </r>
  <r>
    <s v="ORD100551"/>
    <d v="2025-03-20T00:00:00"/>
    <x v="2"/>
    <s v="Chennai"/>
    <x v="7"/>
    <x v="0"/>
    <x v="2"/>
    <s v="Pens"/>
    <x v="534"/>
    <n v="4"/>
    <n v="3057.92"/>
    <n v="5"/>
    <x v="549"/>
    <n v="6462.33"/>
    <n v="5157.7700000000004"/>
    <x v="1"/>
    <s v="Card"/>
    <s v="March"/>
    <n v="2025"/>
  </r>
  <r>
    <s v="ORD100552"/>
    <d v="2025-10-18T00:00:00"/>
    <x v="1"/>
    <s v="Chandigarh"/>
    <x v="3"/>
    <x v="0"/>
    <x v="1"/>
    <s v="Desk"/>
    <x v="535"/>
    <n v="5"/>
    <n v="3620.19"/>
    <n v="10"/>
    <x v="550"/>
    <n v="9264.18"/>
    <n v="7026.68"/>
    <x v="2"/>
    <s v="Cash"/>
    <s v="October"/>
    <n v="2025"/>
  </r>
  <r>
    <s v="ORD100553"/>
    <d v="2026-06-13T00:00:00"/>
    <x v="1"/>
    <s v="Chandigarh"/>
    <x v="0"/>
    <x v="2"/>
    <x v="1"/>
    <s v="Chair"/>
    <x v="536"/>
    <n v="4"/>
    <n v="1909.95"/>
    <n v="10"/>
    <x v="551"/>
    <n v="5233.3100000000004"/>
    <n v="1642.51"/>
    <x v="2"/>
    <s v="UPI"/>
    <s v="June"/>
    <n v="2026"/>
  </r>
  <r>
    <s v="ORD100554"/>
    <d v="2025-11-25T00:00:00"/>
    <x v="3"/>
    <s v="Bhubaneswar"/>
    <x v="7"/>
    <x v="2"/>
    <x v="2"/>
    <s v="Paper"/>
    <x v="537"/>
    <n v="15"/>
    <n v="2091.11"/>
    <n v="20"/>
    <x v="552"/>
    <n v="18770.009999999998"/>
    <n v="6323.31"/>
    <x v="2"/>
    <s v="Cash"/>
    <s v="November"/>
    <n v="2025"/>
  </r>
  <r>
    <s v="ORD100555"/>
    <d v="2025-03-13T00:00:00"/>
    <x v="3"/>
    <s v="Bhubaneswar"/>
    <x v="5"/>
    <x v="1"/>
    <x v="1"/>
    <s v="Desk"/>
    <x v="538"/>
    <n v="4"/>
    <n v="3277.44"/>
    <n v="5"/>
    <x v="553"/>
    <n v="8496.83"/>
    <n v="3957.44"/>
    <x v="2"/>
    <s v="Card"/>
    <s v="March"/>
    <n v="2025"/>
  </r>
  <r>
    <s v="ORD100556"/>
    <d v="2025-06-17T00:00:00"/>
    <x v="0"/>
    <s v="Mumbai"/>
    <x v="4"/>
    <x v="2"/>
    <x v="1"/>
    <s v="Bookshelf"/>
    <x v="539"/>
    <n v="8"/>
    <n v="1018.18"/>
    <n v="15"/>
    <x v="554"/>
    <n v="4793.6000000000004"/>
    <n v="2130.02"/>
    <x v="0"/>
    <s v="UPI"/>
    <s v="June"/>
    <n v="2025"/>
  </r>
  <r>
    <s v="ORD100557"/>
    <d v="2025-06-09T00:00:00"/>
    <x v="3"/>
    <s v="Kolkata"/>
    <x v="4"/>
    <x v="1"/>
    <x v="0"/>
    <s v="Monitor"/>
    <x v="540"/>
    <n v="12"/>
    <n v="2809.73"/>
    <n v="10"/>
    <x v="555"/>
    <n v="18680.72"/>
    <n v="11664.36"/>
    <x v="1"/>
    <s v="UPI"/>
    <s v="June"/>
    <n v="2025"/>
  </r>
  <r>
    <s v="ORD100558"/>
    <d v="2025-12-26T00:00:00"/>
    <x v="3"/>
    <s v="Bhubaneswar"/>
    <x v="7"/>
    <x v="2"/>
    <x v="1"/>
    <s v="Cabinet"/>
    <x v="541"/>
    <n v="13"/>
    <n v="3905.35"/>
    <n v="0"/>
    <x v="556"/>
    <n v="29547.43"/>
    <n v="21222.12"/>
    <x v="1"/>
    <s v="Card"/>
    <s v="December"/>
    <n v="2025"/>
  </r>
  <r>
    <s v="ORD100559"/>
    <d v="2025-11-06T00:00:00"/>
    <x v="3"/>
    <s v="Kolkata"/>
    <x v="1"/>
    <x v="1"/>
    <x v="2"/>
    <s v="Notebook"/>
    <x v="542"/>
    <n v="11"/>
    <n v="1490.27"/>
    <n v="5"/>
    <x v="557"/>
    <n v="9553.1299999999992"/>
    <n v="6020.19"/>
    <x v="2"/>
    <s v="Net Banking"/>
    <s v="November"/>
    <n v="2025"/>
  </r>
  <r>
    <s v="ORD100560"/>
    <d v="2026-05-22T00:00:00"/>
    <x v="0"/>
    <s v="Mumbai"/>
    <x v="4"/>
    <x v="0"/>
    <x v="2"/>
    <s v="Printer Ink"/>
    <x v="543"/>
    <n v="15"/>
    <n v="4315.8599999999997"/>
    <n v="10"/>
    <x v="558"/>
    <n v="37481.86"/>
    <n v="20782.25"/>
    <x v="0"/>
    <s v="Card"/>
    <s v="May"/>
    <n v="2026"/>
  </r>
  <r>
    <s v="ORD100561"/>
    <d v="2025-12-12T00:00:00"/>
    <x v="0"/>
    <s v="Mumbai"/>
    <x v="0"/>
    <x v="1"/>
    <x v="1"/>
    <s v="Bookshelf"/>
    <x v="544"/>
    <n v="1"/>
    <n v="3028.46"/>
    <n v="0"/>
    <x v="559"/>
    <n v="1679.58"/>
    <n v="1348.88"/>
    <x v="0"/>
    <s v="Card"/>
    <s v="December"/>
    <n v="2025"/>
  </r>
  <r>
    <s v="ORD100562"/>
    <d v="2025-02-11T00:00:00"/>
    <x v="3"/>
    <s v="Kolkata"/>
    <x v="7"/>
    <x v="0"/>
    <x v="2"/>
    <s v="Notebook"/>
    <x v="545"/>
    <n v="11"/>
    <n v="2211.58"/>
    <n v="20"/>
    <x v="560"/>
    <n v="14721.47"/>
    <n v="4740.43"/>
    <x v="0"/>
    <s v="UPI"/>
    <s v="February"/>
    <n v="2025"/>
  </r>
  <r>
    <s v="ORD100563"/>
    <d v="2026-01-04T00:00:00"/>
    <x v="2"/>
    <s v="Chennai"/>
    <x v="4"/>
    <x v="0"/>
    <x v="0"/>
    <s v="Keyboard"/>
    <x v="546"/>
    <n v="5"/>
    <n v="1723.27"/>
    <n v="15"/>
    <x v="561"/>
    <n v="4311.29"/>
    <n v="3012.61"/>
    <x v="2"/>
    <s v="Card"/>
    <s v="January"/>
    <n v="2026"/>
  </r>
  <r>
    <s v="ORD100564"/>
    <d v="2025-08-16T00:00:00"/>
    <x v="1"/>
    <s v="Delhi"/>
    <x v="4"/>
    <x v="2"/>
    <x v="1"/>
    <s v="Table"/>
    <x v="547"/>
    <n v="3"/>
    <n v="1375.02"/>
    <n v="20"/>
    <x v="562"/>
    <n v="2553.9699999999998"/>
    <n v="746.08"/>
    <x v="1"/>
    <s v="Net Banking"/>
    <s v="August"/>
    <n v="2025"/>
  </r>
  <r>
    <s v="ORD100565"/>
    <d v="2026-03-20T00:00:00"/>
    <x v="2"/>
    <s v="Bengaluru"/>
    <x v="5"/>
    <x v="1"/>
    <x v="2"/>
    <s v="Pens"/>
    <x v="548"/>
    <n v="3"/>
    <n v="4699.3500000000004"/>
    <n v="15"/>
    <x v="563"/>
    <n v="7477.64"/>
    <n v="4505.7"/>
    <x v="0"/>
    <s v="Net Banking"/>
    <s v="March"/>
    <n v="2026"/>
  </r>
  <r>
    <s v="ORD100566"/>
    <d v="2025-04-29T00:00:00"/>
    <x v="0"/>
    <s v="Mumbai"/>
    <x v="7"/>
    <x v="1"/>
    <x v="1"/>
    <s v="Table"/>
    <x v="549"/>
    <n v="6"/>
    <n v="519.87"/>
    <n v="20"/>
    <x v="564"/>
    <n v="1998.98"/>
    <n v="496.4"/>
    <x v="2"/>
    <s v="Net Banking"/>
    <s v="April"/>
    <n v="2025"/>
  </r>
  <r>
    <s v="ORD100567"/>
    <d v="2026-06-30T00:00:00"/>
    <x v="1"/>
    <s v="Chandigarh"/>
    <x v="0"/>
    <x v="0"/>
    <x v="0"/>
    <s v="Laptop"/>
    <x v="550"/>
    <n v="9"/>
    <n v="3551.77"/>
    <n v="15"/>
    <x v="565"/>
    <n v="21956.16"/>
    <n v="5214.88"/>
    <x v="1"/>
    <s v="UPI"/>
    <s v="June"/>
    <n v="2026"/>
  </r>
  <r>
    <s v="ORD100568"/>
    <d v="2025-07-06T00:00:00"/>
    <x v="2"/>
    <s v="Chennai"/>
    <x v="3"/>
    <x v="1"/>
    <x v="0"/>
    <s v="Mouse"/>
    <x v="551"/>
    <n v="7"/>
    <n v="2588.41"/>
    <n v="15"/>
    <x v="566"/>
    <n v="12068.67"/>
    <n v="3332.37"/>
    <x v="2"/>
    <s v="Net Banking"/>
    <s v="July"/>
    <n v="2025"/>
  </r>
  <r>
    <s v="ORD100569"/>
    <d v="2026-01-18T00:00:00"/>
    <x v="0"/>
    <s v="Ahmedabad"/>
    <x v="5"/>
    <x v="2"/>
    <x v="0"/>
    <s v="Laptop"/>
    <x v="552"/>
    <n v="8"/>
    <n v="3612.76"/>
    <n v="15"/>
    <x v="567"/>
    <n v="15657.97"/>
    <n v="8908.7999999999993"/>
    <x v="1"/>
    <s v="Cash"/>
    <s v="January"/>
    <n v="2026"/>
  </r>
  <r>
    <s v="ORD100570"/>
    <d v="2025-10-28T00:00:00"/>
    <x v="0"/>
    <s v="Mumbai"/>
    <x v="3"/>
    <x v="0"/>
    <x v="1"/>
    <s v="Bookshelf"/>
    <x v="553"/>
    <n v="4"/>
    <n v="822.78"/>
    <n v="20"/>
    <x v="568"/>
    <n v="1525.58"/>
    <n v="1107.32"/>
    <x v="1"/>
    <s v="Cash"/>
    <s v="October"/>
    <n v="2025"/>
  </r>
  <r>
    <s v="ORD100571"/>
    <d v="2025-09-02T00:00:00"/>
    <x v="3"/>
    <s v="Bhubaneswar"/>
    <x v="4"/>
    <x v="2"/>
    <x v="0"/>
    <s v="Headphones"/>
    <x v="554"/>
    <n v="8"/>
    <n v="4742.8"/>
    <n v="15"/>
    <x v="569"/>
    <n v="24546.97"/>
    <n v="7704.07"/>
    <x v="2"/>
    <s v="Card"/>
    <s v="September"/>
    <n v="2025"/>
  </r>
  <r>
    <s v="ORD100572"/>
    <d v="2025-12-31T00:00:00"/>
    <x v="2"/>
    <s v="Chennai"/>
    <x v="4"/>
    <x v="0"/>
    <x v="1"/>
    <s v="Cabinet"/>
    <x v="555"/>
    <n v="12"/>
    <n v="3477.69"/>
    <n v="15"/>
    <x v="570"/>
    <n v="20973.11"/>
    <n v="14499.33"/>
    <x v="1"/>
    <s v="UPI"/>
    <s v="December"/>
    <n v="2025"/>
  </r>
  <r>
    <s v="ORD100573"/>
    <d v="2026-03-15T00:00:00"/>
    <x v="1"/>
    <s v="Delhi"/>
    <x v="1"/>
    <x v="2"/>
    <x v="1"/>
    <s v="Bookshelf"/>
    <x v="556"/>
    <n v="13"/>
    <n v="4276.16"/>
    <n v="20"/>
    <x v="571"/>
    <n v="31372.05"/>
    <n v="13100.01"/>
    <x v="2"/>
    <s v="Net Banking"/>
    <s v="March"/>
    <n v="2026"/>
  </r>
  <r>
    <s v="ORD100574"/>
    <d v="2025-10-09T00:00:00"/>
    <x v="2"/>
    <s v="Chennai"/>
    <x v="0"/>
    <x v="2"/>
    <x v="2"/>
    <s v="Printer Ink"/>
    <x v="557"/>
    <n v="3"/>
    <n v="4160.55"/>
    <n v="20"/>
    <x v="572"/>
    <n v="7455.24"/>
    <n v="2530.08"/>
    <x v="1"/>
    <s v="Cash"/>
    <s v="October"/>
    <n v="2025"/>
  </r>
  <r>
    <s v="ORD100575"/>
    <d v="2026-03-15T00:00:00"/>
    <x v="3"/>
    <s v="Bhubaneswar"/>
    <x v="2"/>
    <x v="0"/>
    <x v="1"/>
    <s v="Table"/>
    <x v="13"/>
    <n v="1"/>
    <n v="3693.58"/>
    <n v="10"/>
    <x v="573"/>
    <n v="2051.77"/>
    <n v="1272.45"/>
    <x v="2"/>
    <s v="Net Banking"/>
    <s v="March"/>
    <n v="2026"/>
  </r>
  <r>
    <s v="ORD100576"/>
    <d v="2026-04-19T00:00:00"/>
    <x v="0"/>
    <s v="Ahmedabad"/>
    <x v="0"/>
    <x v="0"/>
    <x v="1"/>
    <s v="Chair"/>
    <x v="558"/>
    <n v="15"/>
    <n v="3251.79"/>
    <n v="10"/>
    <x v="574"/>
    <n v="27292.06"/>
    <n v="16607.11"/>
    <x v="0"/>
    <s v="Card"/>
    <s v="April"/>
    <n v="2026"/>
  </r>
  <r>
    <s v="ORD100577"/>
    <d v="2026-06-05T00:00:00"/>
    <x v="3"/>
    <s v="Kolkata"/>
    <x v="3"/>
    <x v="0"/>
    <x v="2"/>
    <s v="Pens"/>
    <x v="559"/>
    <n v="3"/>
    <n v="1886.34"/>
    <n v="20"/>
    <x v="575"/>
    <n v="3094.79"/>
    <n v="1432.43"/>
    <x v="2"/>
    <s v="Cash"/>
    <s v="June"/>
    <n v="2026"/>
  </r>
  <r>
    <s v="ORD100578"/>
    <d v="2025-09-14T00:00:00"/>
    <x v="3"/>
    <s v="Kolkata"/>
    <x v="5"/>
    <x v="0"/>
    <x v="0"/>
    <s v="Monitor"/>
    <x v="560"/>
    <n v="10"/>
    <n v="4066.21"/>
    <n v="0"/>
    <x v="576"/>
    <n v="22712.83"/>
    <n v="17949.27"/>
    <x v="2"/>
    <s v="UPI"/>
    <s v="September"/>
    <n v="2025"/>
  </r>
  <r>
    <s v="ORD100579"/>
    <d v="2025-01-01T00:00:00"/>
    <x v="3"/>
    <s v="Bhubaneswar"/>
    <x v="5"/>
    <x v="0"/>
    <x v="2"/>
    <s v="Pens"/>
    <x v="561"/>
    <n v="15"/>
    <n v="2482.91"/>
    <n v="15"/>
    <x v="577"/>
    <n v="20666.169999999998"/>
    <n v="10990.93"/>
    <x v="2"/>
    <s v="Net Banking"/>
    <s v="January"/>
    <n v="2025"/>
  </r>
  <r>
    <s v="ORD100580"/>
    <d v="2025-12-13T00:00:00"/>
    <x v="2"/>
    <s v="Bengaluru"/>
    <x v="1"/>
    <x v="1"/>
    <x v="0"/>
    <s v="Laptop"/>
    <x v="562"/>
    <n v="5"/>
    <n v="371.74"/>
    <n v="5"/>
    <x v="578"/>
    <n v="1084.56"/>
    <n v="681.2"/>
    <x v="1"/>
    <s v="Card"/>
    <s v="December"/>
    <n v="2025"/>
  </r>
  <r>
    <s v="ORD100581"/>
    <d v="2025-05-17T00:00:00"/>
    <x v="3"/>
    <s v="Kolkata"/>
    <x v="2"/>
    <x v="0"/>
    <x v="0"/>
    <s v="Laptop"/>
    <x v="563"/>
    <n v="7"/>
    <n v="407.62"/>
    <n v="5"/>
    <x v="579"/>
    <n v="1615"/>
    <n v="1095.67"/>
    <x v="2"/>
    <s v="Cash"/>
    <s v="May"/>
    <n v="2025"/>
  </r>
  <r>
    <s v="ORD100582"/>
    <d v="2025-07-18T00:00:00"/>
    <x v="3"/>
    <s v="Kolkata"/>
    <x v="4"/>
    <x v="1"/>
    <x v="1"/>
    <s v="Bookshelf"/>
    <x v="564"/>
    <n v="6"/>
    <n v="3808"/>
    <n v="15"/>
    <x v="580"/>
    <n v="11004.32"/>
    <n v="8416.48"/>
    <x v="2"/>
    <s v="Net Banking"/>
    <s v="July"/>
    <n v="2025"/>
  </r>
  <r>
    <s v="ORD100583"/>
    <d v="2025-08-16T00:00:00"/>
    <x v="0"/>
    <s v="Ahmedabad"/>
    <x v="1"/>
    <x v="1"/>
    <x v="1"/>
    <s v="Cabinet"/>
    <x v="565"/>
    <n v="4"/>
    <n v="1275.0899999999999"/>
    <n v="5"/>
    <x v="581"/>
    <n v="3538.89"/>
    <n v="1306.45"/>
    <x v="0"/>
    <s v="Net Banking"/>
    <s v="August"/>
    <n v="2025"/>
  </r>
  <r>
    <s v="ORD100584"/>
    <d v="2025-08-25T00:00:00"/>
    <x v="1"/>
    <s v="Chandigarh"/>
    <x v="0"/>
    <x v="0"/>
    <x v="2"/>
    <s v="Paper"/>
    <x v="566"/>
    <n v="3"/>
    <n v="1597.7"/>
    <n v="5"/>
    <x v="582"/>
    <n v="2585.77"/>
    <n v="1967.67"/>
    <x v="2"/>
    <s v="Card"/>
    <s v="August"/>
    <n v="2025"/>
  </r>
  <r>
    <s v="ORD100585"/>
    <d v="2025-08-22T00:00:00"/>
    <x v="3"/>
    <s v="Kolkata"/>
    <x v="2"/>
    <x v="2"/>
    <x v="1"/>
    <s v="Chair"/>
    <x v="567"/>
    <n v="3"/>
    <n v="4034.23"/>
    <n v="0"/>
    <x v="583"/>
    <n v="9422.15"/>
    <n v="2680.54"/>
    <x v="2"/>
    <s v="Card"/>
    <s v="August"/>
    <n v="2025"/>
  </r>
  <r>
    <s v="ORD100586"/>
    <d v="2025-12-18T00:00:00"/>
    <x v="0"/>
    <s v="Ahmedabad"/>
    <x v="4"/>
    <x v="1"/>
    <x v="1"/>
    <s v="Cabinet"/>
    <x v="568"/>
    <n v="7"/>
    <n v="1644.52"/>
    <n v="15"/>
    <x v="584"/>
    <n v="6898.24"/>
    <n v="2886.65"/>
    <x v="1"/>
    <s v="Cash"/>
    <s v="December"/>
    <n v="2025"/>
  </r>
  <r>
    <s v="ORD100587"/>
    <d v="2026-03-24T00:00:00"/>
    <x v="2"/>
    <s v="Bengaluru"/>
    <x v="6"/>
    <x v="1"/>
    <x v="2"/>
    <s v="Printer Ink"/>
    <x v="569"/>
    <n v="15"/>
    <n v="4446.4399999999996"/>
    <n v="5"/>
    <x v="585"/>
    <n v="39953.96"/>
    <n v="23407.81"/>
    <x v="1"/>
    <s v="Cash"/>
    <s v="March"/>
    <n v="2026"/>
  </r>
  <r>
    <s v="ORD100588"/>
    <d v="2026-05-27T00:00:00"/>
    <x v="1"/>
    <s v="Chandigarh"/>
    <x v="2"/>
    <x v="2"/>
    <x v="0"/>
    <s v="Keyboard"/>
    <x v="570"/>
    <n v="13"/>
    <n v="4730.75"/>
    <n v="15"/>
    <x v="586"/>
    <n v="37583.31"/>
    <n v="14691.48"/>
    <x v="1"/>
    <s v="Net Banking"/>
    <s v="May"/>
    <n v="2026"/>
  </r>
  <r>
    <s v="ORD100589"/>
    <d v="2026-03-04T00:00:00"/>
    <x v="0"/>
    <s v="Mumbai"/>
    <x v="5"/>
    <x v="1"/>
    <x v="1"/>
    <s v="Chair"/>
    <x v="571"/>
    <n v="14"/>
    <n v="3585.11"/>
    <n v="10"/>
    <x v="587"/>
    <n v="34495.5"/>
    <n v="10676.89"/>
    <x v="2"/>
    <s v="UPI"/>
    <s v="March"/>
    <n v="2026"/>
  </r>
  <r>
    <s v="ORD100590"/>
    <d v="2025-08-20T00:00:00"/>
    <x v="2"/>
    <s v="Bengaluru"/>
    <x v="2"/>
    <x v="2"/>
    <x v="0"/>
    <s v="Monitor"/>
    <x v="572"/>
    <n v="12"/>
    <n v="921.73"/>
    <n v="0"/>
    <x v="588"/>
    <n v="8393.98"/>
    <n v="2666.78"/>
    <x v="2"/>
    <s v="Cash"/>
    <s v="August"/>
    <n v="2025"/>
  </r>
  <r>
    <s v="ORD100591"/>
    <d v="2025-09-12T00:00:00"/>
    <x v="3"/>
    <s v="Kolkata"/>
    <x v="0"/>
    <x v="1"/>
    <x v="0"/>
    <s v="Keyboard"/>
    <x v="573"/>
    <n v="11"/>
    <n v="1578.5"/>
    <n v="0"/>
    <x v="589"/>
    <n v="10847.63"/>
    <n v="6515.87"/>
    <x v="0"/>
    <s v="Net Banking"/>
    <s v="September"/>
    <n v="2025"/>
  </r>
  <r>
    <s v="ORD100592"/>
    <d v="2026-03-05T00:00:00"/>
    <x v="3"/>
    <s v="Kolkata"/>
    <x v="4"/>
    <x v="2"/>
    <x v="0"/>
    <s v="Mouse"/>
    <x v="574"/>
    <n v="15"/>
    <n v="1919.77"/>
    <n v="20"/>
    <x v="590"/>
    <n v="14868.56"/>
    <n v="8168.68"/>
    <x v="2"/>
    <s v="UPI"/>
    <s v="March"/>
    <n v="2026"/>
  </r>
  <r>
    <s v="ORD100593"/>
    <d v="2026-01-09T00:00:00"/>
    <x v="2"/>
    <s v="Bengaluru"/>
    <x v="7"/>
    <x v="2"/>
    <x v="0"/>
    <s v="Mouse"/>
    <x v="575"/>
    <n v="14"/>
    <n v="4140.03"/>
    <n v="10"/>
    <x v="591"/>
    <n v="40888.69"/>
    <n v="11275.69"/>
    <x v="0"/>
    <s v="Card"/>
    <s v="January"/>
    <n v="2026"/>
  </r>
  <r>
    <s v="ORD100594"/>
    <d v="2025-02-01T00:00:00"/>
    <x v="1"/>
    <s v="Chandigarh"/>
    <x v="7"/>
    <x v="0"/>
    <x v="2"/>
    <s v="Paper"/>
    <x v="576"/>
    <n v="9"/>
    <n v="4982.3100000000004"/>
    <n v="0"/>
    <x v="592"/>
    <n v="33591.410000000003"/>
    <n v="11249.38"/>
    <x v="0"/>
    <s v="Net Banking"/>
    <s v="February"/>
    <n v="2025"/>
  </r>
  <r>
    <s v="ORD100595"/>
    <d v="2026-06-28T00:00:00"/>
    <x v="3"/>
    <s v="Bhubaneswar"/>
    <x v="2"/>
    <x v="1"/>
    <x v="2"/>
    <s v="Notebook"/>
    <x v="577"/>
    <n v="1"/>
    <n v="706.01"/>
    <n v="5"/>
    <x v="593"/>
    <n v="384.53"/>
    <n v="286.18"/>
    <x v="1"/>
    <s v="UPI"/>
    <s v="June"/>
    <n v="2026"/>
  </r>
  <r>
    <s v="ORD100596"/>
    <d v="2025-08-24T00:00:00"/>
    <x v="2"/>
    <s v="Bengaluru"/>
    <x v="1"/>
    <x v="0"/>
    <x v="1"/>
    <s v="Bookshelf"/>
    <x v="578"/>
    <n v="4"/>
    <n v="900.4"/>
    <n v="10"/>
    <x v="594"/>
    <n v="2232.44"/>
    <n v="1009"/>
    <x v="2"/>
    <s v="UPI"/>
    <s v="August"/>
    <n v="2025"/>
  </r>
  <r>
    <s v="ORD100597"/>
    <d v="2025-02-23T00:00:00"/>
    <x v="1"/>
    <s v="Chandigarh"/>
    <x v="2"/>
    <x v="2"/>
    <x v="1"/>
    <s v="Desk"/>
    <x v="579"/>
    <n v="13"/>
    <n v="559.86"/>
    <n v="0"/>
    <x v="595"/>
    <n v="4847.4399999999996"/>
    <n v="2430.7399999999998"/>
    <x v="1"/>
    <s v="UPI"/>
    <s v="February"/>
    <n v="2025"/>
  </r>
  <r>
    <s v="ORD100598"/>
    <d v="2026-01-04T00:00:00"/>
    <x v="1"/>
    <s v="Delhi"/>
    <x v="3"/>
    <x v="0"/>
    <x v="0"/>
    <s v="Keyboard"/>
    <x v="580"/>
    <n v="11"/>
    <n v="4985.49"/>
    <n v="20"/>
    <x v="596"/>
    <n v="29196.73"/>
    <n v="14675.58"/>
    <x v="0"/>
    <s v="Net Banking"/>
    <s v="January"/>
    <n v="2026"/>
  </r>
  <r>
    <s v="ORD100599"/>
    <d v="2026-06-29T00:00:00"/>
    <x v="1"/>
    <s v="Delhi"/>
    <x v="2"/>
    <x v="0"/>
    <x v="0"/>
    <s v="Monitor"/>
    <x v="581"/>
    <n v="8"/>
    <n v="248.85"/>
    <n v="0"/>
    <x v="597"/>
    <n v="1611.61"/>
    <n v="379.19"/>
    <x v="0"/>
    <s v="Net Banking"/>
    <s v="June"/>
    <n v="2026"/>
  </r>
  <r>
    <s v="ORD100600"/>
    <d v="2025-09-20T00:00:00"/>
    <x v="2"/>
    <s v="Chennai"/>
    <x v="2"/>
    <x v="0"/>
    <x v="1"/>
    <s v="Table"/>
    <x v="582"/>
    <n v="15"/>
    <n v="2253.36"/>
    <n v="5"/>
    <x v="598"/>
    <n v="24383.53"/>
    <n v="7726.85"/>
    <x v="1"/>
    <s v="Net Banking"/>
    <s v="September"/>
    <n v="2025"/>
  </r>
  <r>
    <s v="ORD100601"/>
    <d v="2026-01-09T00:00:00"/>
    <x v="3"/>
    <s v="Bhubaneswar"/>
    <x v="0"/>
    <x v="0"/>
    <x v="2"/>
    <s v="Folders"/>
    <x v="583"/>
    <n v="1"/>
    <n v="3955.97"/>
    <n v="0"/>
    <x v="599"/>
    <n v="3236.12"/>
    <n v="719.85"/>
    <x v="0"/>
    <s v="Card"/>
    <s v="January"/>
    <n v="2026"/>
  </r>
  <r>
    <s v="ORD100602"/>
    <d v="2025-02-11T00:00:00"/>
    <x v="2"/>
    <s v="Bengaluru"/>
    <x v="0"/>
    <x v="0"/>
    <x v="2"/>
    <s v="Printer Ink"/>
    <x v="584"/>
    <n v="3"/>
    <n v="3239.74"/>
    <n v="0"/>
    <x v="600"/>
    <n v="6310.18"/>
    <n v="3409.04"/>
    <x v="2"/>
    <s v="Net Banking"/>
    <s v="February"/>
    <n v="2025"/>
  </r>
  <r>
    <s v="ORD100603"/>
    <d v="2025-09-06T00:00:00"/>
    <x v="1"/>
    <s v="Chandigarh"/>
    <x v="3"/>
    <x v="1"/>
    <x v="0"/>
    <s v="Headphones"/>
    <x v="585"/>
    <n v="6"/>
    <n v="2696.91"/>
    <n v="20"/>
    <x v="601"/>
    <n v="7360.9"/>
    <n v="5584.27"/>
    <x v="1"/>
    <s v="Cash"/>
    <s v="September"/>
    <n v="2025"/>
  </r>
  <r>
    <s v="ORD100604"/>
    <d v="2025-01-13T00:00:00"/>
    <x v="2"/>
    <s v="Chennai"/>
    <x v="5"/>
    <x v="0"/>
    <x v="1"/>
    <s v="Cabinet"/>
    <x v="586"/>
    <n v="14"/>
    <n v="3288.99"/>
    <n v="0"/>
    <x v="602"/>
    <n v="25423.33"/>
    <n v="20622.53"/>
    <x v="1"/>
    <s v="UPI"/>
    <s v="January"/>
    <n v="2025"/>
  </r>
  <r>
    <s v="ORD100605"/>
    <d v="2026-04-28T00:00:00"/>
    <x v="1"/>
    <s v="Delhi"/>
    <x v="5"/>
    <x v="1"/>
    <x v="1"/>
    <s v="Cabinet"/>
    <x v="587"/>
    <n v="15"/>
    <n v="4284.8500000000004"/>
    <n v="20"/>
    <x v="603"/>
    <n v="30726.21"/>
    <n v="20691.990000000002"/>
    <x v="1"/>
    <s v="Net Banking"/>
    <s v="April"/>
    <n v="2026"/>
  </r>
  <r>
    <s v="ORD100606"/>
    <d v="2025-04-19T00:00:00"/>
    <x v="1"/>
    <s v="Chandigarh"/>
    <x v="3"/>
    <x v="1"/>
    <x v="0"/>
    <s v="Mouse"/>
    <x v="588"/>
    <n v="14"/>
    <n v="1270.3499999999999"/>
    <n v="15"/>
    <x v="604"/>
    <n v="9886.5300000000007"/>
    <n v="5230.63"/>
    <x v="1"/>
    <s v="Cash"/>
    <s v="April"/>
    <n v="2025"/>
  </r>
  <r>
    <s v="ORD100607"/>
    <d v="2025-01-24T00:00:00"/>
    <x v="1"/>
    <s v="Chandigarh"/>
    <x v="4"/>
    <x v="2"/>
    <x v="1"/>
    <s v="Bookshelf"/>
    <x v="589"/>
    <n v="3"/>
    <n v="1758.43"/>
    <n v="5"/>
    <x v="605"/>
    <n v="3423.1"/>
    <n v="1588.43"/>
    <x v="2"/>
    <s v="Card"/>
    <s v="January"/>
    <n v="2025"/>
  </r>
  <r>
    <s v="ORD100608"/>
    <d v="2026-03-06T00:00:00"/>
    <x v="2"/>
    <s v="Chennai"/>
    <x v="4"/>
    <x v="2"/>
    <x v="1"/>
    <s v="Cabinet"/>
    <x v="590"/>
    <n v="9"/>
    <n v="1019.51"/>
    <n v="20"/>
    <x v="606"/>
    <n v="4813.37"/>
    <n v="2527.1"/>
    <x v="0"/>
    <s v="Card"/>
    <s v="March"/>
    <n v="2026"/>
  </r>
  <r>
    <s v="ORD100609"/>
    <d v="2025-05-23T00:00:00"/>
    <x v="2"/>
    <s v="Bengaluru"/>
    <x v="5"/>
    <x v="0"/>
    <x v="1"/>
    <s v="Cabinet"/>
    <x v="591"/>
    <n v="3"/>
    <n v="2521.31"/>
    <n v="0"/>
    <x v="607"/>
    <n v="5156"/>
    <n v="2407.9299999999998"/>
    <x v="0"/>
    <s v="Cash"/>
    <s v="May"/>
    <n v="2025"/>
  </r>
  <r>
    <s v="ORD100610"/>
    <d v="2025-11-08T00:00:00"/>
    <x v="1"/>
    <s v="Delhi"/>
    <x v="7"/>
    <x v="1"/>
    <x v="2"/>
    <s v="Paper"/>
    <x v="592"/>
    <n v="6"/>
    <n v="1496.44"/>
    <n v="10"/>
    <x v="608"/>
    <n v="6086.03"/>
    <n v="1994.75"/>
    <x v="0"/>
    <s v="UPI"/>
    <s v="November"/>
    <n v="2025"/>
  </r>
  <r>
    <s v="ORD100611"/>
    <d v="2025-05-17T00:00:00"/>
    <x v="0"/>
    <s v="Mumbai"/>
    <x v="7"/>
    <x v="0"/>
    <x v="1"/>
    <s v="Table"/>
    <x v="593"/>
    <n v="5"/>
    <n v="4477.79"/>
    <n v="15"/>
    <x v="609"/>
    <n v="14536.99"/>
    <n v="4493.62"/>
    <x v="1"/>
    <s v="Net Banking"/>
    <s v="May"/>
    <n v="2025"/>
  </r>
  <r>
    <s v="ORD100612"/>
    <d v="2025-07-13T00:00:00"/>
    <x v="1"/>
    <s v="Chandigarh"/>
    <x v="3"/>
    <x v="0"/>
    <x v="0"/>
    <s v="Monitor"/>
    <x v="131"/>
    <n v="3"/>
    <n v="1080.5899999999999"/>
    <n v="15"/>
    <x v="610"/>
    <n v="1917.87"/>
    <n v="837.63"/>
    <x v="0"/>
    <s v="Card"/>
    <s v="July"/>
    <n v="2025"/>
  </r>
  <r>
    <s v="ORD100613"/>
    <d v="2025-09-27T00:00:00"/>
    <x v="0"/>
    <s v="Ahmedabad"/>
    <x v="4"/>
    <x v="1"/>
    <x v="1"/>
    <s v="Chair"/>
    <x v="594"/>
    <n v="7"/>
    <n v="4044.83"/>
    <n v="5"/>
    <x v="611"/>
    <n v="18296.650000000001"/>
    <n v="8601.4699999999993"/>
    <x v="0"/>
    <s v="UPI"/>
    <s v="September"/>
    <n v="2025"/>
  </r>
  <r>
    <s v="ORD100614"/>
    <d v="2025-01-14T00:00:00"/>
    <x v="3"/>
    <s v="Bhubaneswar"/>
    <x v="0"/>
    <x v="1"/>
    <x v="2"/>
    <s v="Printer Ink"/>
    <x v="595"/>
    <n v="12"/>
    <n v="4029.56"/>
    <n v="5"/>
    <x v="612"/>
    <n v="30928.17"/>
    <n v="15008.81"/>
    <x v="2"/>
    <s v="Net Banking"/>
    <s v="January"/>
    <n v="2025"/>
  </r>
  <r>
    <s v="ORD100615"/>
    <d v="2025-11-13T00:00:00"/>
    <x v="1"/>
    <s v="Delhi"/>
    <x v="2"/>
    <x v="0"/>
    <x v="2"/>
    <s v="Folders"/>
    <x v="596"/>
    <n v="1"/>
    <n v="2752.58"/>
    <n v="15"/>
    <x v="613"/>
    <n v="1835.81"/>
    <n v="503.88"/>
    <x v="1"/>
    <s v="Card"/>
    <s v="November"/>
    <n v="2025"/>
  </r>
  <r>
    <s v="ORD100616"/>
    <d v="2025-06-20T00:00:00"/>
    <x v="2"/>
    <s v="Bengaluru"/>
    <x v="3"/>
    <x v="2"/>
    <x v="2"/>
    <s v="Printer Ink"/>
    <x v="597"/>
    <n v="9"/>
    <n v="1598.38"/>
    <n v="10"/>
    <x v="614"/>
    <n v="10605.79"/>
    <n v="2341.09"/>
    <x v="1"/>
    <s v="Cash"/>
    <s v="June"/>
    <n v="2025"/>
  </r>
  <r>
    <s v="ORD100617"/>
    <d v="2026-06-02T00:00:00"/>
    <x v="2"/>
    <s v="Bengaluru"/>
    <x v="7"/>
    <x v="1"/>
    <x v="1"/>
    <s v="Bookshelf"/>
    <x v="598"/>
    <n v="10"/>
    <n v="3311.76"/>
    <n v="0"/>
    <x v="615"/>
    <n v="24494.85"/>
    <n v="8622.75"/>
    <x v="1"/>
    <s v="Cash"/>
    <s v="June"/>
    <n v="2026"/>
  </r>
  <r>
    <s v="ORD100618"/>
    <d v="2025-11-27T00:00:00"/>
    <x v="2"/>
    <s v="Chennai"/>
    <x v="0"/>
    <x v="2"/>
    <x v="0"/>
    <s v="Headphones"/>
    <x v="599"/>
    <n v="9"/>
    <n v="4116.2299999999996"/>
    <n v="5"/>
    <x v="616"/>
    <n v="20350.53"/>
    <n v="14843.24"/>
    <x v="2"/>
    <s v="Cash"/>
    <s v="November"/>
    <n v="2025"/>
  </r>
  <r>
    <s v="ORD100619"/>
    <d v="2025-09-23T00:00:00"/>
    <x v="0"/>
    <s v="Mumbai"/>
    <x v="2"/>
    <x v="2"/>
    <x v="2"/>
    <s v="Paper"/>
    <x v="600"/>
    <n v="6"/>
    <n v="4932.3100000000004"/>
    <n v="10"/>
    <x v="617"/>
    <n v="20430.39"/>
    <n v="6204.08"/>
    <x v="2"/>
    <s v="Net Banking"/>
    <s v="September"/>
    <n v="2025"/>
  </r>
  <r>
    <s v="ORD100620"/>
    <d v="2026-01-01T00:00:00"/>
    <x v="3"/>
    <s v="Kolkata"/>
    <x v="2"/>
    <x v="2"/>
    <x v="0"/>
    <s v="Laptop"/>
    <x v="601"/>
    <n v="11"/>
    <n v="3579.65"/>
    <n v="20"/>
    <x v="618"/>
    <n v="18183.009999999998"/>
    <n v="13317.91"/>
    <x v="2"/>
    <s v="Card"/>
    <s v="January"/>
    <n v="2026"/>
  </r>
  <r>
    <s v="ORD100621"/>
    <d v="2025-08-31T00:00:00"/>
    <x v="3"/>
    <s v="Kolkata"/>
    <x v="4"/>
    <x v="1"/>
    <x v="2"/>
    <s v="Pens"/>
    <x v="602"/>
    <n v="3"/>
    <n v="1071.68"/>
    <n v="0"/>
    <x v="619"/>
    <n v="2474.9499999999998"/>
    <n v="740.09"/>
    <x v="0"/>
    <s v="Card"/>
    <s v="August"/>
    <n v="2025"/>
  </r>
  <r>
    <s v="ORD100622"/>
    <d v="2025-12-19T00:00:00"/>
    <x v="1"/>
    <s v="Chandigarh"/>
    <x v="1"/>
    <x v="0"/>
    <x v="1"/>
    <s v="Cabinet"/>
    <x v="603"/>
    <n v="14"/>
    <n v="2013.69"/>
    <n v="10"/>
    <x v="620"/>
    <n v="17760.75"/>
    <n v="7611.74"/>
    <x v="0"/>
    <s v="Cash"/>
    <s v="December"/>
    <n v="2025"/>
  </r>
  <r>
    <s v="ORD100623"/>
    <d v="2025-02-18T00:00:00"/>
    <x v="3"/>
    <s v="Kolkata"/>
    <x v="2"/>
    <x v="2"/>
    <x v="0"/>
    <s v="Monitor"/>
    <x v="604"/>
    <n v="8"/>
    <n v="933.85"/>
    <n v="5"/>
    <x v="621"/>
    <n v="4920.08"/>
    <n v="2177.1799999999998"/>
    <x v="2"/>
    <s v="Cash"/>
    <s v="February"/>
    <n v="2025"/>
  </r>
  <r>
    <s v="ORD100624"/>
    <d v="2025-10-04T00:00:00"/>
    <x v="2"/>
    <s v="Bengaluru"/>
    <x v="1"/>
    <x v="0"/>
    <x v="2"/>
    <s v="Paper"/>
    <x v="605"/>
    <n v="15"/>
    <n v="1796.47"/>
    <n v="10"/>
    <x v="622"/>
    <n v="18549.240000000002"/>
    <n v="5703.11"/>
    <x v="2"/>
    <s v="Card"/>
    <s v="October"/>
    <n v="2025"/>
  </r>
  <r>
    <s v="ORD100625"/>
    <d v="2025-04-19T00:00:00"/>
    <x v="1"/>
    <s v="Chandigarh"/>
    <x v="4"/>
    <x v="2"/>
    <x v="1"/>
    <s v="Cabinet"/>
    <x v="606"/>
    <n v="3"/>
    <n v="3913.97"/>
    <n v="10"/>
    <x v="623"/>
    <n v="7012.65"/>
    <n v="3555.07"/>
    <x v="1"/>
    <s v="Card"/>
    <s v="April"/>
    <n v="2025"/>
  </r>
  <r>
    <s v="ORD100626"/>
    <d v="2026-05-04T00:00:00"/>
    <x v="3"/>
    <s v="Bhubaneswar"/>
    <x v="6"/>
    <x v="2"/>
    <x v="1"/>
    <s v="Bookshelf"/>
    <x v="607"/>
    <n v="2"/>
    <n v="616.42999999999995"/>
    <n v="20"/>
    <x v="624"/>
    <n v="708.12"/>
    <n v="278.17"/>
    <x v="1"/>
    <s v="UPI"/>
    <s v="May"/>
    <n v="2026"/>
  </r>
  <r>
    <s v="ORD100627"/>
    <d v="2025-04-13T00:00:00"/>
    <x v="2"/>
    <s v="Chennai"/>
    <x v="5"/>
    <x v="2"/>
    <x v="0"/>
    <s v="Mouse"/>
    <x v="608"/>
    <n v="14"/>
    <n v="2973.84"/>
    <n v="0"/>
    <x v="625"/>
    <n v="25093.27"/>
    <n v="16540.490000000002"/>
    <x v="2"/>
    <s v="Card"/>
    <s v="April"/>
    <n v="2025"/>
  </r>
  <r>
    <s v="ORD100628"/>
    <d v="2026-05-04T00:00:00"/>
    <x v="1"/>
    <s v="Chandigarh"/>
    <x v="3"/>
    <x v="1"/>
    <x v="2"/>
    <s v="Notebook"/>
    <x v="609"/>
    <n v="13"/>
    <n v="333.56"/>
    <n v="15"/>
    <x v="626"/>
    <n v="2542.7800000000002"/>
    <n v="1143.06"/>
    <x v="0"/>
    <s v="Cash"/>
    <s v="May"/>
    <n v="2026"/>
  </r>
  <r>
    <s v="ORD100629"/>
    <d v="2026-04-29T00:00:00"/>
    <x v="3"/>
    <s v="Bhubaneswar"/>
    <x v="0"/>
    <x v="1"/>
    <x v="1"/>
    <s v="Table"/>
    <x v="610"/>
    <n v="15"/>
    <n v="2582.2399999999998"/>
    <n v="10"/>
    <x v="627"/>
    <n v="20410.2"/>
    <n v="14450.04"/>
    <x v="2"/>
    <s v="Card"/>
    <s v="April"/>
    <n v="2026"/>
  </r>
  <r>
    <s v="ORD100630"/>
    <d v="2025-12-19T00:00:00"/>
    <x v="1"/>
    <s v="Delhi"/>
    <x v="3"/>
    <x v="1"/>
    <x v="0"/>
    <s v="Keyboard"/>
    <x v="611"/>
    <n v="2"/>
    <n v="3294.08"/>
    <n v="10"/>
    <x v="628"/>
    <n v="4268.84"/>
    <n v="1660.5"/>
    <x v="2"/>
    <s v="Cash"/>
    <s v="December"/>
    <n v="2025"/>
  </r>
  <r>
    <s v="ORD100631"/>
    <d v="2025-06-26T00:00:00"/>
    <x v="2"/>
    <s v="Chennai"/>
    <x v="1"/>
    <x v="0"/>
    <x v="0"/>
    <s v="Monitor"/>
    <x v="612"/>
    <n v="8"/>
    <n v="2422.38"/>
    <n v="20"/>
    <x v="629"/>
    <n v="9918.43"/>
    <n v="5584.8"/>
    <x v="0"/>
    <s v="Cash"/>
    <s v="June"/>
    <n v="2025"/>
  </r>
  <r>
    <s v="ORD100632"/>
    <d v="2025-09-04T00:00:00"/>
    <x v="2"/>
    <s v="Chennai"/>
    <x v="7"/>
    <x v="2"/>
    <x v="2"/>
    <s v="Paper"/>
    <x v="613"/>
    <n v="10"/>
    <n v="3747.69"/>
    <n v="15"/>
    <x v="630"/>
    <n v="22542.77"/>
    <n v="9312.6"/>
    <x v="0"/>
    <s v="UPI"/>
    <s v="September"/>
    <n v="2025"/>
  </r>
  <r>
    <s v="ORD100633"/>
    <d v="2025-06-02T00:00:00"/>
    <x v="2"/>
    <s v="Bengaluru"/>
    <x v="7"/>
    <x v="0"/>
    <x v="1"/>
    <s v="Chair"/>
    <x v="614"/>
    <n v="9"/>
    <n v="2807.73"/>
    <n v="15"/>
    <x v="631"/>
    <n v="12461.2"/>
    <n v="9017.93"/>
    <x v="0"/>
    <s v="UPI"/>
    <s v="June"/>
    <n v="2025"/>
  </r>
  <r>
    <s v="ORD100634"/>
    <d v="2026-05-23T00:00:00"/>
    <x v="0"/>
    <s v="Mumbai"/>
    <x v="1"/>
    <x v="1"/>
    <x v="2"/>
    <s v="Pens"/>
    <x v="615"/>
    <n v="5"/>
    <n v="4207.33"/>
    <n v="0"/>
    <x v="632"/>
    <n v="15938.1"/>
    <n v="5098.55"/>
    <x v="1"/>
    <s v="Net Banking"/>
    <s v="May"/>
    <n v="2026"/>
  </r>
  <r>
    <s v="ORD100635"/>
    <d v="2025-04-30T00:00:00"/>
    <x v="3"/>
    <s v="Kolkata"/>
    <x v="0"/>
    <x v="0"/>
    <x v="1"/>
    <s v="Bookshelf"/>
    <x v="616"/>
    <n v="1"/>
    <n v="1645"/>
    <n v="0"/>
    <x v="633"/>
    <n v="1263.23"/>
    <n v="381.77"/>
    <x v="2"/>
    <s v="Cash"/>
    <s v="April"/>
    <n v="2025"/>
  </r>
  <r>
    <s v="ORD100636"/>
    <d v="2026-02-24T00:00:00"/>
    <x v="1"/>
    <s v="Delhi"/>
    <x v="3"/>
    <x v="0"/>
    <x v="0"/>
    <s v="Mouse"/>
    <x v="617"/>
    <n v="2"/>
    <n v="1670.47"/>
    <n v="0"/>
    <x v="634"/>
    <n v="2258.91"/>
    <n v="1082.03"/>
    <x v="2"/>
    <s v="UPI"/>
    <s v="February"/>
    <n v="2026"/>
  </r>
  <r>
    <s v="ORD100637"/>
    <d v="2025-03-07T00:00:00"/>
    <x v="1"/>
    <s v="Chandigarh"/>
    <x v="0"/>
    <x v="2"/>
    <x v="1"/>
    <s v="Cabinet"/>
    <x v="618"/>
    <n v="13"/>
    <n v="695.78"/>
    <n v="10"/>
    <x v="635"/>
    <n v="6287.12"/>
    <n v="1853.51"/>
    <x v="2"/>
    <s v="Cash"/>
    <s v="March"/>
    <n v="2025"/>
  </r>
  <r>
    <s v="ORD100638"/>
    <d v="2026-06-08T00:00:00"/>
    <x v="0"/>
    <s v="Mumbai"/>
    <x v="6"/>
    <x v="0"/>
    <x v="2"/>
    <s v="Folders"/>
    <x v="619"/>
    <n v="12"/>
    <n v="3983.85"/>
    <n v="15"/>
    <x v="636"/>
    <n v="28733.82"/>
    <n v="11901.45"/>
    <x v="1"/>
    <s v="Card"/>
    <s v="June"/>
    <n v="2026"/>
  </r>
  <r>
    <s v="ORD100639"/>
    <d v="2026-05-13T00:00:00"/>
    <x v="0"/>
    <s v="Ahmedabad"/>
    <x v="7"/>
    <x v="2"/>
    <x v="2"/>
    <s v="Paper"/>
    <x v="620"/>
    <n v="1"/>
    <n v="646.11"/>
    <n v="0"/>
    <x v="637"/>
    <n v="434.49"/>
    <n v="211.62"/>
    <x v="2"/>
    <s v="UPI"/>
    <s v="May"/>
    <n v="2026"/>
  </r>
  <r>
    <s v="ORD100640"/>
    <d v="2025-12-02T00:00:00"/>
    <x v="1"/>
    <s v="Delhi"/>
    <x v="0"/>
    <x v="1"/>
    <x v="1"/>
    <s v="Table"/>
    <x v="621"/>
    <n v="3"/>
    <n v="2679.82"/>
    <n v="0"/>
    <x v="638"/>
    <n v="5922.13"/>
    <n v="2117.33"/>
    <x v="1"/>
    <s v="Card"/>
    <s v="December"/>
    <n v="2025"/>
  </r>
  <r>
    <s v="ORD100641"/>
    <d v="2026-03-28T00:00:00"/>
    <x v="0"/>
    <s v="Mumbai"/>
    <x v="5"/>
    <x v="2"/>
    <x v="2"/>
    <s v="Notebook"/>
    <x v="622"/>
    <n v="5"/>
    <n v="3288"/>
    <n v="0"/>
    <x v="639"/>
    <n v="11696.84"/>
    <n v="4743.16"/>
    <x v="2"/>
    <s v="Card"/>
    <s v="March"/>
    <n v="2026"/>
  </r>
  <r>
    <s v="ORD100642"/>
    <d v="2025-01-21T00:00:00"/>
    <x v="3"/>
    <s v="Bhubaneswar"/>
    <x v="7"/>
    <x v="2"/>
    <x v="0"/>
    <s v="Mouse"/>
    <x v="623"/>
    <n v="1"/>
    <n v="912.68"/>
    <n v="15"/>
    <x v="640"/>
    <n v="577.49"/>
    <n v="198.29"/>
    <x v="1"/>
    <s v="Cash"/>
    <s v="January"/>
    <n v="2025"/>
  </r>
  <r>
    <s v="ORD100643"/>
    <d v="2025-09-17T00:00:00"/>
    <x v="0"/>
    <s v="Mumbai"/>
    <x v="7"/>
    <x v="1"/>
    <x v="1"/>
    <s v="Chair"/>
    <x v="624"/>
    <n v="9"/>
    <n v="4010.43"/>
    <n v="0"/>
    <x v="641"/>
    <n v="20465.04"/>
    <n v="15628.83"/>
    <x v="2"/>
    <s v="Card"/>
    <s v="September"/>
    <n v="2025"/>
  </r>
  <r>
    <s v="ORD100644"/>
    <d v="2025-02-19T00:00:00"/>
    <x v="2"/>
    <s v="Bengaluru"/>
    <x v="2"/>
    <x v="2"/>
    <x v="0"/>
    <s v="Headphones"/>
    <x v="625"/>
    <n v="8"/>
    <n v="2931.3"/>
    <n v="20"/>
    <x v="642"/>
    <n v="10625.15"/>
    <n v="8135.17"/>
    <x v="2"/>
    <s v="Cash"/>
    <s v="February"/>
    <n v="2025"/>
  </r>
  <r>
    <s v="ORD100645"/>
    <d v="2026-06-14T00:00:00"/>
    <x v="2"/>
    <s v="Chennai"/>
    <x v="2"/>
    <x v="2"/>
    <x v="0"/>
    <s v="Monitor"/>
    <x v="626"/>
    <n v="10"/>
    <n v="4774.8900000000003"/>
    <n v="20"/>
    <x v="643"/>
    <n v="24113.279999999999"/>
    <n v="14085.84"/>
    <x v="2"/>
    <s v="Net Banking"/>
    <s v="June"/>
    <n v="2026"/>
  </r>
  <r>
    <s v="ORD100646"/>
    <d v="2025-09-01T00:00:00"/>
    <x v="1"/>
    <s v="Chandigarh"/>
    <x v="5"/>
    <x v="1"/>
    <x v="1"/>
    <s v="Desk"/>
    <x v="627"/>
    <n v="12"/>
    <n v="1047.17"/>
    <n v="0"/>
    <x v="644"/>
    <n v="9971.75"/>
    <n v="2594.29"/>
    <x v="0"/>
    <s v="Net Banking"/>
    <s v="September"/>
    <n v="2025"/>
  </r>
  <r>
    <s v="ORD100647"/>
    <d v="2025-03-08T00:00:00"/>
    <x v="1"/>
    <s v="Delhi"/>
    <x v="6"/>
    <x v="0"/>
    <x v="2"/>
    <s v="Printer Ink"/>
    <x v="628"/>
    <n v="11"/>
    <n v="294.62"/>
    <n v="15"/>
    <x v="645"/>
    <n v="2209.29"/>
    <n v="545.41"/>
    <x v="2"/>
    <s v="UPI"/>
    <s v="March"/>
    <n v="2025"/>
  </r>
  <r>
    <s v="ORD100648"/>
    <d v="2026-01-14T00:00:00"/>
    <x v="0"/>
    <s v="Mumbai"/>
    <x v="3"/>
    <x v="1"/>
    <x v="1"/>
    <s v="Chair"/>
    <x v="629"/>
    <n v="14"/>
    <n v="2603.02"/>
    <n v="0"/>
    <x v="646"/>
    <n v="20129.14"/>
    <n v="16313.14"/>
    <x v="2"/>
    <s v="Card"/>
    <s v="January"/>
    <n v="2026"/>
  </r>
  <r>
    <s v="ORD100649"/>
    <d v="2026-04-24T00:00:00"/>
    <x v="3"/>
    <s v="Bhubaneswar"/>
    <x v="0"/>
    <x v="1"/>
    <x v="2"/>
    <s v="Folders"/>
    <x v="630"/>
    <n v="8"/>
    <n v="4738.54"/>
    <n v="20"/>
    <x v="647"/>
    <n v="24842.06"/>
    <n v="5484.6"/>
    <x v="0"/>
    <s v="Cash"/>
    <s v="April"/>
    <n v="2026"/>
  </r>
  <r>
    <s v="ORD100650"/>
    <d v="2026-06-05T00:00:00"/>
    <x v="1"/>
    <s v="Delhi"/>
    <x v="4"/>
    <x v="1"/>
    <x v="2"/>
    <s v="Folders"/>
    <x v="631"/>
    <n v="2"/>
    <n v="824.85"/>
    <n v="15"/>
    <x v="648"/>
    <n v="1090.01"/>
    <n v="312.23"/>
    <x v="0"/>
    <s v="Net Banking"/>
    <s v="June"/>
    <n v="2026"/>
  </r>
  <r>
    <s v="ORD100651"/>
    <d v="2025-12-20T00:00:00"/>
    <x v="3"/>
    <s v="Bhubaneswar"/>
    <x v="6"/>
    <x v="0"/>
    <x v="1"/>
    <s v="Desk"/>
    <x v="632"/>
    <n v="9"/>
    <n v="1572.12"/>
    <n v="15"/>
    <x v="649"/>
    <n v="8552.5400000000009"/>
    <n v="3474.18"/>
    <x v="1"/>
    <s v="Card"/>
    <s v="December"/>
    <n v="2025"/>
  </r>
  <r>
    <s v="ORD100652"/>
    <d v="2026-04-01T00:00:00"/>
    <x v="3"/>
    <s v="Bhubaneswar"/>
    <x v="5"/>
    <x v="2"/>
    <x v="1"/>
    <s v="Bookshelf"/>
    <x v="633"/>
    <n v="15"/>
    <n v="4765.1899999999996"/>
    <n v="5"/>
    <x v="650"/>
    <n v="43344.65"/>
    <n v="24559.31"/>
    <x v="1"/>
    <s v="Cash"/>
    <s v="April"/>
    <n v="2026"/>
  </r>
  <r>
    <s v="ORD100653"/>
    <d v="2025-10-03T00:00:00"/>
    <x v="3"/>
    <s v="Bhubaneswar"/>
    <x v="2"/>
    <x v="1"/>
    <x v="1"/>
    <s v="Desk"/>
    <x v="634"/>
    <n v="13"/>
    <n v="2002.99"/>
    <n v="15"/>
    <x v="651"/>
    <n v="17871.59"/>
    <n v="4261.45"/>
    <x v="2"/>
    <s v="Card"/>
    <s v="October"/>
    <n v="2025"/>
  </r>
  <r>
    <s v="ORD100654"/>
    <d v="2025-03-05T00:00:00"/>
    <x v="2"/>
    <s v="Bengaluru"/>
    <x v="2"/>
    <x v="0"/>
    <x v="1"/>
    <s v="Desk"/>
    <x v="635"/>
    <n v="7"/>
    <n v="4170.26"/>
    <n v="0"/>
    <x v="652"/>
    <n v="22953"/>
    <n v="6238.82"/>
    <x v="2"/>
    <s v="Net Banking"/>
    <s v="March"/>
    <n v="2025"/>
  </r>
  <r>
    <s v="ORD100655"/>
    <d v="2025-09-12T00:00:00"/>
    <x v="0"/>
    <s v="Mumbai"/>
    <x v="6"/>
    <x v="1"/>
    <x v="0"/>
    <s v="Mouse"/>
    <x v="636"/>
    <n v="14"/>
    <n v="1138.8399999999999"/>
    <n v="5"/>
    <x v="653"/>
    <n v="10959.89"/>
    <n v="4186.68"/>
    <x v="2"/>
    <s v="Net Banking"/>
    <s v="September"/>
    <n v="2025"/>
  </r>
  <r>
    <s v="ORD100656"/>
    <d v="2026-02-12T00:00:00"/>
    <x v="3"/>
    <s v="Kolkata"/>
    <x v="1"/>
    <x v="2"/>
    <x v="2"/>
    <s v="Paper"/>
    <x v="637"/>
    <n v="1"/>
    <n v="917.69"/>
    <n v="15"/>
    <x v="654"/>
    <n v="551.79"/>
    <n v="228.25"/>
    <x v="2"/>
    <s v="Cash"/>
    <s v="February"/>
    <n v="2026"/>
  </r>
  <r>
    <s v="ORD100657"/>
    <d v="2025-07-14T00:00:00"/>
    <x v="1"/>
    <s v="Delhi"/>
    <x v="0"/>
    <x v="0"/>
    <x v="1"/>
    <s v="Cabinet"/>
    <x v="638"/>
    <n v="3"/>
    <n v="401.84"/>
    <n v="5"/>
    <x v="655"/>
    <n v="712.51"/>
    <n v="432.73"/>
    <x v="2"/>
    <s v="UPI"/>
    <s v="July"/>
    <n v="2025"/>
  </r>
  <r>
    <s v="ORD100658"/>
    <d v="2025-06-05T00:00:00"/>
    <x v="2"/>
    <s v="Chennai"/>
    <x v="7"/>
    <x v="1"/>
    <x v="0"/>
    <s v="Mouse"/>
    <x v="639"/>
    <n v="15"/>
    <n v="2357.0700000000002"/>
    <n v="20"/>
    <x v="656"/>
    <n v="20148.3"/>
    <n v="8136.54"/>
    <x v="0"/>
    <s v="Cash"/>
    <s v="June"/>
    <n v="2025"/>
  </r>
  <r>
    <s v="ORD100659"/>
    <d v="2025-09-24T00:00:00"/>
    <x v="3"/>
    <s v="Bhubaneswar"/>
    <x v="4"/>
    <x v="0"/>
    <x v="0"/>
    <s v="Keyboard"/>
    <x v="640"/>
    <n v="14"/>
    <n v="4137.5600000000004"/>
    <n v="10"/>
    <x v="657"/>
    <n v="41917.29"/>
    <n v="10215.969999999999"/>
    <x v="1"/>
    <s v="Cash"/>
    <s v="September"/>
    <n v="2025"/>
  </r>
  <r>
    <s v="ORD100660"/>
    <d v="2026-04-17T00:00:00"/>
    <x v="3"/>
    <s v="Bhubaneswar"/>
    <x v="1"/>
    <x v="2"/>
    <x v="1"/>
    <s v="Table"/>
    <x v="641"/>
    <n v="13"/>
    <n v="2125.25"/>
    <n v="10"/>
    <x v="658"/>
    <n v="14609.76"/>
    <n v="10255.66"/>
    <x v="0"/>
    <s v="Card"/>
    <s v="April"/>
    <n v="2026"/>
  </r>
  <r>
    <s v="ORD100661"/>
    <d v="2025-12-31T00:00:00"/>
    <x v="3"/>
    <s v="Kolkata"/>
    <x v="1"/>
    <x v="0"/>
    <x v="2"/>
    <s v="Printer Ink"/>
    <x v="642"/>
    <n v="10"/>
    <n v="4225.59"/>
    <n v="15"/>
    <x v="659"/>
    <n v="26302.5"/>
    <n v="9615.01"/>
    <x v="1"/>
    <s v="Net Banking"/>
    <s v="December"/>
    <n v="2025"/>
  </r>
  <r>
    <s v="ORD100662"/>
    <d v="2026-05-22T00:00:00"/>
    <x v="0"/>
    <s v="Ahmedabad"/>
    <x v="6"/>
    <x v="0"/>
    <x v="0"/>
    <s v="Keyboard"/>
    <x v="643"/>
    <n v="11"/>
    <n v="3999.25"/>
    <n v="10"/>
    <x v="660"/>
    <n v="24835.72"/>
    <n v="14756.86"/>
    <x v="2"/>
    <s v="Net Banking"/>
    <s v="May"/>
    <n v="2026"/>
  </r>
  <r>
    <s v="ORD100663"/>
    <d v="2025-09-14T00:00:00"/>
    <x v="3"/>
    <s v="Kolkata"/>
    <x v="0"/>
    <x v="2"/>
    <x v="1"/>
    <s v="Cabinet"/>
    <x v="644"/>
    <n v="10"/>
    <n v="4109.96"/>
    <n v="20"/>
    <x v="661"/>
    <n v="18455.98"/>
    <n v="14423.7"/>
    <x v="1"/>
    <s v="Card"/>
    <s v="September"/>
    <n v="2025"/>
  </r>
  <r>
    <s v="ORD100664"/>
    <d v="2025-12-05T00:00:00"/>
    <x v="0"/>
    <s v="Mumbai"/>
    <x v="3"/>
    <x v="0"/>
    <x v="1"/>
    <s v="Desk"/>
    <x v="645"/>
    <n v="1"/>
    <n v="1955.18"/>
    <n v="20"/>
    <x v="662"/>
    <n v="898.58"/>
    <n v="665.56"/>
    <x v="2"/>
    <s v="Net Banking"/>
    <s v="December"/>
    <n v="2025"/>
  </r>
  <r>
    <s v="ORD100665"/>
    <d v="2025-07-26T00:00:00"/>
    <x v="2"/>
    <s v="Chennai"/>
    <x v="1"/>
    <x v="1"/>
    <x v="2"/>
    <s v="Folders"/>
    <x v="646"/>
    <n v="2"/>
    <n v="3951.32"/>
    <n v="10"/>
    <x v="663"/>
    <n v="4339.55"/>
    <n v="2772.83"/>
    <x v="2"/>
    <s v="Cash"/>
    <s v="July"/>
    <n v="2025"/>
  </r>
  <r>
    <s v="ORD100666"/>
    <d v="2026-06-03T00:00:00"/>
    <x v="0"/>
    <s v="Ahmedabad"/>
    <x v="0"/>
    <x v="2"/>
    <x v="2"/>
    <s v="Folders"/>
    <x v="647"/>
    <n v="10"/>
    <n v="757.95"/>
    <n v="20"/>
    <x v="664"/>
    <n v="4002.57"/>
    <n v="2061.0300000000002"/>
    <x v="2"/>
    <s v="Card"/>
    <s v="June"/>
    <n v="2026"/>
  </r>
  <r>
    <s v="ORD100667"/>
    <d v="2025-11-08T00:00:00"/>
    <x v="0"/>
    <s v="Ahmedabad"/>
    <x v="7"/>
    <x v="0"/>
    <x v="0"/>
    <s v="Mouse"/>
    <x v="648"/>
    <n v="1"/>
    <n v="4509.55"/>
    <n v="20"/>
    <x v="665"/>
    <n v="2537.29"/>
    <n v="1070.3499999999999"/>
    <x v="2"/>
    <s v="Card"/>
    <s v="November"/>
    <n v="2025"/>
  </r>
  <r>
    <s v="ORD100668"/>
    <d v="2026-01-01T00:00:00"/>
    <x v="2"/>
    <s v="Chennai"/>
    <x v="6"/>
    <x v="1"/>
    <x v="1"/>
    <s v="Chair"/>
    <x v="649"/>
    <n v="7"/>
    <n v="4464.96"/>
    <n v="0"/>
    <x v="666"/>
    <n v="17784.77"/>
    <n v="13469.95"/>
    <x v="1"/>
    <s v="Net Banking"/>
    <s v="January"/>
    <n v="2026"/>
  </r>
  <r>
    <s v="ORD100669"/>
    <d v="2025-06-20T00:00:00"/>
    <x v="3"/>
    <s v="Kolkata"/>
    <x v="4"/>
    <x v="0"/>
    <x v="0"/>
    <s v="Mouse"/>
    <x v="650"/>
    <n v="4"/>
    <n v="3212.41"/>
    <n v="15"/>
    <x v="667"/>
    <n v="8217.6"/>
    <n v="2704.59"/>
    <x v="2"/>
    <s v="Net Banking"/>
    <s v="June"/>
    <n v="2025"/>
  </r>
  <r>
    <s v="ORD100670"/>
    <d v="2026-06-28T00:00:00"/>
    <x v="2"/>
    <s v="Bengaluru"/>
    <x v="7"/>
    <x v="0"/>
    <x v="2"/>
    <s v="Paper"/>
    <x v="651"/>
    <n v="15"/>
    <n v="1344.36"/>
    <n v="5"/>
    <x v="668"/>
    <n v="10879.36"/>
    <n v="8277.77"/>
    <x v="2"/>
    <s v="UPI"/>
    <s v="June"/>
    <n v="2026"/>
  </r>
  <r>
    <s v="ORD100671"/>
    <d v="2025-05-03T00:00:00"/>
    <x v="0"/>
    <s v="Mumbai"/>
    <x v="1"/>
    <x v="2"/>
    <x v="1"/>
    <s v="Table"/>
    <x v="652"/>
    <n v="1"/>
    <n v="3579.74"/>
    <n v="15"/>
    <x v="669"/>
    <n v="2181.58"/>
    <n v="861.2"/>
    <x v="0"/>
    <s v="Net Banking"/>
    <s v="May"/>
    <n v="2025"/>
  </r>
  <r>
    <s v="ORD100672"/>
    <d v="2026-04-23T00:00:00"/>
    <x v="1"/>
    <s v="Chandigarh"/>
    <x v="5"/>
    <x v="1"/>
    <x v="1"/>
    <s v="Chair"/>
    <x v="653"/>
    <n v="9"/>
    <n v="890.05"/>
    <n v="5"/>
    <x v="670"/>
    <n v="4755.96"/>
    <n v="2853.97"/>
    <x v="1"/>
    <s v="Card"/>
    <s v="April"/>
    <n v="2026"/>
  </r>
  <r>
    <s v="ORD100673"/>
    <d v="2026-01-07T00:00:00"/>
    <x v="3"/>
    <s v="Kolkata"/>
    <x v="1"/>
    <x v="1"/>
    <x v="1"/>
    <s v="Bookshelf"/>
    <x v="654"/>
    <n v="14"/>
    <n v="4145.22"/>
    <n v="10"/>
    <x v="671"/>
    <n v="30963.05"/>
    <n v="21266.720000000001"/>
    <x v="0"/>
    <s v="Net Banking"/>
    <s v="January"/>
    <n v="2026"/>
  </r>
  <r>
    <s v="ORD100674"/>
    <d v="2026-04-22T00:00:00"/>
    <x v="3"/>
    <s v="Bhubaneswar"/>
    <x v="6"/>
    <x v="2"/>
    <x v="1"/>
    <s v="Cabinet"/>
    <x v="655"/>
    <n v="11"/>
    <n v="2704.04"/>
    <n v="5"/>
    <x v="672"/>
    <n v="17679.400000000001"/>
    <n v="10577.82"/>
    <x v="2"/>
    <s v="Cash"/>
    <s v="April"/>
    <n v="2026"/>
  </r>
  <r>
    <s v="ORD100675"/>
    <d v="2025-05-18T00:00:00"/>
    <x v="2"/>
    <s v="Chennai"/>
    <x v="0"/>
    <x v="2"/>
    <x v="0"/>
    <s v="Headphones"/>
    <x v="656"/>
    <n v="6"/>
    <n v="1681.67"/>
    <n v="20"/>
    <x v="673"/>
    <n v="6217.12"/>
    <n v="1854.9"/>
    <x v="1"/>
    <s v="Card"/>
    <s v="May"/>
    <n v="2025"/>
  </r>
  <r>
    <s v="ORD100676"/>
    <d v="2025-01-15T00:00:00"/>
    <x v="2"/>
    <s v="Bengaluru"/>
    <x v="7"/>
    <x v="1"/>
    <x v="2"/>
    <s v="Printer Ink"/>
    <x v="657"/>
    <n v="9"/>
    <n v="2284.92"/>
    <n v="20"/>
    <x v="674"/>
    <n v="12339.26"/>
    <n v="4112.16"/>
    <x v="0"/>
    <s v="Cash"/>
    <s v="January"/>
    <n v="2025"/>
  </r>
  <r>
    <s v="ORD100677"/>
    <d v="2025-05-21T00:00:00"/>
    <x v="1"/>
    <s v="Chandigarh"/>
    <x v="4"/>
    <x v="0"/>
    <x v="0"/>
    <s v="Headphones"/>
    <x v="441"/>
    <n v="6"/>
    <n v="4620.22"/>
    <n v="15"/>
    <x v="675"/>
    <n v="17295.21"/>
    <n v="6267.91"/>
    <x v="1"/>
    <s v="Cash"/>
    <s v="May"/>
    <n v="2025"/>
  </r>
  <r>
    <s v="ORD100678"/>
    <d v="2025-09-07T00:00:00"/>
    <x v="1"/>
    <s v="Chandigarh"/>
    <x v="5"/>
    <x v="2"/>
    <x v="2"/>
    <s v="Pens"/>
    <x v="658"/>
    <n v="6"/>
    <n v="431.04"/>
    <n v="20"/>
    <x v="676"/>
    <n v="1197.71"/>
    <n v="871.28"/>
    <x v="2"/>
    <s v="Card"/>
    <s v="September"/>
    <n v="2025"/>
  </r>
  <r>
    <s v="ORD100679"/>
    <d v="2025-12-16T00:00:00"/>
    <x v="3"/>
    <s v="Bhubaneswar"/>
    <x v="0"/>
    <x v="1"/>
    <x v="1"/>
    <s v="Chair"/>
    <x v="659"/>
    <n v="2"/>
    <n v="2431.7199999999998"/>
    <n v="15"/>
    <x v="677"/>
    <n v="2754.88"/>
    <n v="1379.04"/>
    <x v="2"/>
    <s v="Net Banking"/>
    <s v="December"/>
    <n v="2025"/>
  </r>
  <r>
    <s v="ORD100680"/>
    <d v="2025-04-16T00:00:00"/>
    <x v="3"/>
    <s v="Kolkata"/>
    <x v="1"/>
    <x v="2"/>
    <x v="0"/>
    <s v="Laptop"/>
    <x v="193"/>
    <n v="2"/>
    <n v="2022.88"/>
    <n v="20"/>
    <x v="678"/>
    <n v="1790.07"/>
    <n v="1446.54"/>
    <x v="0"/>
    <s v="Net Banking"/>
    <s v="April"/>
    <n v="2025"/>
  </r>
  <r>
    <s v="ORD100681"/>
    <d v="2025-11-15T00:00:00"/>
    <x v="3"/>
    <s v="Bhubaneswar"/>
    <x v="1"/>
    <x v="1"/>
    <x v="2"/>
    <s v="Folders"/>
    <x v="660"/>
    <n v="6"/>
    <n v="2387.5700000000002"/>
    <n v="20"/>
    <x v="679"/>
    <n v="8797.84"/>
    <n v="2662.5"/>
    <x v="0"/>
    <s v="Cash"/>
    <s v="November"/>
    <n v="2025"/>
  </r>
  <r>
    <s v="ORD100682"/>
    <d v="2026-06-23T00:00:00"/>
    <x v="1"/>
    <s v="Chandigarh"/>
    <x v="4"/>
    <x v="2"/>
    <x v="1"/>
    <s v="Bookshelf"/>
    <x v="422"/>
    <n v="9"/>
    <n v="343.89"/>
    <n v="15"/>
    <x v="680"/>
    <n v="1795.53"/>
    <n v="835.23"/>
    <x v="2"/>
    <s v="Card"/>
    <s v="June"/>
    <n v="2026"/>
  </r>
  <r>
    <s v="ORD100683"/>
    <d v="2025-02-19T00:00:00"/>
    <x v="0"/>
    <s v="Ahmedabad"/>
    <x v="3"/>
    <x v="0"/>
    <x v="1"/>
    <s v="Table"/>
    <x v="661"/>
    <n v="15"/>
    <n v="3382.34"/>
    <n v="5"/>
    <x v="681"/>
    <n v="35747.040000000001"/>
    <n v="12451.31"/>
    <x v="2"/>
    <s v="Net Banking"/>
    <s v="February"/>
    <n v="2025"/>
  </r>
  <r>
    <s v="ORD100684"/>
    <d v="2025-11-29T00:00:00"/>
    <x v="3"/>
    <s v="Kolkata"/>
    <x v="4"/>
    <x v="1"/>
    <x v="0"/>
    <s v="Laptop"/>
    <x v="662"/>
    <n v="3"/>
    <n v="3531.92"/>
    <n v="10"/>
    <x v="682"/>
    <n v="7608.99"/>
    <n v="1927.19"/>
    <x v="2"/>
    <s v="Net Banking"/>
    <s v="November"/>
    <n v="2025"/>
  </r>
  <r>
    <s v="ORD100685"/>
    <d v="2026-04-06T00:00:00"/>
    <x v="1"/>
    <s v="Chandigarh"/>
    <x v="2"/>
    <x v="2"/>
    <x v="2"/>
    <s v="Pens"/>
    <x v="663"/>
    <n v="3"/>
    <n v="2234.0700000000002"/>
    <n v="10"/>
    <x v="683"/>
    <n v="4637.3"/>
    <n v="1394.69"/>
    <x v="1"/>
    <s v="UPI"/>
    <s v="April"/>
    <n v="2026"/>
  </r>
  <r>
    <s v="ORD100686"/>
    <d v="2025-07-13T00:00:00"/>
    <x v="2"/>
    <s v="Chennai"/>
    <x v="0"/>
    <x v="1"/>
    <x v="1"/>
    <s v="Table"/>
    <x v="664"/>
    <n v="5"/>
    <n v="1047.04"/>
    <n v="10"/>
    <x v="684"/>
    <n v="3277.98"/>
    <n v="1433.7"/>
    <x v="2"/>
    <s v="Net Banking"/>
    <s v="July"/>
    <n v="2025"/>
  </r>
  <r>
    <s v="ORD100687"/>
    <d v="2026-01-10T00:00:00"/>
    <x v="3"/>
    <s v="Kolkata"/>
    <x v="5"/>
    <x v="1"/>
    <x v="1"/>
    <s v="Bookshelf"/>
    <x v="665"/>
    <n v="2"/>
    <n v="549.86"/>
    <n v="5"/>
    <x v="685"/>
    <n v="701.84"/>
    <n v="342.89"/>
    <x v="2"/>
    <s v="Cash"/>
    <s v="January"/>
    <n v="2026"/>
  </r>
  <r>
    <s v="ORD100688"/>
    <d v="2025-05-09T00:00:00"/>
    <x v="3"/>
    <s v="Kolkata"/>
    <x v="5"/>
    <x v="0"/>
    <x v="2"/>
    <s v="Printer Ink"/>
    <x v="666"/>
    <n v="7"/>
    <n v="4597.2700000000004"/>
    <n v="15"/>
    <x v="686"/>
    <n v="22195"/>
    <n v="5158.76"/>
    <x v="1"/>
    <s v="Cash"/>
    <s v="May"/>
    <n v="2025"/>
  </r>
  <r>
    <s v="ORD100689"/>
    <d v="2025-08-23T00:00:00"/>
    <x v="2"/>
    <s v="Chennai"/>
    <x v="6"/>
    <x v="1"/>
    <x v="2"/>
    <s v="Notebook"/>
    <x v="667"/>
    <n v="1"/>
    <n v="240.56"/>
    <n v="0"/>
    <x v="687"/>
    <n v="196.98"/>
    <n v="43.58"/>
    <x v="1"/>
    <s v="Net Banking"/>
    <s v="August"/>
    <n v="2025"/>
  </r>
  <r>
    <s v="ORD100690"/>
    <d v="2025-02-03T00:00:00"/>
    <x v="3"/>
    <s v="Bhubaneswar"/>
    <x v="0"/>
    <x v="1"/>
    <x v="1"/>
    <s v="Cabinet"/>
    <x v="205"/>
    <n v="8"/>
    <n v="3601.83"/>
    <n v="15"/>
    <x v="688"/>
    <n v="20017.64"/>
    <n v="4474.8"/>
    <x v="2"/>
    <s v="Cash"/>
    <s v="February"/>
    <n v="2025"/>
  </r>
  <r>
    <s v="ORD100691"/>
    <d v="2026-04-01T00:00:00"/>
    <x v="0"/>
    <s v="Mumbai"/>
    <x v="5"/>
    <x v="2"/>
    <x v="1"/>
    <s v="Desk"/>
    <x v="668"/>
    <n v="10"/>
    <n v="4671.17"/>
    <n v="20"/>
    <x v="689"/>
    <n v="24166.05"/>
    <n v="13203.31"/>
    <x v="2"/>
    <s v="UPI"/>
    <s v="April"/>
    <n v="2026"/>
  </r>
  <r>
    <s v="ORD100692"/>
    <d v="2025-09-22T00:00:00"/>
    <x v="1"/>
    <s v="Chandigarh"/>
    <x v="7"/>
    <x v="0"/>
    <x v="1"/>
    <s v="Desk"/>
    <x v="195"/>
    <n v="10"/>
    <n v="3487.76"/>
    <n v="5"/>
    <x v="690"/>
    <n v="20326.93"/>
    <n v="12806.79"/>
    <x v="2"/>
    <s v="Cash"/>
    <s v="September"/>
    <n v="2025"/>
  </r>
  <r>
    <s v="ORD100693"/>
    <d v="2025-11-20T00:00:00"/>
    <x v="2"/>
    <s v="Bengaluru"/>
    <x v="7"/>
    <x v="0"/>
    <x v="1"/>
    <s v="Cabinet"/>
    <x v="669"/>
    <n v="5"/>
    <n v="236.02"/>
    <n v="0"/>
    <x v="691"/>
    <n v="673.59"/>
    <n v="506.51"/>
    <x v="1"/>
    <s v="Net Banking"/>
    <s v="November"/>
    <n v="2025"/>
  </r>
  <r>
    <s v="ORD100694"/>
    <d v="2026-02-09T00:00:00"/>
    <x v="2"/>
    <s v="Bengaluru"/>
    <x v="0"/>
    <x v="1"/>
    <x v="0"/>
    <s v="Laptop"/>
    <x v="670"/>
    <n v="14"/>
    <n v="4363.26"/>
    <n v="15"/>
    <x v="692"/>
    <n v="34713.01"/>
    <n v="17209.78"/>
    <x v="1"/>
    <s v="UPI"/>
    <s v="February"/>
    <n v="2026"/>
  </r>
  <r>
    <s v="ORD100695"/>
    <d v="2026-03-28T00:00:00"/>
    <x v="1"/>
    <s v="Chandigarh"/>
    <x v="3"/>
    <x v="1"/>
    <x v="1"/>
    <s v="Desk"/>
    <x v="671"/>
    <n v="5"/>
    <n v="951.69"/>
    <n v="5"/>
    <x v="693"/>
    <n v="3547.74"/>
    <n v="972.79"/>
    <x v="0"/>
    <s v="Cash"/>
    <s v="March"/>
    <n v="2026"/>
  </r>
  <r>
    <s v="ORD100696"/>
    <d v="2025-12-29T00:00:00"/>
    <x v="1"/>
    <s v="Chandigarh"/>
    <x v="4"/>
    <x v="0"/>
    <x v="2"/>
    <s v="Notebook"/>
    <x v="672"/>
    <n v="4"/>
    <n v="1971.74"/>
    <n v="10"/>
    <x v="694"/>
    <n v="4980.4399999999996"/>
    <n v="2117.8200000000002"/>
    <x v="1"/>
    <s v="Cash"/>
    <s v="December"/>
    <n v="2025"/>
  </r>
  <r>
    <s v="ORD100697"/>
    <d v="2025-01-26T00:00:00"/>
    <x v="0"/>
    <s v="Ahmedabad"/>
    <x v="5"/>
    <x v="0"/>
    <x v="0"/>
    <s v="Laptop"/>
    <x v="673"/>
    <n v="6"/>
    <n v="1942.27"/>
    <n v="20"/>
    <x v="695"/>
    <n v="7072.21"/>
    <n v="2250.69"/>
    <x v="0"/>
    <s v="Cash"/>
    <s v="January"/>
    <n v="2025"/>
  </r>
  <r>
    <s v="ORD100698"/>
    <d v="2025-08-02T00:00:00"/>
    <x v="3"/>
    <s v="Bhubaneswar"/>
    <x v="2"/>
    <x v="2"/>
    <x v="1"/>
    <s v="Chair"/>
    <x v="674"/>
    <n v="4"/>
    <n v="3523.51"/>
    <n v="20"/>
    <x v="696"/>
    <n v="8807.23"/>
    <n v="2468"/>
    <x v="2"/>
    <s v="Net Banking"/>
    <s v="August"/>
    <n v="2025"/>
  </r>
  <r>
    <s v="ORD100699"/>
    <d v="2026-04-01T00:00:00"/>
    <x v="3"/>
    <s v="Bhubaneswar"/>
    <x v="5"/>
    <x v="1"/>
    <x v="0"/>
    <s v="Monitor"/>
    <x v="675"/>
    <n v="10"/>
    <n v="2068.7800000000002"/>
    <n v="0"/>
    <x v="697"/>
    <n v="14713.79"/>
    <n v="5974.01"/>
    <x v="1"/>
    <s v="Net Banking"/>
    <s v="April"/>
    <n v="2026"/>
  </r>
  <r>
    <s v="ORD100700"/>
    <d v="2025-12-02T00:00:00"/>
    <x v="1"/>
    <s v="Delhi"/>
    <x v="1"/>
    <x v="1"/>
    <x v="0"/>
    <s v="Laptop"/>
    <x v="676"/>
    <n v="9"/>
    <n v="1732.59"/>
    <n v="10"/>
    <x v="698"/>
    <n v="11494.39"/>
    <n v="2539.59"/>
    <x v="1"/>
    <s v="Net Banking"/>
    <s v="December"/>
    <n v="2025"/>
  </r>
  <r>
    <s v="ORD100701"/>
    <d v="2025-02-10T00:00:00"/>
    <x v="1"/>
    <s v="Chandigarh"/>
    <x v="4"/>
    <x v="2"/>
    <x v="0"/>
    <s v="Monitor"/>
    <x v="677"/>
    <n v="5"/>
    <n v="2403.61"/>
    <n v="0"/>
    <x v="699"/>
    <n v="8409.16"/>
    <n v="3608.89"/>
    <x v="2"/>
    <s v="Card"/>
    <s v="February"/>
    <n v="2025"/>
  </r>
  <r>
    <s v="ORD100702"/>
    <d v="2025-07-03T00:00:00"/>
    <x v="3"/>
    <s v="Kolkata"/>
    <x v="3"/>
    <x v="0"/>
    <x v="0"/>
    <s v="Monitor"/>
    <x v="678"/>
    <n v="4"/>
    <n v="2366.6999999999998"/>
    <n v="10"/>
    <x v="700"/>
    <n v="4755.6899999999996"/>
    <n v="3764.43"/>
    <x v="2"/>
    <s v="Cash"/>
    <s v="July"/>
    <n v="2025"/>
  </r>
  <r>
    <s v="ORD100703"/>
    <d v="2025-12-24T00:00:00"/>
    <x v="2"/>
    <s v="Chennai"/>
    <x v="1"/>
    <x v="1"/>
    <x v="1"/>
    <s v="Table"/>
    <x v="679"/>
    <n v="4"/>
    <n v="1956.54"/>
    <n v="10"/>
    <x v="701"/>
    <n v="5709.56"/>
    <n v="1333.98"/>
    <x v="1"/>
    <s v="UPI"/>
    <s v="December"/>
    <n v="2025"/>
  </r>
  <r>
    <s v="ORD100704"/>
    <d v="2026-01-19T00:00:00"/>
    <x v="0"/>
    <s v="Mumbai"/>
    <x v="0"/>
    <x v="2"/>
    <x v="0"/>
    <s v="Headphones"/>
    <x v="680"/>
    <n v="3"/>
    <n v="2011.67"/>
    <n v="20"/>
    <x v="702"/>
    <n v="3560.68"/>
    <n v="1267.33"/>
    <x v="1"/>
    <s v="UPI"/>
    <s v="January"/>
    <n v="2026"/>
  </r>
  <r>
    <s v="ORD100705"/>
    <d v="2025-03-13T00:00:00"/>
    <x v="0"/>
    <s v="Mumbai"/>
    <x v="4"/>
    <x v="2"/>
    <x v="0"/>
    <s v="Headphones"/>
    <x v="681"/>
    <n v="1"/>
    <n v="4792.37"/>
    <n v="5"/>
    <x v="703"/>
    <n v="2962.28"/>
    <n v="1590.47"/>
    <x v="2"/>
    <s v="UPI"/>
    <s v="March"/>
    <n v="2025"/>
  </r>
  <r>
    <s v="ORD100706"/>
    <d v="2025-08-06T00:00:00"/>
    <x v="1"/>
    <s v="Delhi"/>
    <x v="1"/>
    <x v="0"/>
    <x v="1"/>
    <s v="Table"/>
    <x v="682"/>
    <n v="3"/>
    <n v="2402.0700000000002"/>
    <n v="5"/>
    <x v="704"/>
    <n v="5117.01"/>
    <n v="1728.89"/>
    <x v="1"/>
    <s v="Net Banking"/>
    <s v="August"/>
    <n v="2025"/>
  </r>
  <r>
    <s v="ORD100707"/>
    <d v="2025-02-23T00:00:00"/>
    <x v="3"/>
    <s v="Kolkata"/>
    <x v="0"/>
    <x v="0"/>
    <x v="0"/>
    <s v="Headphones"/>
    <x v="683"/>
    <n v="3"/>
    <n v="2970.56"/>
    <n v="5"/>
    <x v="705"/>
    <n v="4847.72"/>
    <n v="3618.38"/>
    <x v="1"/>
    <s v="UPI"/>
    <s v="February"/>
    <n v="2025"/>
  </r>
  <r>
    <s v="ORD100708"/>
    <d v="2025-04-28T00:00:00"/>
    <x v="0"/>
    <s v="Mumbai"/>
    <x v="3"/>
    <x v="0"/>
    <x v="2"/>
    <s v="Paper"/>
    <x v="684"/>
    <n v="1"/>
    <n v="4658.63"/>
    <n v="5"/>
    <x v="706"/>
    <n v="2673.24"/>
    <n v="1752.46"/>
    <x v="0"/>
    <s v="UPI"/>
    <s v="April"/>
    <n v="2025"/>
  </r>
  <r>
    <s v="ORD100709"/>
    <d v="2025-10-08T00:00:00"/>
    <x v="2"/>
    <s v="Bengaluru"/>
    <x v="0"/>
    <x v="2"/>
    <x v="0"/>
    <s v="Mouse"/>
    <x v="685"/>
    <n v="11"/>
    <n v="3201.02"/>
    <n v="0"/>
    <x v="707"/>
    <n v="20240.990000000002"/>
    <n v="14970.23"/>
    <x v="2"/>
    <s v="UPI"/>
    <s v="October"/>
    <n v="2025"/>
  </r>
  <r>
    <s v="ORD100710"/>
    <d v="2025-09-19T00:00:00"/>
    <x v="2"/>
    <s v="Chennai"/>
    <x v="0"/>
    <x v="0"/>
    <x v="0"/>
    <s v="Monitor"/>
    <x v="686"/>
    <n v="2"/>
    <n v="452.72"/>
    <n v="20"/>
    <x v="708"/>
    <n v="448.38"/>
    <n v="275.97000000000003"/>
    <x v="0"/>
    <s v="Card"/>
    <s v="September"/>
    <n v="2025"/>
  </r>
  <r>
    <s v="ORD100711"/>
    <d v="2025-09-26T00:00:00"/>
    <x v="1"/>
    <s v="Delhi"/>
    <x v="1"/>
    <x v="0"/>
    <x v="1"/>
    <s v="Chair"/>
    <x v="687"/>
    <n v="7"/>
    <n v="4527.51"/>
    <n v="0"/>
    <x v="709"/>
    <n v="22806.69"/>
    <n v="8885.8799999999992"/>
    <x v="1"/>
    <s v="Cash"/>
    <s v="September"/>
    <n v="2025"/>
  </r>
  <r>
    <s v="ORD100712"/>
    <d v="2026-04-05T00:00:00"/>
    <x v="3"/>
    <s v="Bhubaneswar"/>
    <x v="6"/>
    <x v="2"/>
    <x v="0"/>
    <s v="Mouse"/>
    <x v="688"/>
    <n v="13"/>
    <n v="3031.76"/>
    <n v="0"/>
    <x v="710"/>
    <n v="27918.19"/>
    <n v="11494.69"/>
    <x v="1"/>
    <s v="Cash"/>
    <s v="April"/>
    <n v="2026"/>
  </r>
  <r>
    <s v="ORD100713"/>
    <d v="2025-08-08T00:00:00"/>
    <x v="1"/>
    <s v="Chandigarh"/>
    <x v="6"/>
    <x v="0"/>
    <x v="2"/>
    <s v="Notebook"/>
    <x v="689"/>
    <n v="10"/>
    <n v="4672.96"/>
    <n v="10"/>
    <x v="711"/>
    <n v="27376.34"/>
    <n v="14680.3"/>
    <x v="1"/>
    <s v="UPI"/>
    <s v="August"/>
    <n v="2025"/>
  </r>
  <r>
    <s v="ORD100714"/>
    <d v="2026-04-03T00:00:00"/>
    <x v="2"/>
    <s v="Bengaluru"/>
    <x v="5"/>
    <x v="0"/>
    <x v="1"/>
    <s v="Desk"/>
    <x v="690"/>
    <n v="2"/>
    <n v="2374.08"/>
    <n v="5"/>
    <x v="712"/>
    <n v="2520.5700000000002"/>
    <n v="1990.18"/>
    <x v="2"/>
    <s v="UPI"/>
    <s v="April"/>
    <n v="2026"/>
  </r>
  <r>
    <s v="ORD100715"/>
    <d v="2026-03-03T00:00:00"/>
    <x v="0"/>
    <s v="Mumbai"/>
    <x v="1"/>
    <x v="0"/>
    <x v="0"/>
    <s v="Monitor"/>
    <x v="691"/>
    <n v="1"/>
    <n v="3623.19"/>
    <n v="0"/>
    <x v="713"/>
    <n v="2087.54"/>
    <n v="1535.65"/>
    <x v="2"/>
    <s v="UPI"/>
    <s v="March"/>
    <n v="2026"/>
  </r>
  <r>
    <s v="ORD100716"/>
    <d v="2026-05-03T00:00:00"/>
    <x v="2"/>
    <s v="Bengaluru"/>
    <x v="3"/>
    <x v="1"/>
    <x v="0"/>
    <s v="Headphones"/>
    <x v="692"/>
    <n v="9"/>
    <n v="2280.5"/>
    <n v="15"/>
    <x v="714"/>
    <n v="11247.31"/>
    <n v="6198.52"/>
    <x v="1"/>
    <s v="UPI"/>
    <s v="May"/>
    <n v="2026"/>
  </r>
  <r>
    <s v="ORD100717"/>
    <d v="2026-03-09T00:00:00"/>
    <x v="3"/>
    <s v="Bhubaneswar"/>
    <x v="5"/>
    <x v="2"/>
    <x v="2"/>
    <s v="Printer Ink"/>
    <x v="693"/>
    <n v="7"/>
    <n v="351.86"/>
    <n v="20"/>
    <x v="715"/>
    <n v="1359.24"/>
    <n v="611.17999999999995"/>
    <x v="1"/>
    <s v="Cash"/>
    <s v="March"/>
    <n v="2026"/>
  </r>
  <r>
    <s v="ORD100718"/>
    <d v="2025-06-14T00:00:00"/>
    <x v="0"/>
    <s v="Ahmedabad"/>
    <x v="7"/>
    <x v="2"/>
    <x v="2"/>
    <s v="Paper"/>
    <x v="694"/>
    <n v="1"/>
    <n v="2642.83"/>
    <n v="0"/>
    <x v="716"/>
    <n v="1547.67"/>
    <n v="1095.1600000000001"/>
    <x v="2"/>
    <s v="Net Banking"/>
    <s v="June"/>
    <n v="2025"/>
  </r>
  <r>
    <s v="ORD100719"/>
    <d v="2025-08-12T00:00:00"/>
    <x v="1"/>
    <s v="Delhi"/>
    <x v="4"/>
    <x v="1"/>
    <x v="0"/>
    <s v="Keyboard"/>
    <x v="695"/>
    <n v="6"/>
    <n v="1771.53"/>
    <n v="0"/>
    <x v="717"/>
    <n v="8197.7800000000007"/>
    <n v="2431.4"/>
    <x v="0"/>
    <s v="Cash"/>
    <s v="August"/>
    <n v="2025"/>
  </r>
  <r>
    <s v="ORD100720"/>
    <d v="2026-02-18T00:00:00"/>
    <x v="2"/>
    <s v="Bengaluru"/>
    <x v="3"/>
    <x v="1"/>
    <x v="0"/>
    <s v="Laptop"/>
    <x v="696"/>
    <n v="4"/>
    <n v="3438.5"/>
    <n v="15"/>
    <x v="718"/>
    <n v="8846.73"/>
    <n v="2844.17"/>
    <x v="2"/>
    <s v="Net Banking"/>
    <s v="February"/>
    <n v="2026"/>
  </r>
  <r>
    <s v="ORD100721"/>
    <d v="2025-07-08T00:00:00"/>
    <x v="0"/>
    <s v="Mumbai"/>
    <x v="3"/>
    <x v="0"/>
    <x v="1"/>
    <s v="Cabinet"/>
    <x v="697"/>
    <n v="13"/>
    <n v="730.54"/>
    <n v="15"/>
    <x v="719"/>
    <n v="4723.12"/>
    <n v="3349.35"/>
    <x v="2"/>
    <s v="Net Banking"/>
    <s v="July"/>
    <n v="2025"/>
  </r>
  <r>
    <s v="ORD100722"/>
    <d v="2026-01-08T00:00:00"/>
    <x v="1"/>
    <s v="Delhi"/>
    <x v="3"/>
    <x v="2"/>
    <x v="2"/>
    <s v="Printer Ink"/>
    <x v="698"/>
    <n v="2"/>
    <n v="3891.54"/>
    <n v="10"/>
    <x v="720"/>
    <n v="4434.72"/>
    <n v="2570.0500000000002"/>
    <x v="0"/>
    <s v="Net Banking"/>
    <s v="January"/>
    <n v="2026"/>
  </r>
  <r>
    <s v="ORD100723"/>
    <d v="2025-06-18T00:00:00"/>
    <x v="1"/>
    <s v="Chandigarh"/>
    <x v="7"/>
    <x v="2"/>
    <x v="2"/>
    <s v="Printer Ink"/>
    <x v="319"/>
    <n v="15"/>
    <n v="2590.6"/>
    <n v="5"/>
    <x v="721"/>
    <n v="29134.12"/>
    <n v="7781.93"/>
    <x v="1"/>
    <s v="Card"/>
    <s v="June"/>
    <n v="2025"/>
  </r>
  <r>
    <s v="ORD100724"/>
    <d v="2026-03-26T00:00:00"/>
    <x v="0"/>
    <s v="Mumbai"/>
    <x v="1"/>
    <x v="0"/>
    <x v="0"/>
    <s v="Laptop"/>
    <x v="699"/>
    <n v="12"/>
    <n v="3485.45"/>
    <n v="0"/>
    <x v="722"/>
    <n v="25067.05"/>
    <n v="16758.349999999999"/>
    <x v="0"/>
    <s v="UPI"/>
    <s v="March"/>
    <n v="2026"/>
  </r>
  <r>
    <s v="ORD100725"/>
    <d v="2026-02-24T00:00:00"/>
    <x v="2"/>
    <s v="Chennai"/>
    <x v="7"/>
    <x v="1"/>
    <x v="2"/>
    <s v="Folders"/>
    <x v="700"/>
    <n v="10"/>
    <n v="4191.0600000000004"/>
    <n v="20"/>
    <x v="723"/>
    <n v="25017.32"/>
    <n v="8511.16"/>
    <x v="0"/>
    <s v="UPI"/>
    <s v="February"/>
    <n v="2026"/>
  </r>
  <r>
    <s v="ORD100726"/>
    <d v="2025-07-14T00:00:00"/>
    <x v="1"/>
    <s v="Delhi"/>
    <x v="7"/>
    <x v="0"/>
    <x v="1"/>
    <s v="Table"/>
    <x v="701"/>
    <n v="1"/>
    <n v="2905.04"/>
    <n v="5"/>
    <x v="724"/>
    <n v="1907.95"/>
    <n v="851.84"/>
    <x v="1"/>
    <s v="Card"/>
    <s v="July"/>
    <n v="2025"/>
  </r>
  <r>
    <s v="ORD100727"/>
    <d v="2026-06-26T00:00:00"/>
    <x v="2"/>
    <s v="Chennai"/>
    <x v="2"/>
    <x v="0"/>
    <x v="0"/>
    <s v="Mouse"/>
    <x v="702"/>
    <n v="5"/>
    <n v="623.6"/>
    <n v="10"/>
    <x v="725"/>
    <n v="1930.46"/>
    <n v="875.74"/>
    <x v="0"/>
    <s v="UPI"/>
    <s v="June"/>
    <n v="2026"/>
  </r>
  <r>
    <s v="ORD100728"/>
    <d v="2025-01-07T00:00:00"/>
    <x v="2"/>
    <s v="Bengaluru"/>
    <x v="7"/>
    <x v="2"/>
    <x v="2"/>
    <s v="Paper"/>
    <x v="703"/>
    <n v="8"/>
    <n v="2033.91"/>
    <n v="5"/>
    <x v="726"/>
    <n v="12105.53"/>
    <n v="3352.19"/>
    <x v="0"/>
    <s v="UPI"/>
    <s v="January"/>
    <n v="2025"/>
  </r>
  <r>
    <s v="ORD100729"/>
    <d v="2025-08-05T00:00:00"/>
    <x v="2"/>
    <s v="Bengaluru"/>
    <x v="2"/>
    <x v="2"/>
    <x v="1"/>
    <s v="Cabinet"/>
    <x v="704"/>
    <n v="4"/>
    <n v="3307.28"/>
    <n v="5"/>
    <x v="727"/>
    <n v="8386.81"/>
    <n v="4180.8500000000004"/>
    <x v="1"/>
    <s v="UPI"/>
    <s v="August"/>
    <n v="2025"/>
  </r>
  <r>
    <s v="ORD100730"/>
    <d v="2025-04-06T00:00:00"/>
    <x v="1"/>
    <s v="Delhi"/>
    <x v="2"/>
    <x v="0"/>
    <x v="1"/>
    <s v="Cabinet"/>
    <x v="479"/>
    <n v="12"/>
    <n v="975.14"/>
    <n v="5"/>
    <x v="728"/>
    <n v="6649.67"/>
    <n v="4466.93"/>
    <x v="1"/>
    <s v="Card"/>
    <s v="April"/>
    <n v="2025"/>
  </r>
  <r>
    <s v="ORD100731"/>
    <d v="2026-03-28T00:00:00"/>
    <x v="2"/>
    <s v="Bengaluru"/>
    <x v="0"/>
    <x v="2"/>
    <x v="1"/>
    <s v="Desk"/>
    <x v="538"/>
    <n v="3"/>
    <n v="623.21"/>
    <n v="20"/>
    <x v="729"/>
    <n v="1096.54"/>
    <n v="399.16"/>
    <x v="2"/>
    <s v="Net Banking"/>
    <s v="March"/>
    <n v="2026"/>
  </r>
  <r>
    <s v="ORD100732"/>
    <d v="2026-03-03T00:00:00"/>
    <x v="1"/>
    <s v="Delhi"/>
    <x v="7"/>
    <x v="0"/>
    <x v="0"/>
    <s v="Laptop"/>
    <x v="705"/>
    <n v="13"/>
    <n v="4140.6099999999997"/>
    <n v="15"/>
    <x v="730"/>
    <n v="27265.919999999998"/>
    <n v="18487.82"/>
    <x v="0"/>
    <s v="UPI"/>
    <s v="March"/>
    <n v="2026"/>
  </r>
  <r>
    <s v="ORD100733"/>
    <d v="2025-04-10T00:00:00"/>
    <x v="0"/>
    <s v="Mumbai"/>
    <x v="7"/>
    <x v="2"/>
    <x v="2"/>
    <s v="Pens"/>
    <x v="706"/>
    <n v="5"/>
    <n v="1112.55"/>
    <n v="0"/>
    <x v="731"/>
    <n v="3909.05"/>
    <n v="1653.7"/>
    <x v="1"/>
    <s v="Cash"/>
    <s v="April"/>
    <n v="2025"/>
  </r>
  <r>
    <s v="ORD100734"/>
    <d v="2026-02-23T00:00:00"/>
    <x v="0"/>
    <s v="Mumbai"/>
    <x v="7"/>
    <x v="2"/>
    <x v="0"/>
    <s v="Headphones"/>
    <x v="707"/>
    <n v="5"/>
    <n v="844.44"/>
    <n v="5"/>
    <x v="732"/>
    <n v="2397.2800000000002"/>
    <n v="1613.81"/>
    <x v="2"/>
    <s v="Card"/>
    <s v="February"/>
    <n v="2026"/>
  </r>
  <r>
    <s v="ORD100735"/>
    <d v="2026-04-19T00:00:00"/>
    <x v="2"/>
    <s v="Chennai"/>
    <x v="6"/>
    <x v="2"/>
    <x v="2"/>
    <s v="Notebook"/>
    <x v="708"/>
    <n v="11"/>
    <n v="2672.62"/>
    <n v="10"/>
    <x v="733"/>
    <n v="20903.23"/>
    <n v="5555.71"/>
    <x v="2"/>
    <s v="Card"/>
    <s v="April"/>
    <n v="2026"/>
  </r>
  <r>
    <s v="ORD100736"/>
    <d v="2026-06-04T00:00:00"/>
    <x v="3"/>
    <s v="Bhubaneswar"/>
    <x v="1"/>
    <x v="1"/>
    <x v="2"/>
    <s v="Printer Ink"/>
    <x v="709"/>
    <n v="7"/>
    <n v="4535.59"/>
    <n v="10"/>
    <x v="734"/>
    <n v="18125.88"/>
    <n v="10448.34"/>
    <x v="1"/>
    <s v="Card"/>
    <s v="June"/>
    <n v="2026"/>
  </r>
  <r>
    <s v="ORD100737"/>
    <d v="2026-06-23T00:00:00"/>
    <x v="3"/>
    <s v="Kolkata"/>
    <x v="0"/>
    <x v="1"/>
    <x v="0"/>
    <s v="Laptop"/>
    <x v="710"/>
    <n v="10"/>
    <n v="865.71"/>
    <n v="5"/>
    <x v="735"/>
    <n v="4605.22"/>
    <n v="3619.03"/>
    <x v="0"/>
    <s v="Cash"/>
    <s v="June"/>
    <n v="2026"/>
  </r>
  <r>
    <s v="ORD100738"/>
    <d v="2025-12-24T00:00:00"/>
    <x v="0"/>
    <s v="Ahmedabad"/>
    <x v="7"/>
    <x v="1"/>
    <x v="2"/>
    <s v="Paper"/>
    <x v="711"/>
    <n v="5"/>
    <n v="2515.58"/>
    <n v="0"/>
    <x v="736"/>
    <n v="8736.84"/>
    <n v="3841.06"/>
    <x v="1"/>
    <s v="UPI"/>
    <s v="December"/>
    <n v="2025"/>
  </r>
  <r>
    <s v="ORD100739"/>
    <d v="2025-11-27T00:00:00"/>
    <x v="2"/>
    <s v="Bengaluru"/>
    <x v="4"/>
    <x v="1"/>
    <x v="1"/>
    <s v="Table"/>
    <x v="712"/>
    <n v="3"/>
    <n v="1422.59"/>
    <n v="5"/>
    <x v="737"/>
    <n v="3225.21"/>
    <n v="829.17"/>
    <x v="2"/>
    <s v="UPI"/>
    <s v="November"/>
    <n v="2025"/>
  </r>
  <r>
    <s v="ORD100740"/>
    <d v="2025-06-15T00:00:00"/>
    <x v="1"/>
    <s v="Delhi"/>
    <x v="3"/>
    <x v="0"/>
    <x v="1"/>
    <s v="Desk"/>
    <x v="713"/>
    <n v="4"/>
    <n v="712.4"/>
    <n v="20"/>
    <x v="738"/>
    <n v="1611.55"/>
    <n v="668.13"/>
    <x v="2"/>
    <s v="Card"/>
    <s v="June"/>
    <n v="2025"/>
  </r>
  <r>
    <s v="ORD100741"/>
    <d v="2025-08-11T00:00:00"/>
    <x v="3"/>
    <s v="Kolkata"/>
    <x v="3"/>
    <x v="0"/>
    <x v="2"/>
    <s v="Pens"/>
    <x v="714"/>
    <n v="5"/>
    <n v="4127.37"/>
    <n v="15"/>
    <x v="739"/>
    <n v="13831.7"/>
    <n v="3709.62"/>
    <x v="1"/>
    <s v="UPI"/>
    <s v="August"/>
    <n v="2025"/>
  </r>
  <r>
    <s v="ORD100742"/>
    <d v="2025-05-22T00:00:00"/>
    <x v="1"/>
    <s v="Delhi"/>
    <x v="5"/>
    <x v="1"/>
    <x v="0"/>
    <s v="Laptop"/>
    <x v="386"/>
    <n v="12"/>
    <n v="2938.19"/>
    <n v="15"/>
    <x v="740"/>
    <n v="23230.29"/>
    <n v="6739.25"/>
    <x v="1"/>
    <s v="Cash"/>
    <s v="May"/>
    <n v="2025"/>
  </r>
  <r>
    <s v="ORD100743"/>
    <d v="2025-07-24T00:00:00"/>
    <x v="2"/>
    <s v="Chennai"/>
    <x v="1"/>
    <x v="1"/>
    <x v="0"/>
    <s v="Monitor"/>
    <x v="715"/>
    <n v="11"/>
    <n v="2122.69"/>
    <n v="10"/>
    <x v="741"/>
    <n v="11983.78"/>
    <n v="9030.85"/>
    <x v="1"/>
    <s v="Card"/>
    <s v="July"/>
    <n v="2025"/>
  </r>
  <r>
    <s v="ORD100744"/>
    <d v="2025-01-10T00:00:00"/>
    <x v="1"/>
    <s v="Delhi"/>
    <x v="6"/>
    <x v="0"/>
    <x v="0"/>
    <s v="Keyboard"/>
    <x v="716"/>
    <n v="12"/>
    <n v="528.52"/>
    <n v="5"/>
    <x v="742"/>
    <n v="4294.78"/>
    <n v="1730.35"/>
    <x v="2"/>
    <s v="Cash"/>
    <s v="January"/>
    <n v="2025"/>
  </r>
  <r>
    <s v="ORD100745"/>
    <d v="2026-03-11T00:00:00"/>
    <x v="3"/>
    <s v="Kolkata"/>
    <x v="6"/>
    <x v="2"/>
    <x v="1"/>
    <s v="Cabinet"/>
    <x v="717"/>
    <n v="4"/>
    <n v="1163.1199999999999"/>
    <n v="0"/>
    <x v="743"/>
    <n v="2678.24"/>
    <n v="1974.24"/>
    <x v="1"/>
    <s v="Net Banking"/>
    <s v="March"/>
    <n v="2026"/>
  </r>
  <r>
    <s v="ORD100746"/>
    <d v="2026-02-08T00:00:00"/>
    <x v="3"/>
    <s v="Bhubaneswar"/>
    <x v="1"/>
    <x v="2"/>
    <x v="2"/>
    <s v="Notebook"/>
    <x v="718"/>
    <n v="2"/>
    <n v="3897.07"/>
    <n v="0"/>
    <x v="744"/>
    <n v="4847.58"/>
    <n v="2946.56"/>
    <x v="1"/>
    <s v="UPI"/>
    <s v="February"/>
    <n v="2026"/>
  </r>
  <r>
    <s v="ORD100747"/>
    <d v="2025-02-08T00:00:00"/>
    <x v="1"/>
    <s v="Chandigarh"/>
    <x v="3"/>
    <x v="2"/>
    <x v="1"/>
    <s v="Table"/>
    <x v="25"/>
    <n v="15"/>
    <n v="3989.01"/>
    <n v="5"/>
    <x v="745"/>
    <n v="36279.269999999997"/>
    <n v="20564.12"/>
    <x v="2"/>
    <s v="Net Banking"/>
    <s v="February"/>
    <n v="2025"/>
  </r>
  <r>
    <s v="ORD100748"/>
    <d v="2026-02-11T00:00:00"/>
    <x v="0"/>
    <s v="Mumbai"/>
    <x v="2"/>
    <x v="1"/>
    <x v="1"/>
    <s v="Cabinet"/>
    <x v="719"/>
    <n v="7"/>
    <n v="1891.5"/>
    <n v="0"/>
    <x v="746"/>
    <n v="9406.98"/>
    <n v="3833.52"/>
    <x v="0"/>
    <s v="Cash"/>
    <s v="February"/>
    <n v="2026"/>
  </r>
  <r>
    <s v="ORD100749"/>
    <d v="2025-09-04T00:00:00"/>
    <x v="1"/>
    <s v="Chandigarh"/>
    <x v="0"/>
    <x v="2"/>
    <x v="2"/>
    <s v="Printer Ink"/>
    <x v="720"/>
    <n v="5"/>
    <n v="1478.21"/>
    <n v="15"/>
    <x v="747"/>
    <n v="3793.01"/>
    <n v="2489.38"/>
    <x v="0"/>
    <s v="UPI"/>
    <s v="September"/>
    <n v="2025"/>
  </r>
  <r>
    <s v="ORD100750"/>
    <d v="2025-10-29T00:00:00"/>
    <x v="3"/>
    <s v="Kolkata"/>
    <x v="7"/>
    <x v="0"/>
    <x v="1"/>
    <s v="Bookshelf"/>
    <x v="721"/>
    <n v="8"/>
    <n v="4028.87"/>
    <n v="0"/>
    <x v="748"/>
    <n v="23389.93"/>
    <n v="8841.0300000000007"/>
    <x v="0"/>
    <s v="Net Banking"/>
    <s v="October"/>
    <n v="2025"/>
  </r>
  <r>
    <s v="ORD100751"/>
    <d v="2026-05-26T00:00:00"/>
    <x v="0"/>
    <s v="Ahmedabad"/>
    <x v="0"/>
    <x v="2"/>
    <x v="2"/>
    <s v="Notebook"/>
    <x v="722"/>
    <n v="4"/>
    <n v="605.47"/>
    <n v="10"/>
    <x v="749"/>
    <n v="1596.88"/>
    <n v="582.80999999999995"/>
    <x v="2"/>
    <s v="Card"/>
    <s v="May"/>
    <n v="2026"/>
  </r>
  <r>
    <s v="ORD100752"/>
    <d v="2025-02-25T00:00:00"/>
    <x v="3"/>
    <s v="Kolkata"/>
    <x v="6"/>
    <x v="1"/>
    <x v="1"/>
    <s v="Table"/>
    <x v="723"/>
    <n v="2"/>
    <n v="3483.91"/>
    <n v="0"/>
    <x v="750"/>
    <n v="4913.66"/>
    <n v="2054.16"/>
    <x v="1"/>
    <s v="Card"/>
    <s v="February"/>
    <n v="2025"/>
  </r>
  <r>
    <s v="ORD100753"/>
    <d v="2025-12-23T00:00:00"/>
    <x v="3"/>
    <s v="Kolkata"/>
    <x v="7"/>
    <x v="2"/>
    <x v="2"/>
    <s v="Pens"/>
    <x v="724"/>
    <n v="13"/>
    <n v="802.96"/>
    <n v="20"/>
    <x v="751"/>
    <n v="4688.62"/>
    <n v="3662.16"/>
    <x v="1"/>
    <s v="Card"/>
    <s v="December"/>
    <n v="2025"/>
  </r>
  <r>
    <s v="ORD100754"/>
    <d v="2025-05-30T00:00:00"/>
    <x v="1"/>
    <s v="Delhi"/>
    <x v="3"/>
    <x v="2"/>
    <x v="2"/>
    <s v="Pens"/>
    <x v="725"/>
    <n v="6"/>
    <n v="736.94"/>
    <n v="5"/>
    <x v="752"/>
    <n v="2357.4699999999998"/>
    <n v="1843.09"/>
    <x v="1"/>
    <s v="Net Banking"/>
    <s v="May"/>
    <n v="2025"/>
  </r>
  <r>
    <s v="ORD100755"/>
    <d v="2025-11-12T00:00:00"/>
    <x v="0"/>
    <s v="Ahmedabad"/>
    <x v="5"/>
    <x v="0"/>
    <x v="2"/>
    <s v="Printer Ink"/>
    <x v="726"/>
    <n v="4"/>
    <n v="4098.5"/>
    <n v="20"/>
    <x v="753"/>
    <n v="8252.15"/>
    <n v="4863.05"/>
    <x v="1"/>
    <s v="Net Banking"/>
    <s v="November"/>
    <n v="2025"/>
  </r>
  <r>
    <s v="ORD100756"/>
    <d v="2026-06-26T00:00:00"/>
    <x v="1"/>
    <s v="Chandigarh"/>
    <x v="0"/>
    <x v="0"/>
    <x v="1"/>
    <s v="Chair"/>
    <x v="727"/>
    <n v="7"/>
    <n v="3095.52"/>
    <n v="10"/>
    <x v="754"/>
    <n v="10747.75"/>
    <n v="8754.0300000000007"/>
    <x v="1"/>
    <s v="UPI"/>
    <s v="June"/>
    <n v="2026"/>
  </r>
  <r>
    <s v="ORD100757"/>
    <d v="2026-06-28T00:00:00"/>
    <x v="3"/>
    <s v="Kolkata"/>
    <x v="7"/>
    <x v="2"/>
    <x v="1"/>
    <s v="Cabinet"/>
    <x v="728"/>
    <n v="5"/>
    <n v="3952.05"/>
    <n v="0"/>
    <x v="755"/>
    <n v="14234.7"/>
    <n v="5525.55"/>
    <x v="2"/>
    <s v="Cash"/>
    <s v="June"/>
    <n v="2026"/>
  </r>
  <r>
    <s v="ORD100758"/>
    <d v="2025-06-09T00:00:00"/>
    <x v="0"/>
    <s v="Mumbai"/>
    <x v="0"/>
    <x v="1"/>
    <x v="1"/>
    <s v="Cabinet"/>
    <x v="729"/>
    <n v="8"/>
    <n v="4421.28"/>
    <n v="0"/>
    <x v="756"/>
    <n v="27958.11"/>
    <n v="7412.13"/>
    <x v="2"/>
    <s v="Cash"/>
    <s v="June"/>
    <n v="2025"/>
  </r>
  <r>
    <s v="ORD100759"/>
    <d v="2025-10-11T00:00:00"/>
    <x v="3"/>
    <s v="Kolkata"/>
    <x v="5"/>
    <x v="1"/>
    <x v="1"/>
    <s v="Table"/>
    <x v="730"/>
    <n v="7"/>
    <n v="4472.1099999999997"/>
    <n v="0"/>
    <x v="757"/>
    <n v="18270.5"/>
    <n v="13034.27"/>
    <x v="2"/>
    <s v="Cash"/>
    <s v="October"/>
    <n v="2025"/>
  </r>
  <r>
    <s v="ORD100760"/>
    <d v="2025-12-08T00:00:00"/>
    <x v="3"/>
    <s v="Bhubaneswar"/>
    <x v="3"/>
    <x v="2"/>
    <x v="2"/>
    <s v="Pens"/>
    <x v="731"/>
    <n v="5"/>
    <n v="2541.4899999999998"/>
    <n v="5"/>
    <x v="758"/>
    <n v="7155.88"/>
    <n v="4916.2"/>
    <x v="1"/>
    <s v="UPI"/>
    <s v="December"/>
    <n v="2025"/>
  </r>
  <r>
    <s v="ORD100761"/>
    <d v="2025-05-31T00:00:00"/>
    <x v="3"/>
    <s v="Kolkata"/>
    <x v="2"/>
    <x v="1"/>
    <x v="1"/>
    <s v="Bookshelf"/>
    <x v="732"/>
    <n v="5"/>
    <n v="4897.3900000000003"/>
    <n v="20"/>
    <x v="759"/>
    <n v="14642.36"/>
    <n v="4947.2"/>
    <x v="1"/>
    <s v="Card"/>
    <s v="May"/>
    <n v="2025"/>
  </r>
  <r>
    <s v="ORD100762"/>
    <d v="2026-04-12T00:00:00"/>
    <x v="3"/>
    <s v="Bhubaneswar"/>
    <x v="5"/>
    <x v="0"/>
    <x v="0"/>
    <s v="Headphones"/>
    <x v="733"/>
    <n v="6"/>
    <n v="1413.27"/>
    <n v="15"/>
    <x v="760"/>
    <n v="4390.51"/>
    <n v="2817.17"/>
    <x v="0"/>
    <s v="UPI"/>
    <s v="April"/>
    <n v="2026"/>
  </r>
  <r>
    <s v="ORD100763"/>
    <d v="2025-03-20T00:00:00"/>
    <x v="2"/>
    <s v="Bengaluru"/>
    <x v="1"/>
    <x v="2"/>
    <x v="1"/>
    <s v="Desk"/>
    <x v="734"/>
    <n v="11"/>
    <n v="934.51"/>
    <n v="0"/>
    <x v="761"/>
    <n v="7409.9"/>
    <n v="2869.71"/>
    <x v="0"/>
    <s v="Card"/>
    <s v="March"/>
    <n v="2025"/>
  </r>
  <r>
    <s v="ORD100764"/>
    <d v="2026-01-11T00:00:00"/>
    <x v="3"/>
    <s v="Bhubaneswar"/>
    <x v="6"/>
    <x v="2"/>
    <x v="1"/>
    <s v="Chair"/>
    <x v="735"/>
    <n v="14"/>
    <n v="356.94"/>
    <n v="10"/>
    <x v="762"/>
    <n v="3482.8"/>
    <n v="1014.64"/>
    <x v="2"/>
    <s v="Cash"/>
    <s v="January"/>
    <n v="2026"/>
  </r>
  <r>
    <s v="ORD100765"/>
    <d v="2025-10-17T00:00:00"/>
    <x v="3"/>
    <s v="Bhubaneswar"/>
    <x v="4"/>
    <x v="0"/>
    <x v="1"/>
    <s v="Chair"/>
    <x v="736"/>
    <n v="15"/>
    <n v="2716.28"/>
    <n v="15"/>
    <x v="763"/>
    <n v="25526.639999999999"/>
    <n v="9105.93"/>
    <x v="2"/>
    <s v="Net Banking"/>
    <s v="October"/>
    <n v="2025"/>
  </r>
  <r>
    <s v="ORD100766"/>
    <d v="2026-03-29T00:00:00"/>
    <x v="2"/>
    <s v="Chennai"/>
    <x v="2"/>
    <x v="1"/>
    <x v="1"/>
    <s v="Cabinet"/>
    <x v="737"/>
    <n v="4"/>
    <n v="4618.24"/>
    <n v="5"/>
    <x v="764"/>
    <n v="10724.05"/>
    <n v="6825.26"/>
    <x v="2"/>
    <s v="Card"/>
    <s v="March"/>
    <n v="2026"/>
  </r>
  <r>
    <s v="ORD100767"/>
    <d v="2025-06-11T00:00:00"/>
    <x v="3"/>
    <s v="Kolkata"/>
    <x v="5"/>
    <x v="0"/>
    <x v="2"/>
    <s v="Printer Ink"/>
    <x v="738"/>
    <n v="9"/>
    <n v="4866.88"/>
    <n v="20"/>
    <x v="765"/>
    <n v="22579.72"/>
    <n v="12461.82"/>
    <x v="2"/>
    <s v="Cash"/>
    <s v="June"/>
    <n v="2025"/>
  </r>
  <r>
    <s v="ORD100768"/>
    <d v="2025-09-28T00:00:00"/>
    <x v="2"/>
    <s v="Chennai"/>
    <x v="0"/>
    <x v="0"/>
    <x v="2"/>
    <s v="Pens"/>
    <x v="739"/>
    <n v="4"/>
    <n v="1825.91"/>
    <n v="10"/>
    <x v="766"/>
    <n v="5373.68"/>
    <n v="1199.5999999999999"/>
    <x v="0"/>
    <s v="Cash"/>
    <s v="September"/>
    <n v="2025"/>
  </r>
  <r>
    <s v="ORD100769"/>
    <d v="2025-01-11T00:00:00"/>
    <x v="3"/>
    <s v="Bhubaneswar"/>
    <x v="7"/>
    <x v="2"/>
    <x v="0"/>
    <s v="Headphones"/>
    <x v="740"/>
    <n v="4"/>
    <n v="3982.05"/>
    <n v="0"/>
    <x v="767"/>
    <n v="9821.3700000000008"/>
    <n v="6106.83"/>
    <x v="0"/>
    <s v="Card"/>
    <s v="January"/>
    <n v="2025"/>
  </r>
  <r>
    <s v="ORD100770"/>
    <d v="2025-10-15T00:00:00"/>
    <x v="0"/>
    <s v="Mumbai"/>
    <x v="3"/>
    <x v="0"/>
    <x v="2"/>
    <s v="Folders"/>
    <x v="741"/>
    <n v="4"/>
    <n v="1065.92"/>
    <n v="15"/>
    <x v="768"/>
    <n v="2308.6799999999998"/>
    <n v="1315.45"/>
    <x v="0"/>
    <s v="Card"/>
    <s v="October"/>
    <n v="2025"/>
  </r>
  <r>
    <s v="ORD100771"/>
    <d v="2025-02-27T00:00:00"/>
    <x v="2"/>
    <s v="Chennai"/>
    <x v="6"/>
    <x v="0"/>
    <x v="2"/>
    <s v="Pens"/>
    <x v="742"/>
    <n v="11"/>
    <n v="3343.26"/>
    <n v="5"/>
    <x v="769"/>
    <n v="20060.57"/>
    <n v="14876.5"/>
    <x v="2"/>
    <s v="Card"/>
    <s v="February"/>
    <n v="2025"/>
  </r>
  <r>
    <s v="ORD100772"/>
    <d v="2025-03-22T00:00:00"/>
    <x v="2"/>
    <s v="Bengaluru"/>
    <x v="0"/>
    <x v="1"/>
    <x v="2"/>
    <s v="Paper"/>
    <x v="743"/>
    <n v="6"/>
    <n v="741.14"/>
    <n v="10"/>
    <x v="770"/>
    <n v="2402.1799999999998"/>
    <n v="1599.98"/>
    <x v="0"/>
    <s v="Card"/>
    <s v="March"/>
    <n v="2025"/>
  </r>
  <r>
    <s v="ORD100773"/>
    <d v="2025-09-17T00:00:00"/>
    <x v="2"/>
    <s v="Bengaluru"/>
    <x v="3"/>
    <x v="0"/>
    <x v="1"/>
    <s v="Chair"/>
    <x v="744"/>
    <n v="11"/>
    <n v="4408.57"/>
    <n v="15"/>
    <x v="771"/>
    <n v="31490.560000000001"/>
    <n v="9729.57"/>
    <x v="1"/>
    <s v="Card"/>
    <s v="September"/>
    <n v="2025"/>
  </r>
  <r>
    <s v="ORD100774"/>
    <d v="2025-02-17T00:00:00"/>
    <x v="1"/>
    <s v="Chandigarh"/>
    <x v="6"/>
    <x v="2"/>
    <x v="2"/>
    <s v="Paper"/>
    <x v="745"/>
    <n v="14"/>
    <n v="901.16"/>
    <n v="20"/>
    <x v="772"/>
    <n v="7899.18"/>
    <n v="2193.81"/>
    <x v="1"/>
    <s v="UPI"/>
    <s v="February"/>
    <n v="2025"/>
  </r>
  <r>
    <s v="ORD100775"/>
    <d v="2025-05-16T00:00:00"/>
    <x v="2"/>
    <s v="Chennai"/>
    <x v="5"/>
    <x v="1"/>
    <x v="0"/>
    <s v="Keyboard"/>
    <x v="746"/>
    <n v="4"/>
    <n v="1494.77"/>
    <n v="15"/>
    <x v="773"/>
    <n v="2852.13"/>
    <n v="2230.09"/>
    <x v="1"/>
    <s v="Card"/>
    <s v="May"/>
    <n v="2025"/>
  </r>
  <r>
    <s v="ORD100776"/>
    <d v="2025-11-26T00:00:00"/>
    <x v="1"/>
    <s v="Chandigarh"/>
    <x v="0"/>
    <x v="1"/>
    <x v="0"/>
    <s v="Headphones"/>
    <x v="747"/>
    <n v="4"/>
    <n v="737.64"/>
    <n v="5"/>
    <x v="774"/>
    <n v="2152.14"/>
    <n v="650.89"/>
    <x v="0"/>
    <s v="Card"/>
    <s v="November"/>
    <n v="2025"/>
  </r>
  <r>
    <s v="ORD100777"/>
    <d v="2025-11-03T00:00:00"/>
    <x v="0"/>
    <s v="Ahmedabad"/>
    <x v="5"/>
    <x v="1"/>
    <x v="2"/>
    <s v="Pens"/>
    <x v="748"/>
    <n v="11"/>
    <n v="3506.42"/>
    <n v="20"/>
    <x v="775"/>
    <n v="19860.98"/>
    <n v="10995.52"/>
    <x v="1"/>
    <s v="Net Banking"/>
    <s v="November"/>
    <n v="2025"/>
  </r>
  <r>
    <s v="ORD100778"/>
    <d v="2025-10-18T00:00:00"/>
    <x v="3"/>
    <s v="Kolkata"/>
    <x v="0"/>
    <x v="1"/>
    <x v="0"/>
    <s v="Monitor"/>
    <x v="612"/>
    <n v="13"/>
    <n v="3630.65"/>
    <n v="0"/>
    <x v="776"/>
    <n v="32172.3"/>
    <n v="15026.15"/>
    <x v="2"/>
    <s v="Card"/>
    <s v="October"/>
    <n v="2025"/>
  </r>
  <r>
    <s v="ORD100779"/>
    <d v="2025-09-21T00:00:00"/>
    <x v="2"/>
    <s v="Bengaluru"/>
    <x v="6"/>
    <x v="2"/>
    <x v="2"/>
    <s v="Printer Ink"/>
    <x v="466"/>
    <n v="8"/>
    <n v="3549.92"/>
    <n v="15"/>
    <x v="777"/>
    <n v="14822.46"/>
    <n v="9317"/>
    <x v="1"/>
    <s v="Cash"/>
    <s v="September"/>
    <n v="2025"/>
  </r>
  <r>
    <s v="ORD100780"/>
    <d v="2026-01-15T00:00:00"/>
    <x v="0"/>
    <s v="Ahmedabad"/>
    <x v="3"/>
    <x v="0"/>
    <x v="0"/>
    <s v="Laptop"/>
    <x v="749"/>
    <n v="13"/>
    <n v="2445.54"/>
    <n v="0"/>
    <x v="778"/>
    <n v="23568.7"/>
    <n v="8223.32"/>
    <x v="1"/>
    <s v="Card"/>
    <s v="January"/>
    <n v="2026"/>
  </r>
  <r>
    <s v="ORD100781"/>
    <d v="2025-04-23T00:00:00"/>
    <x v="1"/>
    <s v="Delhi"/>
    <x v="2"/>
    <x v="1"/>
    <x v="1"/>
    <s v="Cabinet"/>
    <x v="750"/>
    <n v="7"/>
    <n v="4394.6400000000003"/>
    <n v="20"/>
    <x v="779"/>
    <n v="18201.54"/>
    <n v="6408.44"/>
    <x v="2"/>
    <s v="Cash"/>
    <s v="April"/>
    <n v="2025"/>
  </r>
  <r>
    <s v="ORD100782"/>
    <d v="2025-06-23T00:00:00"/>
    <x v="3"/>
    <s v="Kolkata"/>
    <x v="1"/>
    <x v="0"/>
    <x v="1"/>
    <s v="Desk"/>
    <x v="751"/>
    <n v="8"/>
    <n v="2153.1999999999998"/>
    <n v="15"/>
    <x v="780"/>
    <n v="10825.08"/>
    <n v="3816.68"/>
    <x v="0"/>
    <s v="Cash"/>
    <s v="June"/>
    <n v="2025"/>
  </r>
  <r>
    <s v="ORD100783"/>
    <d v="2026-01-31T00:00:00"/>
    <x v="0"/>
    <s v="Mumbai"/>
    <x v="7"/>
    <x v="0"/>
    <x v="1"/>
    <s v="Bookshelf"/>
    <x v="752"/>
    <n v="1"/>
    <n v="4247.76"/>
    <n v="15"/>
    <x v="781"/>
    <n v="2198.44"/>
    <n v="1412.16"/>
    <x v="1"/>
    <s v="Cash"/>
    <s v="January"/>
    <n v="2026"/>
  </r>
  <r>
    <s v="ORD100784"/>
    <d v="2025-09-09T00:00:00"/>
    <x v="2"/>
    <s v="Chennai"/>
    <x v="4"/>
    <x v="0"/>
    <x v="1"/>
    <s v="Desk"/>
    <x v="753"/>
    <n v="11"/>
    <n v="4684.79"/>
    <n v="20"/>
    <x v="782"/>
    <n v="25283.77"/>
    <n v="15942.38"/>
    <x v="1"/>
    <s v="Cash"/>
    <s v="September"/>
    <n v="2025"/>
  </r>
  <r>
    <s v="ORD100785"/>
    <d v="2025-03-25T00:00:00"/>
    <x v="2"/>
    <s v="Bengaluru"/>
    <x v="0"/>
    <x v="1"/>
    <x v="0"/>
    <s v="Monitor"/>
    <x v="182"/>
    <n v="14"/>
    <n v="568.20000000000005"/>
    <n v="20"/>
    <x v="783"/>
    <n v="3895.83"/>
    <n v="2468.0100000000002"/>
    <x v="1"/>
    <s v="Card"/>
    <s v="March"/>
    <n v="2025"/>
  </r>
  <r>
    <s v="ORD100786"/>
    <d v="2025-02-13T00:00:00"/>
    <x v="0"/>
    <s v="Mumbai"/>
    <x v="7"/>
    <x v="2"/>
    <x v="0"/>
    <s v="Mouse"/>
    <x v="754"/>
    <n v="14"/>
    <n v="3221.55"/>
    <n v="15"/>
    <x v="784"/>
    <n v="29206.65"/>
    <n v="9129.7900000000009"/>
    <x v="0"/>
    <s v="Card"/>
    <s v="February"/>
    <n v="2025"/>
  </r>
  <r>
    <s v="ORD100787"/>
    <d v="2025-01-20T00:00:00"/>
    <x v="3"/>
    <s v="Kolkata"/>
    <x v="0"/>
    <x v="1"/>
    <x v="2"/>
    <s v="Paper"/>
    <x v="755"/>
    <n v="7"/>
    <n v="500.86"/>
    <n v="15"/>
    <x v="785"/>
    <n v="1643.59"/>
    <n v="1336.53"/>
    <x v="0"/>
    <s v="UPI"/>
    <s v="January"/>
    <n v="2025"/>
  </r>
  <r>
    <s v="ORD100788"/>
    <d v="2026-04-08T00:00:00"/>
    <x v="3"/>
    <s v="Bhubaneswar"/>
    <x v="6"/>
    <x v="0"/>
    <x v="0"/>
    <s v="Monitor"/>
    <x v="756"/>
    <n v="10"/>
    <n v="373.03"/>
    <n v="0"/>
    <x v="786"/>
    <n v="2757.97"/>
    <n v="972.33"/>
    <x v="1"/>
    <s v="Cash"/>
    <s v="April"/>
    <n v="2026"/>
  </r>
  <r>
    <s v="ORD100789"/>
    <d v="2025-08-20T00:00:00"/>
    <x v="2"/>
    <s v="Bengaluru"/>
    <x v="6"/>
    <x v="0"/>
    <x v="2"/>
    <s v="Folders"/>
    <x v="757"/>
    <n v="14"/>
    <n v="3337.95"/>
    <n v="5"/>
    <x v="787"/>
    <n v="30130.92"/>
    <n v="14263.81"/>
    <x v="1"/>
    <s v="Net Banking"/>
    <s v="August"/>
    <n v="2025"/>
  </r>
  <r>
    <s v="ORD100790"/>
    <d v="2026-06-03T00:00:00"/>
    <x v="2"/>
    <s v="Bengaluru"/>
    <x v="3"/>
    <x v="2"/>
    <x v="2"/>
    <s v="Notebook"/>
    <x v="758"/>
    <n v="14"/>
    <n v="1731.51"/>
    <n v="0"/>
    <x v="788"/>
    <n v="16503.919999999998"/>
    <n v="7737.22"/>
    <x v="2"/>
    <s v="Card"/>
    <s v="June"/>
    <n v="2026"/>
  </r>
  <r>
    <s v="ORD100791"/>
    <d v="2025-04-15T00:00:00"/>
    <x v="3"/>
    <s v="Kolkata"/>
    <x v="2"/>
    <x v="0"/>
    <x v="2"/>
    <s v="Notebook"/>
    <x v="759"/>
    <n v="11"/>
    <n v="2695.4"/>
    <n v="20"/>
    <x v="789"/>
    <n v="17989.919999999998"/>
    <n v="5729.6"/>
    <x v="2"/>
    <s v="Cash"/>
    <s v="April"/>
    <n v="2025"/>
  </r>
  <r>
    <s v="ORD100792"/>
    <d v="2025-08-27T00:00:00"/>
    <x v="2"/>
    <s v="Bengaluru"/>
    <x v="4"/>
    <x v="1"/>
    <x v="1"/>
    <s v="Bookshelf"/>
    <x v="760"/>
    <n v="15"/>
    <n v="2136.25"/>
    <n v="0"/>
    <x v="790"/>
    <n v="21827.48"/>
    <n v="10216.27"/>
    <x v="0"/>
    <s v="UPI"/>
    <s v="August"/>
    <n v="2025"/>
  </r>
  <r>
    <s v="ORD100793"/>
    <d v="2026-02-24T00:00:00"/>
    <x v="3"/>
    <s v="Bhubaneswar"/>
    <x v="3"/>
    <x v="0"/>
    <x v="1"/>
    <s v="Desk"/>
    <x v="761"/>
    <n v="8"/>
    <n v="3772.72"/>
    <n v="20"/>
    <x v="791"/>
    <n v="13981.56"/>
    <n v="10163.85"/>
    <x v="0"/>
    <s v="Card"/>
    <s v="February"/>
    <n v="2026"/>
  </r>
  <r>
    <s v="ORD100794"/>
    <d v="2025-07-28T00:00:00"/>
    <x v="2"/>
    <s v="Bengaluru"/>
    <x v="3"/>
    <x v="1"/>
    <x v="2"/>
    <s v="Notebook"/>
    <x v="762"/>
    <n v="1"/>
    <n v="1295.5"/>
    <n v="15"/>
    <x v="792"/>
    <n v="841.47"/>
    <n v="259.7"/>
    <x v="0"/>
    <s v="UPI"/>
    <s v="July"/>
    <n v="2025"/>
  </r>
  <r>
    <s v="ORD100795"/>
    <d v="2026-04-12T00:00:00"/>
    <x v="0"/>
    <s v="Ahmedabad"/>
    <x v="0"/>
    <x v="2"/>
    <x v="2"/>
    <s v="Folders"/>
    <x v="763"/>
    <n v="1"/>
    <n v="3866.81"/>
    <n v="20"/>
    <x v="793"/>
    <n v="2303.02"/>
    <n v="790.43"/>
    <x v="0"/>
    <s v="Cash"/>
    <s v="April"/>
    <n v="2026"/>
  </r>
  <r>
    <s v="ORD100796"/>
    <d v="2026-01-29T00:00:00"/>
    <x v="1"/>
    <s v="Delhi"/>
    <x v="0"/>
    <x v="0"/>
    <x v="1"/>
    <s v="Desk"/>
    <x v="764"/>
    <n v="2"/>
    <n v="836.31"/>
    <n v="15"/>
    <x v="794"/>
    <n v="1012.36"/>
    <n v="409.37"/>
    <x v="2"/>
    <s v="UPI"/>
    <s v="January"/>
    <n v="2026"/>
  </r>
  <r>
    <s v="ORD100797"/>
    <d v="2025-09-18T00:00:00"/>
    <x v="2"/>
    <s v="Chennai"/>
    <x v="3"/>
    <x v="1"/>
    <x v="2"/>
    <s v="Notebook"/>
    <x v="765"/>
    <n v="13"/>
    <n v="3416.49"/>
    <n v="20"/>
    <x v="795"/>
    <n v="21876.720000000001"/>
    <n v="13654.78"/>
    <x v="1"/>
    <s v="Net Banking"/>
    <s v="September"/>
    <n v="2025"/>
  </r>
  <r>
    <s v="ORD100798"/>
    <d v="2025-05-26T00:00:00"/>
    <x v="1"/>
    <s v="Chandigarh"/>
    <x v="3"/>
    <x v="0"/>
    <x v="1"/>
    <s v="Bookshelf"/>
    <x v="766"/>
    <n v="8"/>
    <n v="409.36"/>
    <n v="5"/>
    <x v="796"/>
    <n v="1770"/>
    <n v="1341.14"/>
    <x v="2"/>
    <s v="Net Banking"/>
    <s v="May"/>
    <n v="2025"/>
  </r>
  <r>
    <s v="ORD100799"/>
    <d v="2025-07-23T00:00:00"/>
    <x v="3"/>
    <s v="Bhubaneswar"/>
    <x v="4"/>
    <x v="0"/>
    <x v="0"/>
    <s v="Keyboard"/>
    <x v="258"/>
    <n v="15"/>
    <n v="4697.78"/>
    <n v="15"/>
    <x v="797"/>
    <n v="44642.42"/>
    <n v="15254.27"/>
    <x v="0"/>
    <s v="UPI"/>
    <s v="July"/>
    <n v="2025"/>
  </r>
  <r>
    <s v="ORD100800"/>
    <d v="2026-03-30T00:00:00"/>
    <x v="3"/>
    <s v="Bhubaneswar"/>
    <x v="2"/>
    <x v="0"/>
    <x v="2"/>
    <s v="Pens"/>
    <x v="530"/>
    <n v="12"/>
    <n v="2012.85"/>
    <n v="0"/>
    <x v="798"/>
    <n v="14123.27"/>
    <n v="10030.93"/>
    <x v="0"/>
    <s v="UPI"/>
    <s v="March"/>
    <n v="2026"/>
  </r>
  <r>
    <s v="ORD100801"/>
    <d v="2026-03-25T00:00:00"/>
    <x v="3"/>
    <s v="Bhubaneswar"/>
    <x v="5"/>
    <x v="2"/>
    <x v="2"/>
    <s v="Paper"/>
    <x v="767"/>
    <n v="14"/>
    <n v="2987.69"/>
    <n v="10"/>
    <x v="799"/>
    <n v="22197.65"/>
    <n v="15447.24"/>
    <x v="1"/>
    <s v="Net Banking"/>
    <s v="March"/>
    <n v="2026"/>
  </r>
  <r>
    <s v="ORD100802"/>
    <d v="2026-01-22T00:00:00"/>
    <x v="0"/>
    <s v="Ahmedabad"/>
    <x v="6"/>
    <x v="1"/>
    <x v="2"/>
    <s v="Notebook"/>
    <x v="768"/>
    <n v="5"/>
    <n v="3846"/>
    <n v="0"/>
    <x v="800"/>
    <n v="13923.52"/>
    <n v="5306.48"/>
    <x v="1"/>
    <s v="UPI"/>
    <s v="January"/>
    <n v="2026"/>
  </r>
  <r>
    <s v="ORD100803"/>
    <d v="2025-11-11T00:00:00"/>
    <x v="3"/>
    <s v="Kolkata"/>
    <x v="1"/>
    <x v="1"/>
    <x v="1"/>
    <s v="Chair"/>
    <x v="769"/>
    <n v="6"/>
    <n v="892.97"/>
    <n v="5"/>
    <x v="801"/>
    <n v="3003.53"/>
    <n v="2086.4"/>
    <x v="1"/>
    <s v="UPI"/>
    <s v="November"/>
    <n v="2025"/>
  </r>
  <r>
    <s v="ORD100804"/>
    <d v="2025-03-21T00:00:00"/>
    <x v="0"/>
    <s v="Ahmedabad"/>
    <x v="4"/>
    <x v="0"/>
    <x v="0"/>
    <s v="Mouse"/>
    <x v="770"/>
    <n v="1"/>
    <n v="807.35"/>
    <n v="20"/>
    <x v="802"/>
    <n v="479.71"/>
    <n v="166.17"/>
    <x v="2"/>
    <s v="UPI"/>
    <s v="March"/>
    <n v="2025"/>
  </r>
  <r>
    <s v="ORD100805"/>
    <d v="2025-08-30T00:00:00"/>
    <x v="0"/>
    <s v="Ahmedabad"/>
    <x v="6"/>
    <x v="2"/>
    <x v="1"/>
    <s v="Cabinet"/>
    <x v="771"/>
    <n v="12"/>
    <n v="3622.38"/>
    <n v="0"/>
    <x v="803"/>
    <n v="31631.439999999999"/>
    <n v="11837.12"/>
    <x v="1"/>
    <s v="Net Banking"/>
    <s v="August"/>
    <n v="2025"/>
  </r>
  <r>
    <s v="ORD100806"/>
    <d v="2025-02-04T00:00:00"/>
    <x v="0"/>
    <s v="Mumbai"/>
    <x v="5"/>
    <x v="0"/>
    <x v="0"/>
    <s v="Laptop"/>
    <x v="772"/>
    <n v="10"/>
    <n v="663.96"/>
    <n v="20"/>
    <x v="804"/>
    <n v="3964.58"/>
    <n v="1347.1"/>
    <x v="0"/>
    <s v="UPI"/>
    <s v="February"/>
    <n v="2025"/>
  </r>
  <r>
    <s v="ORD100807"/>
    <d v="2026-01-22T00:00:00"/>
    <x v="1"/>
    <s v="Chandigarh"/>
    <x v="0"/>
    <x v="0"/>
    <x v="2"/>
    <s v="Paper"/>
    <x v="773"/>
    <n v="13"/>
    <n v="2611.69"/>
    <n v="5"/>
    <x v="805"/>
    <n v="19427.11"/>
    <n v="12827.26"/>
    <x v="2"/>
    <s v="Cash"/>
    <s v="January"/>
    <n v="2026"/>
  </r>
  <r>
    <s v="ORD100808"/>
    <d v="2026-05-26T00:00:00"/>
    <x v="2"/>
    <s v="Chennai"/>
    <x v="6"/>
    <x v="2"/>
    <x v="2"/>
    <s v="Printer Ink"/>
    <x v="774"/>
    <n v="8"/>
    <n v="1520.03"/>
    <n v="5"/>
    <x v="806"/>
    <n v="9021.6299999999992"/>
    <n v="2530.6"/>
    <x v="0"/>
    <s v="Card"/>
    <s v="May"/>
    <n v="2026"/>
  </r>
  <r>
    <s v="ORD100809"/>
    <d v="2026-05-11T00:00:00"/>
    <x v="3"/>
    <s v="Bhubaneswar"/>
    <x v="6"/>
    <x v="0"/>
    <x v="2"/>
    <s v="Pens"/>
    <x v="775"/>
    <n v="13"/>
    <n v="748.75"/>
    <n v="5"/>
    <x v="807"/>
    <n v="5401.26"/>
    <n v="3845.8"/>
    <x v="0"/>
    <s v="UPI"/>
    <s v="May"/>
    <n v="2026"/>
  </r>
  <r>
    <s v="ORD100810"/>
    <d v="2026-05-27T00:00:00"/>
    <x v="1"/>
    <s v="Chandigarh"/>
    <x v="1"/>
    <x v="2"/>
    <x v="0"/>
    <s v="Keyboard"/>
    <x v="776"/>
    <n v="13"/>
    <n v="3597.37"/>
    <n v="15"/>
    <x v="808"/>
    <n v="24192.93"/>
    <n v="15558.01"/>
    <x v="1"/>
    <s v="Net Banking"/>
    <s v="May"/>
    <n v="2026"/>
  </r>
  <r>
    <s v="ORD100811"/>
    <d v="2026-01-28T00:00:00"/>
    <x v="3"/>
    <s v="Kolkata"/>
    <x v="7"/>
    <x v="1"/>
    <x v="2"/>
    <s v="Printer Ink"/>
    <x v="292"/>
    <n v="10"/>
    <n v="3368.65"/>
    <n v="10"/>
    <x v="809"/>
    <n v="17145.45"/>
    <n v="13172.4"/>
    <x v="2"/>
    <s v="Cash"/>
    <s v="January"/>
    <n v="2026"/>
  </r>
  <r>
    <s v="ORD100812"/>
    <d v="2025-08-31T00:00:00"/>
    <x v="3"/>
    <s v="Kolkata"/>
    <x v="0"/>
    <x v="2"/>
    <x v="0"/>
    <s v="Mouse"/>
    <x v="777"/>
    <n v="5"/>
    <n v="4354.6000000000004"/>
    <n v="0"/>
    <x v="810"/>
    <n v="12258.79"/>
    <n v="9514.2099999999991"/>
    <x v="1"/>
    <s v="Cash"/>
    <s v="August"/>
    <n v="2025"/>
  </r>
  <r>
    <s v="ORD100813"/>
    <d v="2025-11-30T00:00:00"/>
    <x v="0"/>
    <s v="Ahmedabad"/>
    <x v="3"/>
    <x v="1"/>
    <x v="2"/>
    <s v="Notebook"/>
    <x v="778"/>
    <n v="11"/>
    <n v="4074.37"/>
    <n v="20"/>
    <x v="811"/>
    <n v="26080.41"/>
    <n v="9774.0499999999993"/>
    <x v="2"/>
    <s v="UPI"/>
    <s v="November"/>
    <n v="2025"/>
  </r>
  <r>
    <s v="ORD100814"/>
    <d v="2026-05-31T00:00:00"/>
    <x v="2"/>
    <s v="Chennai"/>
    <x v="3"/>
    <x v="2"/>
    <x v="0"/>
    <s v="Headphones"/>
    <x v="779"/>
    <n v="3"/>
    <n v="3564.19"/>
    <n v="15"/>
    <x v="812"/>
    <n v="5902.6"/>
    <n v="3186.08"/>
    <x v="0"/>
    <s v="Cash"/>
    <s v="May"/>
    <n v="2026"/>
  </r>
  <r>
    <s v="ORD100815"/>
    <d v="2025-02-02T00:00:00"/>
    <x v="2"/>
    <s v="Bengaluru"/>
    <x v="3"/>
    <x v="0"/>
    <x v="0"/>
    <s v="Mouse"/>
    <x v="780"/>
    <n v="6"/>
    <n v="1827.53"/>
    <n v="15"/>
    <x v="813"/>
    <n v="7186.74"/>
    <n v="2133.66"/>
    <x v="1"/>
    <s v="Net Banking"/>
    <s v="February"/>
    <n v="2025"/>
  </r>
  <r>
    <s v="ORD100816"/>
    <d v="2026-02-12T00:00:00"/>
    <x v="1"/>
    <s v="Delhi"/>
    <x v="1"/>
    <x v="1"/>
    <x v="1"/>
    <s v="Cabinet"/>
    <x v="781"/>
    <n v="4"/>
    <n v="3650.88"/>
    <n v="0"/>
    <x v="814"/>
    <n v="8742.94"/>
    <n v="5860.58"/>
    <x v="1"/>
    <s v="Card"/>
    <s v="February"/>
    <n v="2026"/>
  </r>
  <r>
    <s v="ORD100817"/>
    <d v="2026-01-24T00:00:00"/>
    <x v="1"/>
    <s v="Delhi"/>
    <x v="5"/>
    <x v="1"/>
    <x v="1"/>
    <s v="Bookshelf"/>
    <x v="782"/>
    <n v="5"/>
    <n v="3170.28"/>
    <n v="20"/>
    <x v="815"/>
    <n v="6987.8"/>
    <n v="5693.32"/>
    <x v="1"/>
    <s v="Card"/>
    <s v="January"/>
    <n v="2026"/>
  </r>
  <r>
    <s v="ORD100818"/>
    <d v="2025-02-17T00:00:00"/>
    <x v="2"/>
    <s v="Bengaluru"/>
    <x v="0"/>
    <x v="2"/>
    <x v="1"/>
    <s v="Table"/>
    <x v="783"/>
    <n v="4"/>
    <n v="4487.2700000000004"/>
    <n v="20"/>
    <x v="816"/>
    <n v="10442.629999999999"/>
    <n v="3916.63"/>
    <x v="1"/>
    <s v="Net Banking"/>
    <s v="February"/>
    <n v="2025"/>
  </r>
  <r>
    <s v="ORD100819"/>
    <d v="2025-08-27T00:00:00"/>
    <x v="3"/>
    <s v="Kolkata"/>
    <x v="2"/>
    <x v="0"/>
    <x v="2"/>
    <s v="Printer Ink"/>
    <x v="784"/>
    <n v="1"/>
    <n v="1744"/>
    <n v="15"/>
    <x v="817"/>
    <n v="996.6"/>
    <n v="485.8"/>
    <x v="2"/>
    <s v="Cash"/>
    <s v="August"/>
    <n v="2025"/>
  </r>
  <r>
    <s v="ORD100820"/>
    <d v="2025-09-28T00:00:00"/>
    <x v="0"/>
    <s v="Mumbai"/>
    <x v="5"/>
    <x v="0"/>
    <x v="2"/>
    <s v="Printer Ink"/>
    <x v="785"/>
    <n v="14"/>
    <n v="1696.46"/>
    <n v="15"/>
    <x v="818"/>
    <n v="12858.47"/>
    <n v="7329.4"/>
    <x v="1"/>
    <s v="UPI"/>
    <s v="September"/>
    <n v="2025"/>
  </r>
  <r>
    <s v="ORD100821"/>
    <d v="2025-09-01T00:00:00"/>
    <x v="1"/>
    <s v="Chandigarh"/>
    <x v="0"/>
    <x v="1"/>
    <x v="1"/>
    <s v="Bookshelf"/>
    <x v="786"/>
    <n v="3"/>
    <n v="3823.26"/>
    <n v="10"/>
    <x v="819"/>
    <n v="6931.68"/>
    <n v="3391.12"/>
    <x v="1"/>
    <s v="Card"/>
    <s v="September"/>
    <n v="2025"/>
  </r>
  <r>
    <s v="ORD100822"/>
    <d v="2026-01-23T00:00:00"/>
    <x v="3"/>
    <s v="Bhubaneswar"/>
    <x v="2"/>
    <x v="2"/>
    <x v="2"/>
    <s v="Paper"/>
    <x v="787"/>
    <n v="10"/>
    <n v="4555.0600000000004"/>
    <n v="20"/>
    <x v="820"/>
    <n v="23277.98"/>
    <n v="13162.5"/>
    <x v="2"/>
    <s v="Card"/>
    <s v="January"/>
    <n v="2026"/>
  </r>
  <r>
    <s v="ORD100823"/>
    <d v="2025-08-03T00:00:00"/>
    <x v="3"/>
    <s v="Kolkata"/>
    <x v="0"/>
    <x v="2"/>
    <x v="0"/>
    <s v="Monitor"/>
    <x v="788"/>
    <n v="14"/>
    <n v="2365.17"/>
    <n v="20"/>
    <x v="821"/>
    <n v="15949.27"/>
    <n v="10540.63"/>
    <x v="1"/>
    <s v="UPI"/>
    <s v="August"/>
    <n v="2025"/>
  </r>
  <r>
    <s v="ORD100824"/>
    <d v="2025-02-14T00:00:00"/>
    <x v="1"/>
    <s v="Delhi"/>
    <x v="6"/>
    <x v="2"/>
    <x v="0"/>
    <s v="Keyboard"/>
    <x v="789"/>
    <n v="3"/>
    <n v="4319.6400000000003"/>
    <n v="15"/>
    <x v="822"/>
    <n v="7058.32"/>
    <n v="3956.76"/>
    <x v="2"/>
    <s v="Net Banking"/>
    <s v="February"/>
    <n v="2025"/>
  </r>
  <r>
    <s v="ORD100825"/>
    <d v="2025-12-17T00:00:00"/>
    <x v="0"/>
    <s v="Ahmedabad"/>
    <x v="5"/>
    <x v="2"/>
    <x v="1"/>
    <s v="Table"/>
    <x v="790"/>
    <n v="10"/>
    <n v="4034.68"/>
    <n v="15"/>
    <x v="823"/>
    <n v="18871.23"/>
    <n v="15423.55"/>
    <x v="2"/>
    <s v="Card"/>
    <s v="December"/>
    <n v="2025"/>
  </r>
  <r>
    <s v="ORD100826"/>
    <d v="2026-06-29T00:00:00"/>
    <x v="2"/>
    <s v="Bengaluru"/>
    <x v="0"/>
    <x v="0"/>
    <x v="0"/>
    <s v="Keyboard"/>
    <x v="791"/>
    <n v="4"/>
    <n v="279.39"/>
    <n v="0"/>
    <x v="824"/>
    <n v="670.43"/>
    <n v="447.13"/>
    <x v="1"/>
    <s v="Cash"/>
    <s v="June"/>
    <n v="2026"/>
  </r>
  <r>
    <s v="ORD100827"/>
    <d v="2025-05-06T00:00:00"/>
    <x v="0"/>
    <s v="Ahmedabad"/>
    <x v="6"/>
    <x v="2"/>
    <x v="0"/>
    <s v="Headphones"/>
    <x v="792"/>
    <n v="5"/>
    <n v="1709.5"/>
    <n v="15"/>
    <x v="825"/>
    <n v="4722.57"/>
    <n v="2542.81"/>
    <x v="0"/>
    <s v="Card"/>
    <s v="May"/>
    <n v="2025"/>
  </r>
  <r>
    <s v="ORD100828"/>
    <d v="2025-07-24T00:00:00"/>
    <x v="1"/>
    <s v="Chandigarh"/>
    <x v="6"/>
    <x v="1"/>
    <x v="2"/>
    <s v="Folders"/>
    <x v="793"/>
    <n v="10"/>
    <n v="1707.11"/>
    <n v="15"/>
    <x v="826"/>
    <n v="10448.64"/>
    <n v="4061.79"/>
    <x v="0"/>
    <s v="UPI"/>
    <s v="July"/>
    <n v="2025"/>
  </r>
  <r>
    <s v="ORD100829"/>
    <d v="2026-06-10T00:00:00"/>
    <x v="0"/>
    <s v="Mumbai"/>
    <x v="1"/>
    <x v="1"/>
    <x v="2"/>
    <s v="Printer Ink"/>
    <x v="794"/>
    <n v="3"/>
    <n v="403.08"/>
    <n v="15"/>
    <x v="827"/>
    <n v="817.05"/>
    <n v="210.8"/>
    <x v="0"/>
    <s v="Card"/>
    <s v="June"/>
    <n v="2026"/>
  </r>
  <r>
    <s v="ORD100830"/>
    <d v="2026-01-17T00:00:00"/>
    <x v="2"/>
    <s v="Bengaluru"/>
    <x v="3"/>
    <x v="2"/>
    <x v="0"/>
    <s v="Mouse"/>
    <x v="795"/>
    <n v="8"/>
    <n v="2599.12"/>
    <n v="0"/>
    <x v="828"/>
    <n v="12025.49"/>
    <n v="8767.4699999999993"/>
    <x v="2"/>
    <s v="Card"/>
    <s v="January"/>
    <n v="2026"/>
  </r>
  <r>
    <s v="ORD100831"/>
    <d v="2026-06-07T00:00:00"/>
    <x v="2"/>
    <s v="Bengaluru"/>
    <x v="2"/>
    <x v="2"/>
    <x v="1"/>
    <s v="Chair"/>
    <x v="796"/>
    <n v="3"/>
    <n v="1419.17"/>
    <n v="15"/>
    <x v="829"/>
    <n v="2668.64"/>
    <n v="950.24"/>
    <x v="0"/>
    <s v="Net Banking"/>
    <s v="June"/>
    <n v="2026"/>
  </r>
  <r>
    <s v="ORD100832"/>
    <d v="2026-05-26T00:00:00"/>
    <x v="2"/>
    <s v="Chennai"/>
    <x v="2"/>
    <x v="0"/>
    <x v="0"/>
    <s v="Headphones"/>
    <x v="797"/>
    <n v="11"/>
    <n v="469.68"/>
    <n v="15"/>
    <x v="830"/>
    <n v="3308.26"/>
    <n v="1083.25"/>
    <x v="0"/>
    <s v="Cash"/>
    <s v="May"/>
    <n v="2026"/>
  </r>
  <r>
    <s v="ORD100833"/>
    <d v="2025-01-23T00:00:00"/>
    <x v="3"/>
    <s v="Kolkata"/>
    <x v="6"/>
    <x v="2"/>
    <x v="1"/>
    <s v="Table"/>
    <x v="798"/>
    <n v="7"/>
    <n v="1108.3800000000001"/>
    <n v="10"/>
    <x v="831"/>
    <n v="4623.54"/>
    <n v="2359.25"/>
    <x v="1"/>
    <s v="Cash"/>
    <s v="January"/>
    <n v="2025"/>
  </r>
  <r>
    <s v="ORD100834"/>
    <d v="2025-08-23T00:00:00"/>
    <x v="2"/>
    <s v="Chennai"/>
    <x v="7"/>
    <x v="1"/>
    <x v="1"/>
    <s v="Bookshelf"/>
    <x v="799"/>
    <n v="5"/>
    <n v="1931.6"/>
    <n v="20"/>
    <x v="832"/>
    <n v="4565.67"/>
    <n v="3160.73"/>
    <x v="2"/>
    <s v="Cash"/>
    <s v="August"/>
    <n v="2025"/>
  </r>
  <r>
    <s v="ORD100835"/>
    <d v="2026-03-10T00:00:00"/>
    <x v="2"/>
    <s v="Bengaluru"/>
    <x v="4"/>
    <x v="2"/>
    <x v="2"/>
    <s v="Folders"/>
    <x v="800"/>
    <n v="4"/>
    <n v="1646.28"/>
    <n v="10"/>
    <x v="833"/>
    <n v="3905.11"/>
    <n v="2021.5"/>
    <x v="0"/>
    <s v="UPI"/>
    <s v="March"/>
    <n v="2026"/>
  </r>
  <r>
    <s v="ORD100836"/>
    <d v="2025-12-30T00:00:00"/>
    <x v="3"/>
    <s v="Bhubaneswar"/>
    <x v="4"/>
    <x v="2"/>
    <x v="2"/>
    <s v="Notebook"/>
    <x v="801"/>
    <n v="8"/>
    <n v="3187.6"/>
    <n v="15"/>
    <x v="834"/>
    <n v="12260.34"/>
    <n v="9415.34"/>
    <x v="2"/>
    <s v="UPI"/>
    <s v="December"/>
    <n v="2025"/>
  </r>
  <r>
    <s v="ORD100837"/>
    <d v="2025-06-04T00:00:00"/>
    <x v="3"/>
    <s v="Kolkata"/>
    <x v="3"/>
    <x v="0"/>
    <x v="0"/>
    <s v="Mouse"/>
    <x v="802"/>
    <n v="2"/>
    <n v="1739.2"/>
    <n v="20"/>
    <x v="835"/>
    <n v="1986.25"/>
    <n v="796.47"/>
    <x v="2"/>
    <s v="Card"/>
    <s v="June"/>
    <n v="2025"/>
  </r>
  <r>
    <s v="ORD100838"/>
    <d v="2026-06-02T00:00:00"/>
    <x v="3"/>
    <s v="Bhubaneswar"/>
    <x v="2"/>
    <x v="2"/>
    <x v="2"/>
    <s v="Paper"/>
    <x v="803"/>
    <n v="7"/>
    <n v="4800.96"/>
    <n v="5"/>
    <x v="836"/>
    <n v="25477.46"/>
    <n v="6448.92"/>
    <x v="0"/>
    <s v="Card"/>
    <s v="June"/>
    <n v="2026"/>
  </r>
  <r>
    <s v="ORD100839"/>
    <d v="2025-12-24T00:00:00"/>
    <x v="2"/>
    <s v="Chennai"/>
    <x v="2"/>
    <x v="1"/>
    <x v="0"/>
    <s v="Laptop"/>
    <x v="804"/>
    <n v="13"/>
    <n v="3085.82"/>
    <n v="0"/>
    <x v="837"/>
    <n v="29913.82"/>
    <n v="10201.84"/>
    <x v="0"/>
    <s v="Cash"/>
    <s v="December"/>
    <n v="2025"/>
  </r>
  <r>
    <s v="ORD100840"/>
    <d v="2025-05-29T00:00:00"/>
    <x v="1"/>
    <s v="Delhi"/>
    <x v="4"/>
    <x v="2"/>
    <x v="0"/>
    <s v="Headphones"/>
    <x v="326"/>
    <n v="14"/>
    <n v="2416.2600000000002"/>
    <n v="10"/>
    <x v="838"/>
    <n v="23014.3"/>
    <n v="7430.58"/>
    <x v="2"/>
    <s v="Card"/>
    <s v="May"/>
    <n v="2025"/>
  </r>
  <r>
    <s v="ORD100841"/>
    <d v="2026-05-16T00:00:00"/>
    <x v="0"/>
    <s v="Ahmedabad"/>
    <x v="4"/>
    <x v="1"/>
    <x v="1"/>
    <s v="Cabinet"/>
    <x v="805"/>
    <n v="12"/>
    <n v="1695.97"/>
    <n v="20"/>
    <x v="839"/>
    <n v="12998.45"/>
    <n v="3282.86"/>
    <x v="1"/>
    <s v="Cash"/>
    <s v="May"/>
    <n v="2026"/>
  </r>
  <r>
    <s v="ORD100842"/>
    <d v="2026-02-20T00:00:00"/>
    <x v="1"/>
    <s v="Chandigarh"/>
    <x v="1"/>
    <x v="2"/>
    <x v="2"/>
    <s v="Folders"/>
    <x v="806"/>
    <n v="7"/>
    <n v="1898.62"/>
    <n v="10"/>
    <x v="840"/>
    <n v="9232.58"/>
    <n v="2728.73"/>
    <x v="0"/>
    <s v="Net Banking"/>
    <s v="February"/>
    <n v="2026"/>
  </r>
  <r>
    <s v="ORD100843"/>
    <d v="2025-05-21T00:00:00"/>
    <x v="2"/>
    <s v="Chennai"/>
    <x v="4"/>
    <x v="1"/>
    <x v="2"/>
    <s v="Folders"/>
    <x v="807"/>
    <n v="9"/>
    <n v="2017.33"/>
    <n v="15"/>
    <x v="841"/>
    <n v="10872.95"/>
    <n v="4559.62"/>
    <x v="2"/>
    <s v="Net Banking"/>
    <s v="May"/>
    <n v="2025"/>
  </r>
  <r>
    <s v="ORD100844"/>
    <d v="2026-01-27T00:00:00"/>
    <x v="3"/>
    <s v="Bhubaneswar"/>
    <x v="6"/>
    <x v="0"/>
    <x v="0"/>
    <s v="Headphones"/>
    <x v="808"/>
    <n v="7"/>
    <n v="2562.86"/>
    <n v="10"/>
    <x v="842"/>
    <n v="8988.25"/>
    <n v="7157.77"/>
    <x v="0"/>
    <s v="Card"/>
    <s v="January"/>
    <n v="2026"/>
  </r>
  <r>
    <s v="ORD100845"/>
    <d v="2025-09-17T00:00:00"/>
    <x v="2"/>
    <s v="Bengaluru"/>
    <x v="5"/>
    <x v="1"/>
    <x v="2"/>
    <s v="Folders"/>
    <x v="809"/>
    <n v="3"/>
    <n v="675.37"/>
    <n v="5"/>
    <x v="843"/>
    <n v="1389.91"/>
    <n v="534.89"/>
    <x v="1"/>
    <s v="Card"/>
    <s v="September"/>
    <n v="2025"/>
  </r>
  <r>
    <s v="ORD100846"/>
    <d v="2025-12-08T00:00:00"/>
    <x v="1"/>
    <s v="Delhi"/>
    <x v="2"/>
    <x v="0"/>
    <x v="0"/>
    <s v="Headphones"/>
    <x v="810"/>
    <n v="15"/>
    <n v="4923.88"/>
    <n v="5"/>
    <x v="844"/>
    <n v="39936.160000000003"/>
    <n v="30229.13"/>
    <x v="1"/>
    <s v="Card"/>
    <s v="December"/>
    <n v="2025"/>
  </r>
  <r>
    <s v="ORD100847"/>
    <d v="2026-06-28T00:00:00"/>
    <x v="0"/>
    <s v="Ahmedabad"/>
    <x v="0"/>
    <x v="0"/>
    <x v="1"/>
    <s v="Bookshelf"/>
    <x v="811"/>
    <n v="9"/>
    <n v="1601.02"/>
    <n v="15"/>
    <x v="845"/>
    <n v="8782.89"/>
    <n v="3464.91"/>
    <x v="2"/>
    <s v="Net Banking"/>
    <s v="June"/>
    <n v="2026"/>
  </r>
  <r>
    <s v="ORD100848"/>
    <d v="2025-09-23T00:00:00"/>
    <x v="3"/>
    <s v="Bhubaneswar"/>
    <x v="7"/>
    <x v="2"/>
    <x v="1"/>
    <s v="Desk"/>
    <x v="812"/>
    <n v="7"/>
    <n v="4030.89"/>
    <n v="20"/>
    <x v="846"/>
    <n v="13364.18"/>
    <n v="9208.7999999999993"/>
    <x v="1"/>
    <s v="Cash"/>
    <s v="September"/>
    <n v="2025"/>
  </r>
  <r>
    <s v="ORD100849"/>
    <d v="2026-05-18T00:00:00"/>
    <x v="2"/>
    <s v="Bengaluru"/>
    <x v="5"/>
    <x v="1"/>
    <x v="1"/>
    <s v="Cabinet"/>
    <x v="813"/>
    <n v="8"/>
    <n v="4946.68"/>
    <n v="15"/>
    <x v="847"/>
    <n v="19121.95"/>
    <n v="14515.47"/>
    <x v="0"/>
    <s v="Card"/>
    <s v="May"/>
    <n v="2026"/>
  </r>
  <r>
    <s v="ORD100850"/>
    <d v="2026-01-11T00:00:00"/>
    <x v="0"/>
    <s v="Mumbai"/>
    <x v="2"/>
    <x v="1"/>
    <x v="1"/>
    <s v="Bookshelf"/>
    <x v="814"/>
    <n v="11"/>
    <n v="2325.85"/>
    <n v="15"/>
    <x v="848"/>
    <n v="16436.919999999998"/>
    <n v="5309.78"/>
    <x v="1"/>
    <s v="Cash"/>
    <s v="January"/>
    <n v="2026"/>
  </r>
  <r>
    <s v="ORD100851"/>
    <d v="2025-07-09T00:00:00"/>
    <x v="3"/>
    <s v="Bhubaneswar"/>
    <x v="0"/>
    <x v="1"/>
    <x v="0"/>
    <s v="Keyboard"/>
    <x v="815"/>
    <n v="2"/>
    <n v="1144.47"/>
    <n v="5"/>
    <x v="849"/>
    <n v="1666.34"/>
    <n v="508.15"/>
    <x v="1"/>
    <s v="Card"/>
    <s v="July"/>
    <n v="2025"/>
  </r>
  <r>
    <s v="ORD100852"/>
    <d v="2026-06-05T00:00:00"/>
    <x v="2"/>
    <s v="Chennai"/>
    <x v="3"/>
    <x v="2"/>
    <x v="2"/>
    <s v="Pens"/>
    <x v="816"/>
    <n v="9"/>
    <n v="3956.53"/>
    <n v="10"/>
    <x v="850"/>
    <n v="23624.13"/>
    <n v="8423.76"/>
    <x v="2"/>
    <s v="UPI"/>
    <s v="June"/>
    <n v="2026"/>
  </r>
  <r>
    <s v="ORD100853"/>
    <d v="2025-02-22T00:00:00"/>
    <x v="1"/>
    <s v="Delhi"/>
    <x v="4"/>
    <x v="2"/>
    <x v="2"/>
    <s v="Printer Ink"/>
    <x v="817"/>
    <n v="11"/>
    <n v="2939.92"/>
    <n v="10"/>
    <x v="851"/>
    <n v="18063.93"/>
    <n v="11041.28"/>
    <x v="0"/>
    <s v="Card"/>
    <s v="February"/>
    <n v="2025"/>
  </r>
  <r>
    <s v="ORD100854"/>
    <d v="2025-03-20T00:00:00"/>
    <x v="2"/>
    <s v="Chennai"/>
    <x v="3"/>
    <x v="2"/>
    <x v="0"/>
    <s v="Mouse"/>
    <x v="818"/>
    <n v="12"/>
    <n v="588.48"/>
    <n v="20"/>
    <x v="852"/>
    <n v="3153.52"/>
    <n v="2495.89"/>
    <x v="1"/>
    <s v="Cash"/>
    <s v="March"/>
    <n v="2025"/>
  </r>
  <r>
    <s v="ORD100855"/>
    <d v="2025-04-29T00:00:00"/>
    <x v="1"/>
    <s v="Delhi"/>
    <x v="0"/>
    <x v="1"/>
    <x v="2"/>
    <s v="Folders"/>
    <x v="819"/>
    <n v="12"/>
    <n v="3309.56"/>
    <n v="0"/>
    <x v="853"/>
    <n v="23449.82"/>
    <n v="16264.9"/>
    <x v="0"/>
    <s v="UPI"/>
    <s v="April"/>
    <n v="2025"/>
  </r>
  <r>
    <s v="ORD100856"/>
    <d v="2025-03-25T00:00:00"/>
    <x v="1"/>
    <s v="Delhi"/>
    <x v="7"/>
    <x v="2"/>
    <x v="2"/>
    <s v="Pens"/>
    <x v="820"/>
    <n v="7"/>
    <n v="4442.42"/>
    <n v="10"/>
    <x v="854"/>
    <n v="21015.93"/>
    <n v="6971.32"/>
    <x v="2"/>
    <s v="UPI"/>
    <s v="March"/>
    <n v="2025"/>
  </r>
  <r>
    <s v="ORD100857"/>
    <d v="2025-12-28T00:00:00"/>
    <x v="1"/>
    <s v="Delhi"/>
    <x v="5"/>
    <x v="0"/>
    <x v="1"/>
    <s v="Cabinet"/>
    <x v="821"/>
    <n v="8"/>
    <n v="260.08999999999997"/>
    <n v="15"/>
    <x v="855"/>
    <n v="1100.07"/>
    <n v="668.54"/>
    <x v="0"/>
    <s v="Cash"/>
    <s v="December"/>
    <n v="2025"/>
  </r>
  <r>
    <s v="ORD100858"/>
    <d v="2025-12-30T00:00:00"/>
    <x v="2"/>
    <s v="Bengaluru"/>
    <x v="7"/>
    <x v="2"/>
    <x v="1"/>
    <s v="Desk"/>
    <x v="822"/>
    <n v="9"/>
    <n v="4882.91"/>
    <n v="0"/>
    <x v="856"/>
    <n v="34100.53"/>
    <n v="9845.66"/>
    <x v="0"/>
    <s v="Net Banking"/>
    <s v="December"/>
    <n v="2025"/>
  </r>
  <r>
    <s v="ORD100859"/>
    <d v="2025-11-09T00:00:00"/>
    <x v="2"/>
    <s v="Chennai"/>
    <x v="3"/>
    <x v="2"/>
    <x v="1"/>
    <s v="Chair"/>
    <x v="823"/>
    <n v="4"/>
    <n v="3286.78"/>
    <n v="0"/>
    <x v="857"/>
    <n v="10699.71"/>
    <n v="2447.41"/>
    <x v="0"/>
    <s v="Net Banking"/>
    <s v="November"/>
    <n v="2025"/>
  </r>
  <r>
    <s v="ORD100860"/>
    <d v="2025-05-08T00:00:00"/>
    <x v="3"/>
    <s v="Bhubaneswar"/>
    <x v="4"/>
    <x v="1"/>
    <x v="2"/>
    <s v="Printer Ink"/>
    <x v="824"/>
    <n v="8"/>
    <n v="2688.13"/>
    <n v="15"/>
    <x v="858"/>
    <n v="11255.94"/>
    <n v="7023.34"/>
    <x v="0"/>
    <s v="Cash"/>
    <s v="May"/>
    <n v="2025"/>
  </r>
  <r>
    <s v="ORD100861"/>
    <d v="2025-12-14T00:00:00"/>
    <x v="3"/>
    <s v="Kolkata"/>
    <x v="6"/>
    <x v="1"/>
    <x v="0"/>
    <s v="Keyboard"/>
    <x v="825"/>
    <n v="4"/>
    <n v="725.08"/>
    <n v="15"/>
    <x v="859"/>
    <n v="1466.1"/>
    <n v="999.17"/>
    <x v="1"/>
    <s v="UPI"/>
    <s v="December"/>
    <n v="2025"/>
  </r>
  <r>
    <s v="ORD100862"/>
    <d v="2025-05-01T00:00:00"/>
    <x v="1"/>
    <s v="Delhi"/>
    <x v="4"/>
    <x v="2"/>
    <x v="2"/>
    <s v="Pens"/>
    <x v="826"/>
    <n v="1"/>
    <n v="2323.4499999999998"/>
    <n v="5"/>
    <x v="860"/>
    <n v="1239.52"/>
    <n v="967.76"/>
    <x v="2"/>
    <s v="Card"/>
    <s v="May"/>
    <n v="2025"/>
  </r>
  <r>
    <s v="ORD100863"/>
    <d v="2025-07-23T00:00:00"/>
    <x v="3"/>
    <s v="Kolkata"/>
    <x v="4"/>
    <x v="2"/>
    <x v="1"/>
    <s v="Bookshelf"/>
    <x v="827"/>
    <n v="9"/>
    <n v="3391.65"/>
    <n v="10"/>
    <x v="861"/>
    <n v="22525.200000000001"/>
    <n v="4947.17"/>
    <x v="1"/>
    <s v="UPI"/>
    <s v="July"/>
    <n v="2025"/>
  </r>
  <r>
    <s v="ORD100864"/>
    <d v="2025-03-02T00:00:00"/>
    <x v="0"/>
    <s v="Mumbai"/>
    <x v="1"/>
    <x v="2"/>
    <x v="2"/>
    <s v="Folders"/>
    <x v="828"/>
    <n v="12"/>
    <n v="1317.04"/>
    <n v="15"/>
    <x v="862"/>
    <n v="9749.26"/>
    <n v="3684.55"/>
    <x v="2"/>
    <s v="Net Banking"/>
    <s v="March"/>
    <n v="2025"/>
  </r>
  <r>
    <s v="ORD100865"/>
    <d v="2025-01-18T00:00:00"/>
    <x v="3"/>
    <s v="Kolkata"/>
    <x v="2"/>
    <x v="1"/>
    <x v="2"/>
    <s v="Notebook"/>
    <x v="829"/>
    <n v="4"/>
    <n v="2552.92"/>
    <n v="20"/>
    <x v="863"/>
    <n v="5510.51"/>
    <n v="2658.83"/>
    <x v="1"/>
    <s v="Cash"/>
    <s v="January"/>
    <n v="2025"/>
  </r>
  <r>
    <s v="ORD100866"/>
    <d v="2025-07-14T00:00:00"/>
    <x v="2"/>
    <s v="Chennai"/>
    <x v="0"/>
    <x v="2"/>
    <x v="1"/>
    <s v="Bookshelf"/>
    <x v="830"/>
    <n v="15"/>
    <n v="1721.11"/>
    <n v="10"/>
    <x v="864"/>
    <n v="16760.939999999999"/>
    <n v="6474.04"/>
    <x v="1"/>
    <s v="Cash"/>
    <s v="July"/>
    <n v="2025"/>
  </r>
  <r>
    <s v="ORD100867"/>
    <d v="2025-10-03T00:00:00"/>
    <x v="3"/>
    <s v="Kolkata"/>
    <x v="7"/>
    <x v="0"/>
    <x v="2"/>
    <s v="Paper"/>
    <x v="831"/>
    <n v="5"/>
    <n v="3979.88"/>
    <n v="5"/>
    <x v="865"/>
    <n v="11340.21"/>
    <n v="7564.22"/>
    <x v="2"/>
    <s v="Net Banking"/>
    <s v="October"/>
    <n v="2025"/>
  </r>
  <r>
    <s v="ORD100868"/>
    <d v="2025-05-01T00:00:00"/>
    <x v="3"/>
    <s v="Kolkata"/>
    <x v="0"/>
    <x v="0"/>
    <x v="2"/>
    <s v="Notebook"/>
    <x v="832"/>
    <n v="9"/>
    <n v="2585.0300000000002"/>
    <n v="15"/>
    <x v="866"/>
    <n v="15366.1"/>
    <n v="4409.38"/>
    <x v="0"/>
    <s v="Net Banking"/>
    <s v="May"/>
    <n v="2025"/>
  </r>
  <r>
    <s v="ORD100869"/>
    <d v="2026-05-02T00:00:00"/>
    <x v="0"/>
    <s v="Mumbai"/>
    <x v="7"/>
    <x v="0"/>
    <x v="2"/>
    <s v="Paper"/>
    <x v="151"/>
    <n v="6"/>
    <n v="3107.23"/>
    <n v="5"/>
    <x v="867"/>
    <n v="13613.49"/>
    <n v="4097.72"/>
    <x v="0"/>
    <s v="Card"/>
    <s v="May"/>
    <n v="2026"/>
  </r>
  <r>
    <s v="ORD100870"/>
    <d v="2025-11-28T00:00:00"/>
    <x v="3"/>
    <s v="Kolkata"/>
    <x v="1"/>
    <x v="0"/>
    <x v="0"/>
    <s v="Laptop"/>
    <x v="833"/>
    <n v="1"/>
    <n v="1040.3699999999999"/>
    <n v="0"/>
    <x v="868"/>
    <n v="729.68"/>
    <n v="310.69"/>
    <x v="0"/>
    <s v="Card"/>
    <s v="November"/>
    <n v="2025"/>
  </r>
  <r>
    <s v="ORD100871"/>
    <d v="2025-07-09T00:00:00"/>
    <x v="3"/>
    <s v="Kolkata"/>
    <x v="5"/>
    <x v="0"/>
    <x v="1"/>
    <s v="Bookshelf"/>
    <x v="834"/>
    <n v="7"/>
    <n v="868.05"/>
    <n v="10"/>
    <x v="869"/>
    <n v="3092.18"/>
    <n v="2376.5300000000002"/>
    <x v="2"/>
    <s v="Card"/>
    <s v="July"/>
    <n v="2025"/>
  </r>
  <r>
    <s v="ORD100872"/>
    <d v="2026-02-26T00:00:00"/>
    <x v="1"/>
    <s v="Delhi"/>
    <x v="7"/>
    <x v="0"/>
    <x v="0"/>
    <s v="Mouse"/>
    <x v="835"/>
    <n v="13"/>
    <n v="4391.58"/>
    <n v="5"/>
    <x v="870"/>
    <n v="35121.39"/>
    <n v="19114.62"/>
    <x v="0"/>
    <s v="Card"/>
    <s v="February"/>
    <n v="2026"/>
  </r>
  <r>
    <s v="ORD100873"/>
    <d v="2025-03-24T00:00:00"/>
    <x v="2"/>
    <s v="Chennai"/>
    <x v="3"/>
    <x v="0"/>
    <x v="2"/>
    <s v="Printer Ink"/>
    <x v="836"/>
    <n v="6"/>
    <n v="4464.59"/>
    <n v="10"/>
    <x v="871"/>
    <n v="16349.04"/>
    <n v="7759.75"/>
    <x v="1"/>
    <s v="Cash"/>
    <s v="March"/>
    <n v="2025"/>
  </r>
  <r>
    <s v="ORD100874"/>
    <d v="2025-10-27T00:00:00"/>
    <x v="2"/>
    <s v="Chennai"/>
    <x v="0"/>
    <x v="2"/>
    <x v="0"/>
    <s v="Monitor"/>
    <x v="837"/>
    <n v="2"/>
    <n v="757.31"/>
    <n v="5"/>
    <x v="872"/>
    <n v="1083.3399999999999"/>
    <n v="355.55"/>
    <x v="0"/>
    <s v="Cash"/>
    <s v="October"/>
    <n v="2025"/>
  </r>
  <r>
    <s v="ORD100875"/>
    <d v="2025-11-09T00:00:00"/>
    <x v="2"/>
    <s v="Bengaluru"/>
    <x v="5"/>
    <x v="2"/>
    <x v="0"/>
    <s v="Monitor"/>
    <x v="838"/>
    <n v="10"/>
    <n v="2806.68"/>
    <n v="5"/>
    <x v="873"/>
    <n v="21161.66"/>
    <n v="5501.8"/>
    <x v="1"/>
    <s v="Net Banking"/>
    <s v="November"/>
    <n v="2025"/>
  </r>
  <r>
    <s v="ORD100876"/>
    <d v="2025-02-06T00:00:00"/>
    <x v="1"/>
    <s v="Chandigarh"/>
    <x v="7"/>
    <x v="1"/>
    <x v="1"/>
    <s v="Desk"/>
    <x v="839"/>
    <n v="8"/>
    <n v="3642.33"/>
    <n v="15"/>
    <x v="874"/>
    <n v="13640.9"/>
    <n v="11126.94"/>
    <x v="2"/>
    <s v="Cash"/>
    <s v="February"/>
    <n v="2025"/>
  </r>
  <r>
    <s v="ORD100877"/>
    <d v="2025-07-21T00:00:00"/>
    <x v="3"/>
    <s v="Bhubaneswar"/>
    <x v="1"/>
    <x v="2"/>
    <x v="0"/>
    <s v="Keyboard"/>
    <x v="840"/>
    <n v="15"/>
    <n v="2235.4499999999998"/>
    <n v="20"/>
    <x v="875"/>
    <n v="18973.939999999999"/>
    <n v="7851.46"/>
    <x v="1"/>
    <s v="UPI"/>
    <s v="July"/>
    <n v="2025"/>
  </r>
  <r>
    <s v="ORD100878"/>
    <d v="2025-08-08T00:00:00"/>
    <x v="3"/>
    <s v="Kolkata"/>
    <x v="7"/>
    <x v="2"/>
    <x v="2"/>
    <s v="Notebook"/>
    <x v="841"/>
    <n v="9"/>
    <n v="368.61"/>
    <n v="15"/>
    <x v="876"/>
    <n v="1964.51"/>
    <n v="855.36"/>
    <x v="0"/>
    <s v="Card"/>
    <s v="August"/>
    <n v="2025"/>
  </r>
  <r>
    <s v="ORD100879"/>
    <d v="2025-05-18T00:00:00"/>
    <x v="2"/>
    <s v="Chennai"/>
    <x v="7"/>
    <x v="0"/>
    <x v="2"/>
    <s v="Paper"/>
    <x v="842"/>
    <n v="2"/>
    <n v="1023.68"/>
    <n v="0"/>
    <x v="877"/>
    <n v="1204.04"/>
    <n v="843.32"/>
    <x v="1"/>
    <s v="UPI"/>
    <s v="May"/>
    <n v="2025"/>
  </r>
  <r>
    <s v="ORD100880"/>
    <d v="2025-07-23T00:00:00"/>
    <x v="2"/>
    <s v="Bengaluru"/>
    <x v="5"/>
    <x v="0"/>
    <x v="0"/>
    <s v="Headphones"/>
    <x v="173"/>
    <n v="14"/>
    <n v="3690.87"/>
    <n v="15"/>
    <x v="878"/>
    <n v="29602.15"/>
    <n v="14319.2"/>
    <x v="2"/>
    <s v="Net Banking"/>
    <s v="July"/>
    <n v="2025"/>
  </r>
  <r>
    <s v="ORD100881"/>
    <d v="2026-01-16T00:00:00"/>
    <x v="2"/>
    <s v="Chennai"/>
    <x v="4"/>
    <x v="2"/>
    <x v="2"/>
    <s v="Paper"/>
    <x v="843"/>
    <n v="14"/>
    <n v="793.21"/>
    <n v="0"/>
    <x v="879"/>
    <n v="6345.26"/>
    <n v="4759.68"/>
    <x v="2"/>
    <s v="Cash"/>
    <s v="January"/>
    <n v="2026"/>
  </r>
  <r>
    <s v="ORD100882"/>
    <d v="2025-11-12T00:00:00"/>
    <x v="2"/>
    <s v="Bengaluru"/>
    <x v="2"/>
    <x v="0"/>
    <x v="0"/>
    <s v="Monitor"/>
    <x v="844"/>
    <n v="15"/>
    <n v="3660.46"/>
    <n v="0"/>
    <x v="880"/>
    <n v="36877.31"/>
    <n v="18029.59"/>
    <x v="2"/>
    <s v="Card"/>
    <s v="November"/>
    <n v="2025"/>
  </r>
  <r>
    <s v="ORD100883"/>
    <d v="2025-03-25T00:00:00"/>
    <x v="1"/>
    <s v="Chandigarh"/>
    <x v="0"/>
    <x v="0"/>
    <x v="1"/>
    <s v="Table"/>
    <x v="845"/>
    <n v="5"/>
    <n v="3542.73"/>
    <n v="10"/>
    <x v="881"/>
    <n v="9049.51"/>
    <n v="6892.78"/>
    <x v="2"/>
    <s v="Cash"/>
    <s v="March"/>
    <n v="2025"/>
  </r>
  <r>
    <s v="ORD100884"/>
    <d v="2025-08-16T00:00:00"/>
    <x v="0"/>
    <s v="Ahmedabad"/>
    <x v="3"/>
    <x v="2"/>
    <x v="2"/>
    <s v="Pens"/>
    <x v="846"/>
    <n v="8"/>
    <n v="3033.64"/>
    <n v="20"/>
    <x v="882"/>
    <n v="13986.69"/>
    <n v="5428.61"/>
    <x v="1"/>
    <s v="Card"/>
    <s v="August"/>
    <n v="2025"/>
  </r>
  <r>
    <s v="ORD100885"/>
    <d v="2026-04-13T00:00:00"/>
    <x v="1"/>
    <s v="Chandigarh"/>
    <x v="2"/>
    <x v="1"/>
    <x v="2"/>
    <s v="Notebook"/>
    <x v="847"/>
    <n v="7"/>
    <n v="2665.79"/>
    <n v="5"/>
    <x v="883"/>
    <n v="11187.44"/>
    <n v="6540.06"/>
    <x v="1"/>
    <s v="Net Banking"/>
    <s v="April"/>
    <n v="2026"/>
  </r>
  <r>
    <s v="ORD100886"/>
    <d v="2025-04-17T00:00:00"/>
    <x v="2"/>
    <s v="Bengaluru"/>
    <x v="2"/>
    <x v="0"/>
    <x v="1"/>
    <s v="Bookshelf"/>
    <x v="848"/>
    <n v="12"/>
    <n v="593.89"/>
    <n v="5"/>
    <x v="884"/>
    <n v="4824.66"/>
    <n v="1945.69"/>
    <x v="0"/>
    <s v="Cash"/>
    <s v="April"/>
    <n v="2025"/>
  </r>
  <r>
    <s v="ORD100887"/>
    <d v="2026-01-25T00:00:00"/>
    <x v="2"/>
    <s v="Bengaluru"/>
    <x v="4"/>
    <x v="2"/>
    <x v="1"/>
    <s v="Chair"/>
    <x v="849"/>
    <n v="9"/>
    <n v="2523.89"/>
    <n v="0"/>
    <x v="885"/>
    <n v="17320.009999999998"/>
    <n v="5395"/>
    <x v="2"/>
    <s v="Card"/>
    <s v="January"/>
    <n v="2026"/>
  </r>
  <r>
    <s v="ORD100888"/>
    <d v="2025-08-03T00:00:00"/>
    <x v="1"/>
    <s v="Chandigarh"/>
    <x v="2"/>
    <x v="1"/>
    <x v="2"/>
    <s v="Notebook"/>
    <x v="850"/>
    <n v="1"/>
    <n v="1750.65"/>
    <n v="15"/>
    <x v="886"/>
    <n v="1202.5"/>
    <n v="285.55"/>
    <x v="2"/>
    <s v="Net Banking"/>
    <s v="August"/>
    <n v="2025"/>
  </r>
  <r>
    <s v="ORD100889"/>
    <d v="2025-10-25T00:00:00"/>
    <x v="2"/>
    <s v="Bengaluru"/>
    <x v="7"/>
    <x v="0"/>
    <x v="1"/>
    <s v="Chair"/>
    <x v="851"/>
    <n v="4"/>
    <n v="909.74"/>
    <n v="0"/>
    <x v="887"/>
    <n v="2505.44"/>
    <n v="1133.52"/>
    <x v="0"/>
    <s v="Card"/>
    <s v="October"/>
    <n v="2025"/>
  </r>
  <r>
    <s v="ORD100890"/>
    <d v="2025-10-27T00:00:00"/>
    <x v="2"/>
    <s v="Chennai"/>
    <x v="1"/>
    <x v="2"/>
    <x v="2"/>
    <s v="Printer Ink"/>
    <x v="852"/>
    <n v="8"/>
    <n v="3096.64"/>
    <n v="20"/>
    <x v="888"/>
    <n v="12369.44"/>
    <n v="7449.06"/>
    <x v="0"/>
    <s v="Net Banking"/>
    <s v="October"/>
    <n v="2025"/>
  </r>
  <r>
    <s v="ORD100891"/>
    <d v="2025-06-30T00:00:00"/>
    <x v="3"/>
    <s v="Bhubaneswar"/>
    <x v="3"/>
    <x v="1"/>
    <x v="1"/>
    <s v="Cabinet"/>
    <x v="853"/>
    <n v="4"/>
    <n v="1584.29"/>
    <n v="20"/>
    <x v="889"/>
    <n v="3554.23"/>
    <n v="1515.5"/>
    <x v="2"/>
    <s v="Net Banking"/>
    <s v="June"/>
    <n v="2025"/>
  </r>
  <r>
    <s v="ORD100892"/>
    <d v="2025-11-10T00:00:00"/>
    <x v="2"/>
    <s v="Chennai"/>
    <x v="1"/>
    <x v="2"/>
    <x v="1"/>
    <s v="Table"/>
    <x v="854"/>
    <n v="12"/>
    <n v="4011.52"/>
    <n v="5"/>
    <x v="890"/>
    <n v="34730.5"/>
    <n v="11000.83"/>
    <x v="0"/>
    <s v="Cash"/>
    <s v="November"/>
    <n v="2025"/>
  </r>
  <r>
    <s v="ORD100893"/>
    <d v="2025-05-12T00:00:00"/>
    <x v="1"/>
    <s v="Delhi"/>
    <x v="5"/>
    <x v="1"/>
    <x v="1"/>
    <s v="Cabinet"/>
    <x v="855"/>
    <n v="10"/>
    <n v="4758.78"/>
    <n v="5"/>
    <x v="891"/>
    <n v="27667.21"/>
    <n v="17541.2"/>
    <x v="0"/>
    <s v="Cash"/>
    <s v="May"/>
    <n v="2025"/>
  </r>
  <r>
    <s v="ORD100894"/>
    <d v="2026-01-30T00:00:00"/>
    <x v="0"/>
    <s v="Ahmedabad"/>
    <x v="7"/>
    <x v="2"/>
    <x v="1"/>
    <s v="Table"/>
    <x v="856"/>
    <n v="12"/>
    <n v="1165.72"/>
    <n v="0"/>
    <x v="892"/>
    <n v="11112.68"/>
    <n v="2875.96"/>
    <x v="2"/>
    <s v="Cash"/>
    <s v="January"/>
    <n v="2026"/>
  </r>
  <r>
    <s v="ORD100895"/>
    <d v="2025-11-16T00:00:00"/>
    <x v="0"/>
    <s v="Mumbai"/>
    <x v="1"/>
    <x v="2"/>
    <x v="0"/>
    <s v="Mouse"/>
    <x v="857"/>
    <n v="5"/>
    <n v="3882.09"/>
    <n v="15"/>
    <x v="893"/>
    <n v="12269.95"/>
    <n v="4228.93"/>
    <x v="2"/>
    <s v="Cash"/>
    <s v="November"/>
    <n v="2025"/>
  </r>
  <r>
    <s v="ORD100896"/>
    <d v="2025-04-24T00:00:00"/>
    <x v="3"/>
    <s v="Kolkata"/>
    <x v="1"/>
    <x v="2"/>
    <x v="0"/>
    <s v="Mouse"/>
    <x v="858"/>
    <n v="11"/>
    <n v="1919.23"/>
    <n v="5"/>
    <x v="894"/>
    <n v="13984.48"/>
    <n v="6071.47"/>
    <x v="0"/>
    <s v="UPI"/>
    <s v="April"/>
    <n v="2025"/>
  </r>
  <r>
    <s v="ORD100897"/>
    <d v="2025-04-14T00:00:00"/>
    <x v="2"/>
    <s v="Bengaluru"/>
    <x v="3"/>
    <x v="2"/>
    <x v="2"/>
    <s v="Pens"/>
    <x v="859"/>
    <n v="7"/>
    <n v="3617.93"/>
    <n v="5"/>
    <x v="895"/>
    <n v="14150.19"/>
    <n v="9909.0400000000009"/>
    <x v="1"/>
    <s v="Net Banking"/>
    <s v="April"/>
    <n v="2025"/>
  </r>
  <r>
    <s v="ORD100898"/>
    <d v="2025-10-01T00:00:00"/>
    <x v="3"/>
    <s v="Bhubaneswar"/>
    <x v="4"/>
    <x v="2"/>
    <x v="1"/>
    <s v="Bookshelf"/>
    <x v="860"/>
    <n v="8"/>
    <n v="3932.92"/>
    <n v="0"/>
    <x v="896"/>
    <n v="20690.169999999998"/>
    <n v="10773.19"/>
    <x v="1"/>
    <s v="Card"/>
    <s v="October"/>
    <n v="2025"/>
  </r>
  <r>
    <s v="ORD100899"/>
    <d v="2025-01-14T00:00:00"/>
    <x v="2"/>
    <s v="Bengaluru"/>
    <x v="7"/>
    <x v="2"/>
    <x v="0"/>
    <s v="Monitor"/>
    <x v="861"/>
    <n v="5"/>
    <n v="2821.55"/>
    <n v="10"/>
    <x v="897"/>
    <n v="9244.84"/>
    <n v="3452.14"/>
    <x v="0"/>
    <s v="Net Banking"/>
    <s v="January"/>
    <n v="2025"/>
  </r>
  <r>
    <s v="ORD100900"/>
    <d v="2026-05-14T00:00:00"/>
    <x v="0"/>
    <s v="Ahmedabad"/>
    <x v="2"/>
    <x v="0"/>
    <x v="2"/>
    <s v="Folders"/>
    <x v="862"/>
    <n v="6"/>
    <n v="2041.09"/>
    <n v="15"/>
    <x v="898"/>
    <n v="5744.77"/>
    <n v="4664.79"/>
    <x v="2"/>
    <s v="Net Banking"/>
    <s v="May"/>
    <n v="2026"/>
  </r>
  <r>
    <s v="ORD100901"/>
    <d v="2026-04-20T00:00:00"/>
    <x v="3"/>
    <s v="Bhubaneswar"/>
    <x v="6"/>
    <x v="0"/>
    <x v="1"/>
    <s v="Cabinet"/>
    <x v="863"/>
    <n v="7"/>
    <n v="594.51"/>
    <n v="5"/>
    <x v="899"/>
    <n v="2267.9"/>
    <n v="1685.59"/>
    <x v="0"/>
    <s v="Cash"/>
    <s v="April"/>
    <n v="2026"/>
  </r>
  <r>
    <s v="ORD100902"/>
    <d v="2025-12-27T00:00:00"/>
    <x v="3"/>
    <s v="Bhubaneswar"/>
    <x v="2"/>
    <x v="1"/>
    <x v="2"/>
    <s v="Folders"/>
    <x v="864"/>
    <n v="7"/>
    <n v="257.27"/>
    <n v="5"/>
    <x v="900"/>
    <n v="949.96"/>
    <n v="760.89"/>
    <x v="2"/>
    <s v="Net Banking"/>
    <s v="December"/>
    <n v="2025"/>
  </r>
  <r>
    <s v="ORD100903"/>
    <d v="2026-06-14T00:00:00"/>
    <x v="2"/>
    <s v="Bengaluru"/>
    <x v="0"/>
    <x v="0"/>
    <x v="2"/>
    <s v="Notebook"/>
    <x v="865"/>
    <n v="14"/>
    <n v="4373.01"/>
    <n v="20"/>
    <x v="901"/>
    <n v="35770.1"/>
    <n v="13207.61"/>
    <x v="1"/>
    <s v="Card"/>
    <s v="June"/>
    <n v="2026"/>
  </r>
  <r>
    <s v="ORD100904"/>
    <d v="2025-11-23T00:00:00"/>
    <x v="3"/>
    <s v="Bhubaneswar"/>
    <x v="4"/>
    <x v="2"/>
    <x v="1"/>
    <s v="Cabinet"/>
    <x v="866"/>
    <n v="15"/>
    <n v="2346.6"/>
    <n v="10"/>
    <x v="902"/>
    <n v="20073.64"/>
    <n v="11605.46"/>
    <x v="1"/>
    <s v="UPI"/>
    <s v="November"/>
    <n v="2025"/>
  </r>
  <r>
    <s v="ORD100905"/>
    <d v="2025-12-24T00:00:00"/>
    <x v="1"/>
    <s v="Delhi"/>
    <x v="5"/>
    <x v="1"/>
    <x v="0"/>
    <s v="Keyboard"/>
    <x v="302"/>
    <n v="11"/>
    <n v="4332.5"/>
    <n v="15"/>
    <x v="903"/>
    <n v="25641.82"/>
    <n v="14867.06"/>
    <x v="2"/>
    <s v="Card"/>
    <s v="December"/>
    <n v="2025"/>
  </r>
  <r>
    <s v="ORD100906"/>
    <d v="2025-11-06T00:00:00"/>
    <x v="1"/>
    <s v="Delhi"/>
    <x v="2"/>
    <x v="1"/>
    <x v="1"/>
    <s v="Chair"/>
    <x v="366"/>
    <n v="7"/>
    <n v="1938.53"/>
    <n v="0"/>
    <x v="904"/>
    <n v="7645.81"/>
    <n v="5923.9"/>
    <x v="0"/>
    <s v="UPI"/>
    <s v="November"/>
    <n v="2025"/>
  </r>
  <r>
    <s v="ORD100907"/>
    <d v="2026-03-24T00:00:00"/>
    <x v="3"/>
    <s v="Kolkata"/>
    <x v="5"/>
    <x v="0"/>
    <x v="0"/>
    <s v="Laptop"/>
    <x v="867"/>
    <n v="7"/>
    <n v="2591.87"/>
    <n v="10"/>
    <x v="905"/>
    <n v="11129.84"/>
    <n v="5198.9399999999996"/>
    <x v="0"/>
    <s v="Card"/>
    <s v="March"/>
    <n v="2026"/>
  </r>
  <r>
    <s v="ORD100908"/>
    <d v="2026-03-21T00:00:00"/>
    <x v="1"/>
    <s v="Chandigarh"/>
    <x v="0"/>
    <x v="2"/>
    <x v="2"/>
    <s v="Printer Ink"/>
    <x v="868"/>
    <n v="11"/>
    <n v="317.02999999999997"/>
    <n v="10"/>
    <x v="906"/>
    <n v="1925.42"/>
    <n v="1213.18"/>
    <x v="2"/>
    <s v="Net Banking"/>
    <s v="March"/>
    <n v="2026"/>
  </r>
  <r>
    <s v="ORD100909"/>
    <d v="2026-03-08T00:00:00"/>
    <x v="1"/>
    <s v="Chandigarh"/>
    <x v="2"/>
    <x v="0"/>
    <x v="1"/>
    <s v="Table"/>
    <x v="869"/>
    <n v="8"/>
    <n v="1272.9100000000001"/>
    <n v="0"/>
    <x v="907"/>
    <n v="6685.35"/>
    <n v="3497.93"/>
    <x v="2"/>
    <s v="UPI"/>
    <s v="March"/>
    <n v="2026"/>
  </r>
  <r>
    <s v="ORD100910"/>
    <d v="2026-06-01T00:00:00"/>
    <x v="1"/>
    <s v="Delhi"/>
    <x v="2"/>
    <x v="2"/>
    <x v="0"/>
    <s v="Keyboard"/>
    <x v="870"/>
    <n v="2"/>
    <n v="2612.8000000000002"/>
    <n v="20"/>
    <x v="908"/>
    <n v="2424.08"/>
    <n v="1756.4"/>
    <x v="0"/>
    <s v="Net Banking"/>
    <s v="June"/>
    <n v="2026"/>
  </r>
  <r>
    <s v="ORD100911"/>
    <d v="2026-02-02T00:00:00"/>
    <x v="2"/>
    <s v="Bengaluru"/>
    <x v="0"/>
    <x v="2"/>
    <x v="1"/>
    <s v="Cabinet"/>
    <x v="871"/>
    <n v="5"/>
    <n v="1020.67"/>
    <n v="5"/>
    <x v="909"/>
    <n v="3094.09"/>
    <n v="1754.09"/>
    <x v="1"/>
    <s v="UPI"/>
    <s v="February"/>
    <n v="2026"/>
  </r>
  <r>
    <s v="ORD100912"/>
    <d v="2025-01-22T00:00:00"/>
    <x v="1"/>
    <s v="Delhi"/>
    <x v="7"/>
    <x v="2"/>
    <x v="1"/>
    <s v="Bookshelf"/>
    <x v="752"/>
    <n v="6"/>
    <n v="3457.55"/>
    <n v="0"/>
    <x v="910"/>
    <n v="13814.65"/>
    <n v="6930.65"/>
    <x v="1"/>
    <s v="Net Banking"/>
    <s v="January"/>
    <n v="2025"/>
  </r>
  <r>
    <s v="ORD100913"/>
    <d v="2025-08-11T00:00:00"/>
    <x v="1"/>
    <s v="Chandigarh"/>
    <x v="5"/>
    <x v="1"/>
    <x v="2"/>
    <s v="Paper"/>
    <x v="872"/>
    <n v="9"/>
    <n v="1082.3800000000001"/>
    <n v="15"/>
    <x v="911"/>
    <n v="5543.58"/>
    <n v="2736.63"/>
    <x v="1"/>
    <s v="Card"/>
    <s v="August"/>
    <n v="2025"/>
  </r>
  <r>
    <s v="ORD100914"/>
    <d v="2026-04-08T00:00:00"/>
    <x v="3"/>
    <s v="Kolkata"/>
    <x v="0"/>
    <x v="2"/>
    <x v="2"/>
    <s v="Paper"/>
    <x v="873"/>
    <n v="10"/>
    <n v="320.16000000000003"/>
    <n v="5"/>
    <x v="912"/>
    <n v="2318.37"/>
    <n v="723.15"/>
    <x v="0"/>
    <s v="Net Banking"/>
    <s v="April"/>
    <n v="2026"/>
  </r>
  <r>
    <s v="ORD100915"/>
    <d v="2026-03-27T00:00:00"/>
    <x v="3"/>
    <s v="Kolkata"/>
    <x v="2"/>
    <x v="0"/>
    <x v="0"/>
    <s v="Headphones"/>
    <x v="874"/>
    <n v="5"/>
    <n v="3515.36"/>
    <n v="20"/>
    <x v="913"/>
    <n v="11433.38"/>
    <n v="2628.06"/>
    <x v="1"/>
    <s v="Cash"/>
    <s v="March"/>
    <n v="2026"/>
  </r>
  <r>
    <s v="ORD100916"/>
    <d v="2026-06-14T00:00:00"/>
    <x v="1"/>
    <s v="Delhi"/>
    <x v="4"/>
    <x v="2"/>
    <x v="0"/>
    <s v="Mouse"/>
    <x v="875"/>
    <n v="1"/>
    <n v="3305.19"/>
    <n v="5"/>
    <x v="914"/>
    <n v="2328.6999999999998"/>
    <n v="811.23"/>
    <x v="1"/>
    <s v="UPI"/>
    <s v="June"/>
    <n v="2026"/>
  </r>
  <r>
    <s v="ORD100917"/>
    <d v="2025-10-01T00:00:00"/>
    <x v="1"/>
    <s v="Delhi"/>
    <x v="5"/>
    <x v="1"/>
    <x v="2"/>
    <s v="Paper"/>
    <x v="533"/>
    <n v="13"/>
    <n v="616.66999999999996"/>
    <n v="10"/>
    <x v="915"/>
    <n v="4300.6000000000004"/>
    <n v="2914.44"/>
    <x v="2"/>
    <s v="Card"/>
    <s v="October"/>
    <n v="2025"/>
  </r>
  <r>
    <s v="ORD100918"/>
    <d v="2025-05-25T00:00:00"/>
    <x v="3"/>
    <s v="Kolkata"/>
    <x v="1"/>
    <x v="2"/>
    <x v="2"/>
    <s v="Printer Ink"/>
    <x v="876"/>
    <n v="7"/>
    <n v="3503.21"/>
    <n v="20"/>
    <x v="916"/>
    <n v="10906.09"/>
    <n v="8711.89"/>
    <x v="1"/>
    <s v="Cash"/>
    <s v="May"/>
    <n v="2025"/>
  </r>
  <r>
    <s v="ORD100919"/>
    <d v="2026-05-27T00:00:00"/>
    <x v="3"/>
    <s v="Bhubaneswar"/>
    <x v="6"/>
    <x v="2"/>
    <x v="1"/>
    <s v="Chair"/>
    <x v="877"/>
    <n v="6"/>
    <n v="4868.3500000000004"/>
    <n v="5"/>
    <x v="917"/>
    <n v="21475.200000000001"/>
    <n v="6274.4"/>
    <x v="1"/>
    <s v="Cash"/>
    <s v="May"/>
    <n v="2026"/>
  </r>
  <r>
    <s v="ORD100920"/>
    <d v="2026-02-14T00:00:00"/>
    <x v="3"/>
    <s v="Kolkata"/>
    <x v="1"/>
    <x v="1"/>
    <x v="0"/>
    <s v="Headphones"/>
    <x v="878"/>
    <n v="15"/>
    <n v="3538.77"/>
    <n v="20"/>
    <x v="918"/>
    <n v="30959.15"/>
    <n v="11506.09"/>
    <x v="2"/>
    <s v="Net Banking"/>
    <s v="February"/>
    <n v="2026"/>
  </r>
  <r>
    <s v="ORD100921"/>
    <d v="2026-03-26T00:00:00"/>
    <x v="1"/>
    <s v="Delhi"/>
    <x v="6"/>
    <x v="1"/>
    <x v="1"/>
    <s v="Cabinet"/>
    <x v="879"/>
    <n v="4"/>
    <n v="1661.74"/>
    <n v="20"/>
    <x v="919"/>
    <n v="4269"/>
    <n v="1048.57"/>
    <x v="2"/>
    <s v="UPI"/>
    <s v="March"/>
    <n v="2026"/>
  </r>
  <r>
    <s v="ORD100922"/>
    <d v="2026-05-28T00:00:00"/>
    <x v="0"/>
    <s v="Mumbai"/>
    <x v="6"/>
    <x v="0"/>
    <x v="2"/>
    <s v="Pens"/>
    <x v="880"/>
    <n v="2"/>
    <n v="2613.35"/>
    <n v="0"/>
    <x v="920"/>
    <n v="3645.18"/>
    <n v="1581.52"/>
    <x v="0"/>
    <s v="UPI"/>
    <s v="May"/>
    <n v="2026"/>
  </r>
  <r>
    <s v="ORD100923"/>
    <d v="2025-12-10T00:00:00"/>
    <x v="0"/>
    <s v="Mumbai"/>
    <x v="4"/>
    <x v="2"/>
    <x v="2"/>
    <s v="Pens"/>
    <x v="881"/>
    <n v="13"/>
    <n v="1039.1400000000001"/>
    <n v="5"/>
    <x v="921"/>
    <n v="8576.76"/>
    <n v="4256.62"/>
    <x v="1"/>
    <s v="Card"/>
    <s v="December"/>
    <n v="2025"/>
  </r>
  <r>
    <s v="ORD100924"/>
    <d v="2025-11-25T00:00:00"/>
    <x v="2"/>
    <s v="Bengaluru"/>
    <x v="1"/>
    <x v="1"/>
    <x v="1"/>
    <s v="Table"/>
    <x v="882"/>
    <n v="2"/>
    <n v="957.81"/>
    <n v="0"/>
    <x v="922"/>
    <n v="1228.71"/>
    <n v="686.91"/>
    <x v="1"/>
    <s v="UPI"/>
    <s v="November"/>
    <n v="2025"/>
  </r>
  <r>
    <s v="ORD100925"/>
    <d v="2025-09-06T00:00:00"/>
    <x v="2"/>
    <s v="Chennai"/>
    <x v="1"/>
    <x v="2"/>
    <x v="0"/>
    <s v="Headphones"/>
    <x v="883"/>
    <n v="9"/>
    <n v="2740.77"/>
    <n v="15"/>
    <x v="923"/>
    <n v="12202.22"/>
    <n v="8764.67"/>
    <x v="1"/>
    <s v="Net Banking"/>
    <s v="September"/>
    <n v="2025"/>
  </r>
  <r>
    <s v="ORD100926"/>
    <d v="2025-02-08T00:00:00"/>
    <x v="1"/>
    <s v="Delhi"/>
    <x v="0"/>
    <x v="0"/>
    <x v="0"/>
    <s v="Monitor"/>
    <x v="884"/>
    <n v="15"/>
    <n v="1973.06"/>
    <n v="5"/>
    <x v="924"/>
    <n v="20038.3"/>
    <n v="8077.8"/>
    <x v="2"/>
    <s v="UPI"/>
    <s v="February"/>
    <n v="2025"/>
  </r>
  <r>
    <s v="ORD100927"/>
    <d v="2025-05-15T00:00:00"/>
    <x v="0"/>
    <s v="Ahmedabad"/>
    <x v="2"/>
    <x v="1"/>
    <x v="2"/>
    <s v="Paper"/>
    <x v="885"/>
    <n v="12"/>
    <n v="842.93"/>
    <n v="10"/>
    <x v="925"/>
    <n v="5138.47"/>
    <n v="3965.17"/>
    <x v="0"/>
    <s v="UPI"/>
    <s v="May"/>
    <n v="2025"/>
  </r>
  <r>
    <s v="ORD100928"/>
    <d v="2025-04-06T00:00:00"/>
    <x v="3"/>
    <s v="Kolkata"/>
    <x v="7"/>
    <x v="1"/>
    <x v="0"/>
    <s v="Keyboard"/>
    <x v="886"/>
    <n v="6"/>
    <n v="4151.76"/>
    <n v="20"/>
    <x v="926"/>
    <n v="13855.08"/>
    <n v="6073.37"/>
    <x v="1"/>
    <s v="Card"/>
    <s v="April"/>
    <n v="2025"/>
  </r>
  <r>
    <s v="ORD100929"/>
    <d v="2026-05-28T00:00:00"/>
    <x v="1"/>
    <s v="Delhi"/>
    <x v="2"/>
    <x v="1"/>
    <x v="0"/>
    <s v="Headphones"/>
    <x v="887"/>
    <n v="5"/>
    <n v="548.79999999999995"/>
    <n v="0"/>
    <x v="927"/>
    <n v="2231.46"/>
    <n v="512.54"/>
    <x v="1"/>
    <s v="Card"/>
    <s v="May"/>
    <n v="2026"/>
  </r>
  <r>
    <s v="ORD100930"/>
    <d v="2025-01-12T00:00:00"/>
    <x v="3"/>
    <s v="Bhubaneswar"/>
    <x v="1"/>
    <x v="0"/>
    <x v="1"/>
    <s v="Desk"/>
    <x v="888"/>
    <n v="10"/>
    <n v="2459.0300000000002"/>
    <n v="15"/>
    <x v="928"/>
    <n v="13318.21"/>
    <n v="7583.55"/>
    <x v="1"/>
    <s v="Net Banking"/>
    <s v="January"/>
    <n v="2025"/>
  </r>
  <r>
    <s v="ORD100931"/>
    <d v="2025-05-25T00:00:00"/>
    <x v="3"/>
    <s v="Kolkata"/>
    <x v="5"/>
    <x v="0"/>
    <x v="0"/>
    <s v="Mouse"/>
    <x v="889"/>
    <n v="1"/>
    <n v="4479.53"/>
    <n v="0"/>
    <x v="929"/>
    <n v="2811.93"/>
    <n v="1667.6"/>
    <x v="0"/>
    <s v="UPI"/>
    <s v="May"/>
    <n v="2025"/>
  </r>
  <r>
    <s v="ORD100932"/>
    <d v="2025-05-31T00:00:00"/>
    <x v="0"/>
    <s v="Mumbai"/>
    <x v="5"/>
    <x v="1"/>
    <x v="1"/>
    <s v="Bookshelf"/>
    <x v="890"/>
    <n v="7"/>
    <n v="3281.06"/>
    <n v="15"/>
    <x v="930"/>
    <n v="15319.07"/>
    <n v="4203.24"/>
    <x v="2"/>
    <s v="Cash"/>
    <s v="May"/>
    <n v="2025"/>
  </r>
  <r>
    <s v="ORD100933"/>
    <d v="2025-05-06T00:00:00"/>
    <x v="3"/>
    <s v="Kolkata"/>
    <x v="7"/>
    <x v="2"/>
    <x v="2"/>
    <s v="Pens"/>
    <x v="891"/>
    <n v="10"/>
    <n v="3381.93"/>
    <n v="10"/>
    <x v="931"/>
    <n v="21717.99"/>
    <n v="8719.3799999999992"/>
    <x v="0"/>
    <s v="UPI"/>
    <s v="May"/>
    <n v="2025"/>
  </r>
  <r>
    <s v="ORD100934"/>
    <d v="2025-03-20T00:00:00"/>
    <x v="2"/>
    <s v="Bengaluru"/>
    <x v="3"/>
    <x v="1"/>
    <x v="1"/>
    <s v="Bookshelf"/>
    <x v="892"/>
    <n v="8"/>
    <n v="3970.71"/>
    <n v="5"/>
    <x v="932"/>
    <n v="21810.6"/>
    <n v="8366.7999999999993"/>
    <x v="0"/>
    <s v="UPI"/>
    <s v="March"/>
    <n v="2025"/>
  </r>
  <r>
    <s v="ORD100935"/>
    <d v="2025-02-07T00:00:00"/>
    <x v="2"/>
    <s v="Chennai"/>
    <x v="2"/>
    <x v="1"/>
    <x v="2"/>
    <s v="Pens"/>
    <x v="893"/>
    <n v="9"/>
    <n v="4969.42"/>
    <n v="20"/>
    <x v="933"/>
    <n v="24015.11"/>
    <n v="11764.71"/>
    <x v="1"/>
    <s v="Cash"/>
    <s v="February"/>
    <n v="2025"/>
  </r>
  <r>
    <s v="ORD100936"/>
    <d v="2026-02-25T00:00:00"/>
    <x v="0"/>
    <s v="Ahmedabad"/>
    <x v="2"/>
    <x v="2"/>
    <x v="1"/>
    <s v="Chair"/>
    <x v="894"/>
    <n v="8"/>
    <n v="1080.8900000000001"/>
    <n v="5"/>
    <x v="934"/>
    <n v="6449.48"/>
    <n v="1765.28"/>
    <x v="2"/>
    <s v="Net Banking"/>
    <s v="February"/>
    <n v="2026"/>
  </r>
  <r>
    <s v="ORD100937"/>
    <d v="2026-04-24T00:00:00"/>
    <x v="0"/>
    <s v="Ahmedabad"/>
    <x v="2"/>
    <x v="1"/>
    <x v="2"/>
    <s v="Pens"/>
    <x v="895"/>
    <n v="7"/>
    <n v="1571.19"/>
    <n v="10"/>
    <x v="935"/>
    <n v="5548.24"/>
    <n v="4350.26"/>
    <x v="2"/>
    <s v="Net Banking"/>
    <s v="April"/>
    <n v="2026"/>
  </r>
  <r>
    <s v="ORD100938"/>
    <d v="2025-12-16T00:00:00"/>
    <x v="1"/>
    <s v="Delhi"/>
    <x v="3"/>
    <x v="0"/>
    <x v="1"/>
    <s v="Cabinet"/>
    <x v="896"/>
    <n v="2"/>
    <n v="3300.22"/>
    <n v="15"/>
    <x v="936"/>
    <n v="4330.62"/>
    <n v="1279.75"/>
    <x v="0"/>
    <s v="UPI"/>
    <s v="December"/>
    <n v="2025"/>
  </r>
  <r>
    <s v="ORD100939"/>
    <d v="2026-03-22T00:00:00"/>
    <x v="3"/>
    <s v="Bhubaneswar"/>
    <x v="3"/>
    <x v="1"/>
    <x v="1"/>
    <s v="Bookshelf"/>
    <x v="897"/>
    <n v="2"/>
    <n v="1475.19"/>
    <n v="0"/>
    <x v="937"/>
    <n v="1947.64"/>
    <n v="1002.74"/>
    <x v="1"/>
    <s v="Net Banking"/>
    <s v="March"/>
    <n v="2026"/>
  </r>
  <r>
    <s v="ORD100940"/>
    <d v="2026-02-04T00:00:00"/>
    <x v="3"/>
    <s v="Kolkata"/>
    <x v="1"/>
    <x v="0"/>
    <x v="1"/>
    <s v="Bookshelf"/>
    <x v="898"/>
    <n v="10"/>
    <n v="4074.51"/>
    <n v="0"/>
    <x v="938"/>
    <n v="27165.31"/>
    <n v="13579.79"/>
    <x v="2"/>
    <s v="Cash"/>
    <s v="February"/>
    <n v="2026"/>
  </r>
  <r>
    <s v="ORD100941"/>
    <d v="2026-06-30T00:00:00"/>
    <x v="3"/>
    <s v="Bhubaneswar"/>
    <x v="3"/>
    <x v="0"/>
    <x v="0"/>
    <s v="Headphones"/>
    <x v="899"/>
    <n v="5"/>
    <n v="3687.14"/>
    <n v="15"/>
    <x v="939"/>
    <n v="11704.8"/>
    <n v="3965.54"/>
    <x v="1"/>
    <s v="Cash"/>
    <s v="June"/>
    <n v="2026"/>
  </r>
  <r>
    <s v="ORD100942"/>
    <d v="2025-07-15T00:00:00"/>
    <x v="2"/>
    <s v="Bengaluru"/>
    <x v="2"/>
    <x v="2"/>
    <x v="0"/>
    <s v="Keyboard"/>
    <x v="206"/>
    <n v="1"/>
    <n v="2213.21"/>
    <n v="10"/>
    <x v="940"/>
    <n v="1557.72"/>
    <n v="434.17"/>
    <x v="1"/>
    <s v="Card"/>
    <s v="July"/>
    <n v="2025"/>
  </r>
  <r>
    <s v="ORD100943"/>
    <d v="2025-10-01T00:00:00"/>
    <x v="2"/>
    <s v="Chennai"/>
    <x v="4"/>
    <x v="1"/>
    <x v="0"/>
    <s v="Mouse"/>
    <x v="900"/>
    <n v="2"/>
    <n v="946.46"/>
    <n v="15"/>
    <x v="941"/>
    <n v="1076.8800000000001"/>
    <n v="532.1"/>
    <x v="2"/>
    <s v="UPI"/>
    <s v="October"/>
    <n v="2025"/>
  </r>
  <r>
    <s v="ORD100944"/>
    <d v="2026-03-12T00:00:00"/>
    <x v="2"/>
    <s v="Chennai"/>
    <x v="1"/>
    <x v="0"/>
    <x v="2"/>
    <s v="Pens"/>
    <x v="901"/>
    <n v="13"/>
    <n v="1619.36"/>
    <n v="0"/>
    <x v="942"/>
    <n v="14579.1"/>
    <n v="6472.58"/>
    <x v="1"/>
    <s v="Net Banking"/>
    <s v="March"/>
    <n v="2026"/>
  </r>
  <r>
    <s v="ORD100945"/>
    <d v="2025-04-14T00:00:00"/>
    <x v="3"/>
    <s v="Bhubaneswar"/>
    <x v="0"/>
    <x v="0"/>
    <x v="2"/>
    <s v="Folders"/>
    <x v="902"/>
    <n v="7"/>
    <n v="2440.44"/>
    <n v="0"/>
    <x v="943"/>
    <n v="13487.03"/>
    <n v="3596.05"/>
    <x v="0"/>
    <s v="Cash"/>
    <s v="April"/>
    <n v="2025"/>
  </r>
  <r>
    <s v="ORD100946"/>
    <d v="2025-07-17T00:00:00"/>
    <x v="0"/>
    <s v="Ahmedabad"/>
    <x v="7"/>
    <x v="0"/>
    <x v="0"/>
    <s v="Mouse"/>
    <x v="903"/>
    <n v="14"/>
    <n v="2325.61"/>
    <n v="0"/>
    <x v="944"/>
    <n v="23539.38"/>
    <n v="9019.16"/>
    <x v="1"/>
    <s v="Cash"/>
    <s v="July"/>
    <n v="2025"/>
  </r>
  <r>
    <s v="ORD100947"/>
    <d v="2025-05-10T00:00:00"/>
    <x v="0"/>
    <s v="Ahmedabad"/>
    <x v="5"/>
    <x v="1"/>
    <x v="2"/>
    <s v="Folders"/>
    <x v="904"/>
    <n v="10"/>
    <n v="396.86"/>
    <n v="5"/>
    <x v="945"/>
    <n v="2528.06"/>
    <n v="1242.1099999999999"/>
    <x v="0"/>
    <s v="Cash"/>
    <s v="May"/>
    <n v="2025"/>
  </r>
  <r>
    <s v="ORD100948"/>
    <d v="2025-05-03T00:00:00"/>
    <x v="2"/>
    <s v="Bengaluru"/>
    <x v="1"/>
    <x v="0"/>
    <x v="2"/>
    <s v="Paper"/>
    <x v="905"/>
    <n v="13"/>
    <n v="1624.24"/>
    <n v="0"/>
    <x v="946"/>
    <n v="15670.66"/>
    <n v="5444.46"/>
    <x v="0"/>
    <s v="Cash"/>
    <s v="May"/>
    <n v="2025"/>
  </r>
  <r>
    <s v="ORD100949"/>
    <d v="2025-01-06T00:00:00"/>
    <x v="2"/>
    <s v="Bengaluru"/>
    <x v="4"/>
    <x v="0"/>
    <x v="1"/>
    <s v="Chair"/>
    <x v="906"/>
    <n v="8"/>
    <n v="3419.3"/>
    <n v="20"/>
    <x v="947"/>
    <n v="15559.3"/>
    <n v="6324.22"/>
    <x v="2"/>
    <s v="Cash"/>
    <s v="January"/>
    <n v="2025"/>
  </r>
  <r>
    <s v="ORD100950"/>
    <d v="2025-07-01T00:00:00"/>
    <x v="0"/>
    <s v="Ahmedabad"/>
    <x v="7"/>
    <x v="1"/>
    <x v="0"/>
    <s v="Mouse"/>
    <x v="907"/>
    <n v="12"/>
    <n v="3021.86"/>
    <n v="20"/>
    <x v="948"/>
    <n v="23734.45"/>
    <n v="5275.41"/>
    <x v="2"/>
    <s v="Card"/>
    <s v="July"/>
    <n v="2025"/>
  </r>
  <r>
    <s v="ORD100951"/>
    <d v="2026-06-29T00:00:00"/>
    <x v="3"/>
    <s v="Bhubaneswar"/>
    <x v="6"/>
    <x v="0"/>
    <x v="1"/>
    <s v="Desk"/>
    <x v="908"/>
    <n v="14"/>
    <n v="817.64"/>
    <n v="5"/>
    <x v="949"/>
    <n v="6718.25"/>
    <n v="4156.3599999999997"/>
    <x v="0"/>
    <s v="Card"/>
    <s v="June"/>
    <n v="2026"/>
  </r>
  <r>
    <s v="ORD100952"/>
    <d v="2026-01-13T00:00:00"/>
    <x v="2"/>
    <s v="Chennai"/>
    <x v="6"/>
    <x v="0"/>
    <x v="1"/>
    <s v="Cabinet"/>
    <x v="909"/>
    <n v="9"/>
    <n v="2607.2399999999998"/>
    <n v="20"/>
    <x v="950"/>
    <n v="12446.7"/>
    <n v="6325.43"/>
    <x v="2"/>
    <s v="UPI"/>
    <s v="January"/>
    <n v="2026"/>
  </r>
  <r>
    <s v="ORD100953"/>
    <d v="2025-06-08T00:00:00"/>
    <x v="1"/>
    <s v="Delhi"/>
    <x v="2"/>
    <x v="0"/>
    <x v="1"/>
    <s v="Bookshelf"/>
    <x v="910"/>
    <n v="2"/>
    <n v="4572.71"/>
    <n v="15"/>
    <x v="951"/>
    <n v="6083.77"/>
    <n v="1689.84"/>
    <x v="1"/>
    <s v="Net Banking"/>
    <s v="June"/>
    <n v="2025"/>
  </r>
  <r>
    <s v="ORD100954"/>
    <d v="2025-01-05T00:00:00"/>
    <x v="3"/>
    <s v="Kolkata"/>
    <x v="4"/>
    <x v="2"/>
    <x v="1"/>
    <s v="Cabinet"/>
    <x v="911"/>
    <n v="2"/>
    <n v="1373.46"/>
    <n v="15"/>
    <x v="952"/>
    <n v="1887.61"/>
    <n v="447.27"/>
    <x v="2"/>
    <s v="UPI"/>
    <s v="January"/>
    <n v="2025"/>
  </r>
  <r>
    <s v="ORD100955"/>
    <d v="2025-11-19T00:00:00"/>
    <x v="3"/>
    <s v="Bhubaneswar"/>
    <x v="4"/>
    <x v="1"/>
    <x v="1"/>
    <s v="Table"/>
    <x v="912"/>
    <n v="2"/>
    <n v="3636.42"/>
    <n v="15"/>
    <x v="953"/>
    <n v="3855.1"/>
    <n v="2326.81"/>
    <x v="0"/>
    <s v="Card"/>
    <s v="November"/>
    <n v="2025"/>
  </r>
  <r>
    <s v="ORD100956"/>
    <d v="2026-01-10T00:00:00"/>
    <x v="1"/>
    <s v="Chandigarh"/>
    <x v="0"/>
    <x v="1"/>
    <x v="2"/>
    <s v="Paper"/>
    <x v="913"/>
    <n v="10"/>
    <n v="2228.86"/>
    <n v="0"/>
    <x v="954"/>
    <n v="17699.29"/>
    <n v="4589.3100000000004"/>
    <x v="2"/>
    <s v="Net Banking"/>
    <s v="January"/>
    <n v="2026"/>
  </r>
  <r>
    <s v="ORD100957"/>
    <d v="2025-03-12T00:00:00"/>
    <x v="2"/>
    <s v="Bengaluru"/>
    <x v="4"/>
    <x v="1"/>
    <x v="2"/>
    <s v="Printer Ink"/>
    <x v="914"/>
    <n v="8"/>
    <n v="1001.84"/>
    <n v="0"/>
    <x v="955"/>
    <n v="6153.26"/>
    <n v="1861.46"/>
    <x v="2"/>
    <s v="Net Banking"/>
    <s v="March"/>
    <n v="2025"/>
  </r>
  <r>
    <s v="ORD100958"/>
    <d v="2026-06-13T00:00:00"/>
    <x v="0"/>
    <s v="Ahmedabad"/>
    <x v="6"/>
    <x v="1"/>
    <x v="2"/>
    <s v="Folders"/>
    <x v="915"/>
    <n v="4"/>
    <n v="2721.28"/>
    <n v="15"/>
    <x v="956"/>
    <n v="5796.58"/>
    <n v="3455.77"/>
    <x v="2"/>
    <s v="Net Banking"/>
    <s v="June"/>
    <n v="2026"/>
  </r>
  <r>
    <s v="ORD100959"/>
    <d v="2026-03-30T00:00:00"/>
    <x v="1"/>
    <s v="Chandigarh"/>
    <x v="3"/>
    <x v="0"/>
    <x v="1"/>
    <s v="Bookshelf"/>
    <x v="192"/>
    <n v="9"/>
    <n v="4965.1000000000004"/>
    <n v="15"/>
    <x v="957"/>
    <n v="25346.799999999999"/>
    <n v="12636.21"/>
    <x v="1"/>
    <s v="Net Banking"/>
    <s v="March"/>
    <n v="2026"/>
  </r>
  <r>
    <s v="ORD100960"/>
    <d v="2025-08-31T00:00:00"/>
    <x v="1"/>
    <s v="Delhi"/>
    <x v="4"/>
    <x v="0"/>
    <x v="1"/>
    <s v="Desk"/>
    <x v="916"/>
    <n v="14"/>
    <n v="4771.1099999999997"/>
    <n v="10"/>
    <x v="958"/>
    <n v="36115.29"/>
    <n v="24000.7"/>
    <x v="1"/>
    <s v="Net Banking"/>
    <s v="August"/>
    <n v="2025"/>
  </r>
  <r>
    <s v="ORD100961"/>
    <d v="2025-07-17T00:00:00"/>
    <x v="2"/>
    <s v="Chennai"/>
    <x v="2"/>
    <x v="1"/>
    <x v="0"/>
    <s v="Headphones"/>
    <x v="917"/>
    <n v="8"/>
    <n v="1566.24"/>
    <n v="10"/>
    <x v="959"/>
    <n v="7024.37"/>
    <n v="4252.5600000000004"/>
    <x v="2"/>
    <s v="Card"/>
    <s v="July"/>
    <n v="2025"/>
  </r>
  <r>
    <s v="ORD100962"/>
    <d v="2025-08-21T00:00:00"/>
    <x v="1"/>
    <s v="Chandigarh"/>
    <x v="2"/>
    <x v="1"/>
    <x v="0"/>
    <s v="Monitor"/>
    <x v="918"/>
    <n v="1"/>
    <n v="1232.6199999999999"/>
    <n v="10"/>
    <x v="960"/>
    <n v="743.38"/>
    <n v="365.98"/>
    <x v="0"/>
    <s v="Card"/>
    <s v="August"/>
    <n v="2025"/>
  </r>
  <r>
    <s v="ORD100963"/>
    <d v="2025-09-11T00:00:00"/>
    <x v="2"/>
    <s v="Chennai"/>
    <x v="5"/>
    <x v="0"/>
    <x v="2"/>
    <s v="Pens"/>
    <x v="919"/>
    <n v="11"/>
    <n v="2919.88"/>
    <n v="10"/>
    <x v="961"/>
    <n v="21788.15"/>
    <n v="7118.66"/>
    <x v="2"/>
    <s v="Cash"/>
    <s v="September"/>
    <n v="2025"/>
  </r>
  <r>
    <s v="ORD100964"/>
    <d v="2026-02-12T00:00:00"/>
    <x v="3"/>
    <s v="Bhubaneswar"/>
    <x v="3"/>
    <x v="1"/>
    <x v="0"/>
    <s v="Monitor"/>
    <x v="920"/>
    <n v="12"/>
    <n v="746.75"/>
    <n v="20"/>
    <x v="962"/>
    <n v="5555.87"/>
    <n v="1612.93"/>
    <x v="1"/>
    <s v="Cash"/>
    <s v="February"/>
    <n v="2026"/>
  </r>
  <r>
    <s v="ORD100965"/>
    <d v="2025-06-02T00:00:00"/>
    <x v="3"/>
    <s v="Bhubaneswar"/>
    <x v="7"/>
    <x v="2"/>
    <x v="0"/>
    <s v="Laptop"/>
    <x v="921"/>
    <n v="1"/>
    <n v="1872.79"/>
    <n v="5"/>
    <x v="963"/>
    <n v="1053.5999999999999"/>
    <n v="725.55"/>
    <x v="2"/>
    <s v="Card"/>
    <s v="June"/>
    <n v="2025"/>
  </r>
  <r>
    <s v="ORD100966"/>
    <d v="2025-09-10T00:00:00"/>
    <x v="3"/>
    <s v="Bhubaneswar"/>
    <x v="4"/>
    <x v="0"/>
    <x v="2"/>
    <s v="Folders"/>
    <x v="922"/>
    <n v="8"/>
    <n v="4870.26"/>
    <n v="10"/>
    <x v="964"/>
    <n v="20580.849999999999"/>
    <n v="14485.02"/>
    <x v="2"/>
    <s v="Cash"/>
    <s v="September"/>
    <n v="2025"/>
  </r>
  <r>
    <s v="ORD100967"/>
    <d v="2025-09-20T00:00:00"/>
    <x v="2"/>
    <s v="Bengaluru"/>
    <x v="5"/>
    <x v="0"/>
    <x v="2"/>
    <s v="Printer Ink"/>
    <x v="923"/>
    <n v="2"/>
    <n v="4138.5600000000004"/>
    <n v="20"/>
    <x v="965"/>
    <n v="4344.17"/>
    <n v="2277.5300000000002"/>
    <x v="2"/>
    <s v="Net Banking"/>
    <s v="September"/>
    <n v="2025"/>
  </r>
  <r>
    <s v="ORD100968"/>
    <d v="2025-11-11T00:00:00"/>
    <x v="2"/>
    <s v="Chennai"/>
    <x v="7"/>
    <x v="1"/>
    <x v="0"/>
    <s v="Laptop"/>
    <x v="924"/>
    <n v="12"/>
    <n v="1288.94"/>
    <n v="20"/>
    <x v="966"/>
    <n v="7543.6"/>
    <n v="4830.22"/>
    <x v="1"/>
    <s v="Net Banking"/>
    <s v="November"/>
    <n v="2025"/>
  </r>
  <r>
    <s v="ORD100969"/>
    <d v="2026-06-28T00:00:00"/>
    <x v="1"/>
    <s v="Chandigarh"/>
    <x v="0"/>
    <x v="0"/>
    <x v="0"/>
    <s v="Monitor"/>
    <x v="925"/>
    <n v="6"/>
    <n v="4938.95"/>
    <n v="20"/>
    <x v="967"/>
    <n v="18154.09"/>
    <n v="5552.87"/>
    <x v="1"/>
    <s v="UPI"/>
    <s v="June"/>
    <n v="2026"/>
  </r>
  <r>
    <s v="ORD100970"/>
    <d v="2025-02-26T00:00:00"/>
    <x v="0"/>
    <s v="Mumbai"/>
    <x v="1"/>
    <x v="2"/>
    <x v="2"/>
    <s v="Notebook"/>
    <x v="926"/>
    <n v="15"/>
    <n v="661.68"/>
    <n v="10"/>
    <x v="968"/>
    <n v="5725.59"/>
    <n v="3207.09"/>
    <x v="2"/>
    <s v="Cash"/>
    <s v="February"/>
    <n v="2025"/>
  </r>
  <r>
    <s v="ORD100971"/>
    <d v="2025-04-02T00:00:00"/>
    <x v="1"/>
    <s v="Delhi"/>
    <x v="2"/>
    <x v="1"/>
    <x v="1"/>
    <s v="Desk"/>
    <x v="927"/>
    <n v="5"/>
    <n v="3282.1"/>
    <n v="15"/>
    <x v="969"/>
    <n v="9337.23"/>
    <n v="4611.6899999999996"/>
    <x v="2"/>
    <s v="Cash"/>
    <s v="April"/>
    <n v="2025"/>
  </r>
  <r>
    <s v="ORD100972"/>
    <d v="2026-06-07T00:00:00"/>
    <x v="3"/>
    <s v="Kolkata"/>
    <x v="2"/>
    <x v="1"/>
    <x v="1"/>
    <s v="Cabinet"/>
    <x v="928"/>
    <n v="5"/>
    <n v="1713.16"/>
    <n v="15"/>
    <x v="970"/>
    <n v="4328.01"/>
    <n v="2952.92"/>
    <x v="2"/>
    <s v="UPI"/>
    <s v="June"/>
    <n v="2026"/>
  </r>
  <r>
    <s v="ORD100973"/>
    <d v="2025-10-04T00:00:00"/>
    <x v="2"/>
    <s v="Chennai"/>
    <x v="5"/>
    <x v="2"/>
    <x v="1"/>
    <s v="Bookshelf"/>
    <x v="929"/>
    <n v="2"/>
    <n v="2900.33"/>
    <n v="5"/>
    <x v="971"/>
    <n v="3942.01"/>
    <n v="1568.62"/>
    <x v="1"/>
    <s v="Net Banking"/>
    <s v="October"/>
    <n v="2025"/>
  </r>
  <r>
    <s v="ORD100974"/>
    <d v="2026-06-19T00:00:00"/>
    <x v="0"/>
    <s v="Mumbai"/>
    <x v="3"/>
    <x v="1"/>
    <x v="0"/>
    <s v="Monitor"/>
    <x v="930"/>
    <n v="6"/>
    <n v="2323.7600000000002"/>
    <n v="10"/>
    <x v="972"/>
    <n v="10120.44"/>
    <n v="2427.86"/>
    <x v="2"/>
    <s v="Net Banking"/>
    <s v="June"/>
    <n v="2026"/>
  </r>
  <r>
    <s v="ORD100975"/>
    <d v="2025-10-10T00:00:00"/>
    <x v="2"/>
    <s v="Bengaluru"/>
    <x v="2"/>
    <x v="0"/>
    <x v="0"/>
    <s v="Keyboard"/>
    <x v="931"/>
    <n v="11"/>
    <n v="1048.82"/>
    <n v="0"/>
    <x v="973"/>
    <n v="9128.82"/>
    <n v="2408.1999999999998"/>
    <x v="2"/>
    <s v="Cash"/>
    <s v="October"/>
    <n v="2025"/>
  </r>
  <r>
    <s v="ORD100976"/>
    <d v="2025-10-24T00:00:00"/>
    <x v="0"/>
    <s v="Mumbai"/>
    <x v="1"/>
    <x v="2"/>
    <x v="0"/>
    <s v="Mouse"/>
    <x v="932"/>
    <n v="13"/>
    <n v="1813.5"/>
    <n v="15"/>
    <x v="974"/>
    <n v="11711.98"/>
    <n v="8327.19"/>
    <x v="2"/>
    <s v="UPI"/>
    <s v="October"/>
    <n v="2025"/>
  </r>
  <r>
    <s v="ORD100977"/>
    <d v="2025-03-24T00:00:00"/>
    <x v="3"/>
    <s v="Bhubaneswar"/>
    <x v="5"/>
    <x v="1"/>
    <x v="0"/>
    <s v="Laptop"/>
    <x v="933"/>
    <n v="7"/>
    <n v="4574.03"/>
    <n v="15"/>
    <x v="975"/>
    <n v="19005.73"/>
    <n v="8209.75"/>
    <x v="2"/>
    <s v="Card"/>
    <s v="March"/>
    <n v="2025"/>
  </r>
  <r>
    <s v="ORD100978"/>
    <d v="2026-04-28T00:00:00"/>
    <x v="3"/>
    <s v="Kolkata"/>
    <x v="6"/>
    <x v="1"/>
    <x v="1"/>
    <s v="Cabinet"/>
    <x v="934"/>
    <n v="7"/>
    <n v="3812.81"/>
    <n v="10"/>
    <x v="976"/>
    <n v="15085.36"/>
    <n v="8935.34"/>
    <x v="0"/>
    <s v="Cash"/>
    <s v="April"/>
    <n v="2026"/>
  </r>
  <r>
    <s v="ORD100979"/>
    <d v="2026-03-30T00:00:00"/>
    <x v="3"/>
    <s v="Kolkata"/>
    <x v="5"/>
    <x v="2"/>
    <x v="2"/>
    <s v="Folders"/>
    <x v="935"/>
    <n v="15"/>
    <n v="2896.03"/>
    <n v="15"/>
    <x v="977"/>
    <n v="26547.52"/>
    <n v="10376.86"/>
    <x v="2"/>
    <s v="UPI"/>
    <s v="March"/>
    <n v="2026"/>
  </r>
  <r>
    <s v="ORD100980"/>
    <d v="2026-03-30T00:00:00"/>
    <x v="2"/>
    <s v="Bengaluru"/>
    <x v="2"/>
    <x v="1"/>
    <x v="2"/>
    <s v="Paper"/>
    <x v="936"/>
    <n v="9"/>
    <n v="2549.0100000000002"/>
    <n v="20"/>
    <x v="978"/>
    <n v="11037.53"/>
    <n v="7315.34"/>
    <x v="0"/>
    <s v="Cash"/>
    <s v="March"/>
    <n v="2026"/>
  </r>
  <r>
    <s v="ORD100981"/>
    <d v="2025-05-14T00:00:00"/>
    <x v="3"/>
    <s v="Bhubaneswar"/>
    <x v="4"/>
    <x v="2"/>
    <x v="2"/>
    <s v="Paper"/>
    <x v="937"/>
    <n v="11"/>
    <n v="1248.79"/>
    <n v="5"/>
    <x v="979"/>
    <n v="9951.9599999999991"/>
    <n v="3097.9"/>
    <x v="2"/>
    <s v="Net Banking"/>
    <s v="May"/>
    <n v="2025"/>
  </r>
  <r>
    <s v="ORD100982"/>
    <d v="2025-08-25T00:00:00"/>
    <x v="1"/>
    <s v="Chandigarh"/>
    <x v="0"/>
    <x v="1"/>
    <x v="1"/>
    <s v="Desk"/>
    <x v="938"/>
    <n v="11"/>
    <n v="2871.86"/>
    <n v="20"/>
    <x v="980"/>
    <n v="17528.43"/>
    <n v="7743.94"/>
    <x v="1"/>
    <s v="Net Banking"/>
    <s v="August"/>
    <n v="2025"/>
  </r>
  <r>
    <s v="ORD100983"/>
    <d v="2025-04-22T00:00:00"/>
    <x v="1"/>
    <s v="Delhi"/>
    <x v="3"/>
    <x v="2"/>
    <x v="1"/>
    <s v="Cabinet"/>
    <x v="939"/>
    <n v="15"/>
    <n v="4155.51"/>
    <n v="20"/>
    <x v="981"/>
    <n v="38016.800000000003"/>
    <n v="11849.32"/>
    <x v="1"/>
    <s v="Cash"/>
    <s v="April"/>
    <n v="2025"/>
  </r>
  <r>
    <s v="ORD100984"/>
    <d v="2026-04-05T00:00:00"/>
    <x v="2"/>
    <s v="Bengaluru"/>
    <x v="2"/>
    <x v="1"/>
    <x v="2"/>
    <s v="Folders"/>
    <x v="940"/>
    <n v="12"/>
    <n v="354.83"/>
    <n v="0"/>
    <x v="982"/>
    <n v="2366.91"/>
    <n v="1891.05"/>
    <x v="1"/>
    <s v="Net Banking"/>
    <s v="April"/>
    <n v="2026"/>
  </r>
  <r>
    <s v="ORD100985"/>
    <d v="2026-05-08T00:00:00"/>
    <x v="0"/>
    <s v="Mumbai"/>
    <x v="1"/>
    <x v="1"/>
    <x v="0"/>
    <s v="Keyboard"/>
    <x v="941"/>
    <n v="8"/>
    <n v="1776.57"/>
    <n v="20"/>
    <x v="983"/>
    <n v="8579.11"/>
    <n v="2790.94"/>
    <x v="1"/>
    <s v="Card"/>
    <s v="May"/>
    <n v="2026"/>
  </r>
  <r>
    <s v="ORD100986"/>
    <d v="2025-03-14T00:00:00"/>
    <x v="3"/>
    <s v="Kolkata"/>
    <x v="3"/>
    <x v="0"/>
    <x v="2"/>
    <s v="Notebook"/>
    <x v="942"/>
    <n v="15"/>
    <n v="4526.45"/>
    <n v="20"/>
    <x v="984"/>
    <n v="31358.57"/>
    <n v="22958.83"/>
    <x v="2"/>
    <s v="Card"/>
    <s v="March"/>
    <n v="2025"/>
  </r>
  <r>
    <s v="ORD100987"/>
    <d v="2026-02-03T00:00:00"/>
    <x v="3"/>
    <s v="Kolkata"/>
    <x v="4"/>
    <x v="2"/>
    <x v="0"/>
    <s v="Keyboard"/>
    <x v="943"/>
    <n v="15"/>
    <n v="1578.99"/>
    <n v="5"/>
    <x v="985"/>
    <n v="17342.95"/>
    <n v="5157.66"/>
    <x v="2"/>
    <s v="UPI"/>
    <s v="February"/>
    <n v="2026"/>
  </r>
  <r>
    <s v="ORD100988"/>
    <d v="2025-05-30T00:00:00"/>
    <x v="0"/>
    <s v="Ahmedabad"/>
    <x v="4"/>
    <x v="0"/>
    <x v="1"/>
    <s v="Cabinet"/>
    <x v="944"/>
    <n v="13"/>
    <n v="4634.8500000000004"/>
    <n v="10"/>
    <x v="986"/>
    <n v="43744.05"/>
    <n v="10483.700000000001"/>
    <x v="1"/>
    <s v="Card"/>
    <s v="May"/>
    <n v="2025"/>
  </r>
  <r>
    <s v="ORD100989"/>
    <d v="2026-05-13T00:00:00"/>
    <x v="2"/>
    <s v="Bengaluru"/>
    <x v="7"/>
    <x v="2"/>
    <x v="2"/>
    <s v="Notebook"/>
    <x v="945"/>
    <n v="2"/>
    <n v="2485.62"/>
    <n v="5"/>
    <x v="987"/>
    <n v="3336.14"/>
    <n v="1386.54"/>
    <x v="0"/>
    <s v="Cash"/>
    <s v="May"/>
    <n v="2026"/>
  </r>
  <r>
    <s v="ORD100990"/>
    <d v="2026-02-01T00:00:00"/>
    <x v="1"/>
    <s v="Chandigarh"/>
    <x v="7"/>
    <x v="1"/>
    <x v="0"/>
    <s v="Monitor"/>
    <x v="946"/>
    <n v="13"/>
    <n v="2476.65"/>
    <n v="20"/>
    <x v="988"/>
    <n v="20146.86"/>
    <n v="5610.3"/>
    <x v="2"/>
    <s v="Net Banking"/>
    <s v="February"/>
    <n v="2026"/>
  </r>
  <r>
    <s v="ORD100991"/>
    <d v="2025-10-31T00:00:00"/>
    <x v="2"/>
    <s v="Bengaluru"/>
    <x v="5"/>
    <x v="1"/>
    <x v="0"/>
    <s v="Mouse"/>
    <x v="947"/>
    <n v="13"/>
    <n v="3408.11"/>
    <n v="0"/>
    <x v="989"/>
    <n v="35117.800000000003"/>
    <n v="9187.6299999999992"/>
    <x v="1"/>
    <s v="Cash"/>
    <s v="October"/>
    <n v="2025"/>
  </r>
  <r>
    <s v="ORD100992"/>
    <d v="2026-03-13T00:00:00"/>
    <x v="2"/>
    <s v="Bengaluru"/>
    <x v="1"/>
    <x v="0"/>
    <x v="0"/>
    <s v="Headphones"/>
    <x v="948"/>
    <n v="10"/>
    <n v="1242.33"/>
    <n v="15"/>
    <x v="990"/>
    <n v="6118.57"/>
    <n v="4441.2299999999996"/>
    <x v="2"/>
    <s v="UPI"/>
    <s v="March"/>
    <n v="2026"/>
  </r>
  <r>
    <s v="ORD100993"/>
    <d v="2026-01-16T00:00:00"/>
    <x v="1"/>
    <s v="Delhi"/>
    <x v="2"/>
    <x v="2"/>
    <x v="1"/>
    <s v="Cabinet"/>
    <x v="949"/>
    <n v="2"/>
    <n v="4841.04"/>
    <n v="15"/>
    <x v="991"/>
    <n v="5028.3500000000004"/>
    <n v="3201.42"/>
    <x v="1"/>
    <s v="UPI"/>
    <s v="January"/>
    <n v="2026"/>
  </r>
  <r>
    <s v="ORD100994"/>
    <d v="2025-04-02T00:00:00"/>
    <x v="3"/>
    <s v="Bhubaneswar"/>
    <x v="7"/>
    <x v="0"/>
    <x v="1"/>
    <s v="Desk"/>
    <x v="950"/>
    <n v="5"/>
    <n v="2275.9699999999998"/>
    <n v="10"/>
    <x v="992"/>
    <n v="8043.01"/>
    <n v="2198.85"/>
    <x v="0"/>
    <s v="UPI"/>
    <s v="April"/>
    <n v="2025"/>
  </r>
  <r>
    <s v="ORD100995"/>
    <d v="2025-04-01T00:00:00"/>
    <x v="0"/>
    <s v="Mumbai"/>
    <x v="4"/>
    <x v="2"/>
    <x v="1"/>
    <s v="Table"/>
    <x v="951"/>
    <n v="12"/>
    <n v="2391.48"/>
    <n v="5"/>
    <x v="993"/>
    <n v="16682.62"/>
    <n v="10580.25"/>
    <x v="1"/>
    <s v="UPI"/>
    <s v="April"/>
    <n v="2025"/>
  </r>
  <r>
    <s v="ORD100996"/>
    <d v="2025-09-11T00:00:00"/>
    <x v="0"/>
    <s v="Ahmedabad"/>
    <x v="0"/>
    <x v="2"/>
    <x v="0"/>
    <s v="Headphones"/>
    <x v="952"/>
    <n v="6"/>
    <n v="2475.38"/>
    <n v="15"/>
    <x v="994"/>
    <n v="9597.32"/>
    <n v="3027.12"/>
    <x v="0"/>
    <s v="Cash"/>
    <s v="September"/>
    <n v="2025"/>
  </r>
  <r>
    <s v="ORD100997"/>
    <d v="2025-03-18T00:00:00"/>
    <x v="1"/>
    <s v="Delhi"/>
    <x v="2"/>
    <x v="2"/>
    <x v="0"/>
    <s v="Monitor"/>
    <x v="953"/>
    <n v="1"/>
    <n v="4936.32"/>
    <n v="0"/>
    <x v="995"/>
    <n v="3941.69"/>
    <n v="994.63"/>
    <x v="1"/>
    <s v="UPI"/>
    <s v="March"/>
    <n v="2025"/>
  </r>
  <r>
    <s v="ORD100998"/>
    <d v="2025-12-15T00:00:00"/>
    <x v="3"/>
    <s v="Kolkata"/>
    <x v="0"/>
    <x v="1"/>
    <x v="1"/>
    <s v="Chair"/>
    <x v="954"/>
    <n v="10"/>
    <n v="2283.92"/>
    <n v="15"/>
    <x v="996"/>
    <n v="15155.33"/>
    <n v="4257.99"/>
    <x v="2"/>
    <s v="Net Banking"/>
    <s v="December"/>
    <n v="2025"/>
  </r>
  <r>
    <s v="ORD100999"/>
    <d v="2026-01-06T00:00:00"/>
    <x v="1"/>
    <s v="Delhi"/>
    <x v="4"/>
    <x v="1"/>
    <x v="0"/>
    <s v="Mouse"/>
    <x v="955"/>
    <n v="13"/>
    <n v="3159.52"/>
    <n v="15"/>
    <x v="997"/>
    <n v="22392.37"/>
    <n v="12520.33"/>
    <x v="0"/>
    <s v="Card"/>
    <s v="January"/>
    <n v="2026"/>
  </r>
  <r>
    <s v="ORD101000"/>
    <d v="2025-12-22T00:00:00"/>
    <x v="2"/>
    <s v="Chennai"/>
    <x v="4"/>
    <x v="1"/>
    <x v="1"/>
    <s v="Desk"/>
    <x v="956"/>
    <n v="13"/>
    <n v="1983.17"/>
    <n v="15"/>
    <x v="998"/>
    <n v="14172.89"/>
    <n v="7741.14"/>
    <x v="0"/>
    <s v="Card"/>
    <s v="December"/>
    <n v="2025"/>
  </r>
</pivotCacheRecords>
</file>

<file path=xl/pivotCache/pivotCacheRecords2.xml><?xml version="1.0" encoding="utf-8"?>
<pivotCacheRecords xmlns="http://schemas.openxmlformats.org/spreadsheetml/2006/main" xmlns:r="http://schemas.openxmlformats.org/officeDocument/2006/relationships" count="1000">
  <r>
    <s v="ORD100002"/>
    <d v="2025-05-13T00:00:00"/>
    <x v="0"/>
    <s v="Mumbai"/>
    <x v="0"/>
    <s v="Corporate"/>
    <x v="0"/>
    <s v="Monitor"/>
    <x v="0"/>
    <n v="7"/>
    <n v="3307.79"/>
    <n v="5"/>
    <x v="0"/>
    <n v="13289.01"/>
    <n v="8707.7900000000009"/>
    <x v="0"/>
    <s v="Card"/>
    <x v="0"/>
    <x v="0"/>
  </r>
  <r>
    <s v="ORD100003"/>
    <d v="2026-05-08T00:00:00"/>
    <x v="0"/>
    <s v="Mumbai"/>
    <x v="1"/>
    <s v="Consumer"/>
    <x v="0"/>
    <s v="Keyboard"/>
    <x v="1"/>
    <n v="10"/>
    <n v="4140.0600000000004"/>
    <n v="0"/>
    <x v="1"/>
    <n v="32613.85"/>
    <n v="8786.75"/>
    <x v="0"/>
    <s v="Card"/>
    <x v="0"/>
    <x v="1"/>
  </r>
  <r>
    <s v="ORD100004"/>
    <d v="2025-10-13T00:00:00"/>
    <x v="1"/>
    <s v="Delhi"/>
    <x v="1"/>
    <s v="Small Business"/>
    <x v="1"/>
    <s v="Desk"/>
    <x v="2"/>
    <n v="13"/>
    <n v="4126.45"/>
    <n v="15"/>
    <x v="2"/>
    <n v="26050.2"/>
    <n v="19547.07"/>
    <x v="1"/>
    <s v="UPI"/>
    <x v="1"/>
    <x v="0"/>
  </r>
  <r>
    <s v="ORD100005"/>
    <d v="2026-02-20T00:00:00"/>
    <x v="0"/>
    <s v="Mumbai"/>
    <x v="2"/>
    <s v="Small Business"/>
    <x v="2"/>
    <s v="Notebook"/>
    <x v="3"/>
    <n v="11"/>
    <n v="4728.07"/>
    <n v="15"/>
    <x v="3"/>
    <n v="31674.14"/>
    <n v="12533.31"/>
    <x v="2"/>
    <s v="Net Banking"/>
    <x v="2"/>
    <x v="1"/>
  </r>
  <r>
    <s v="ORD100006"/>
    <d v="2025-03-01T00:00:00"/>
    <x v="0"/>
    <s v="Mumbai"/>
    <x v="3"/>
    <s v="Small Business"/>
    <x v="2"/>
    <s v="Folders"/>
    <x v="4"/>
    <n v="10"/>
    <n v="2169.3200000000002"/>
    <n v="5"/>
    <x v="4"/>
    <n v="15851.94"/>
    <n v="4756.6000000000004"/>
    <x v="2"/>
    <s v="UPI"/>
    <x v="3"/>
    <x v="0"/>
  </r>
  <r>
    <s v="ORD100007"/>
    <d v="2025-09-10T00:00:00"/>
    <x v="0"/>
    <s v="Ahmedabad"/>
    <x v="3"/>
    <s v="Consumer"/>
    <x v="0"/>
    <s v="Mouse"/>
    <x v="5"/>
    <n v="11"/>
    <n v="4333.96"/>
    <n v="10"/>
    <x v="5"/>
    <n v="26492.94"/>
    <n v="16413.259999999998"/>
    <x v="0"/>
    <s v="UPI"/>
    <x v="4"/>
    <x v="0"/>
  </r>
  <r>
    <s v="ORD100008"/>
    <d v="2025-07-11T00:00:00"/>
    <x v="1"/>
    <s v="Chandigarh"/>
    <x v="1"/>
    <s v="Corporate"/>
    <x v="2"/>
    <s v="Notebook"/>
    <x v="6"/>
    <n v="11"/>
    <n v="485.84"/>
    <n v="20"/>
    <x v="6"/>
    <n v="3340.42"/>
    <n v="934.97"/>
    <x v="2"/>
    <s v="Cash"/>
    <x v="5"/>
    <x v="0"/>
  </r>
  <r>
    <s v="ORD100009"/>
    <d v="2025-08-16T00:00:00"/>
    <x v="0"/>
    <s v="Ahmedabad"/>
    <x v="2"/>
    <s v="Small Business"/>
    <x v="1"/>
    <s v="Table"/>
    <x v="7"/>
    <n v="14"/>
    <n v="1435.08"/>
    <n v="10"/>
    <x v="7"/>
    <n v="13408.27"/>
    <n v="4673.74"/>
    <x v="2"/>
    <s v="Cash"/>
    <x v="6"/>
    <x v="0"/>
  </r>
  <r>
    <s v="ORD100010"/>
    <d v="2026-04-30T00:00:00"/>
    <x v="0"/>
    <s v="Mumbai"/>
    <x v="4"/>
    <s v="Consumer"/>
    <x v="2"/>
    <s v="Pens"/>
    <x v="8"/>
    <n v="12"/>
    <n v="4660.17"/>
    <n v="5"/>
    <x v="8"/>
    <n v="38250.36"/>
    <n v="14875.58"/>
    <x v="2"/>
    <s v="Card"/>
    <x v="7"/>
    <x v="1"/>
  </r>
  <r>
    <s v="ORD100011"/>
    <d v="2026-05-23T00:00:00"/>
    <x v="2"/>
    <s v="Chennai"/>
    <x v="2"/>
    <s v="Corporate"/>
    <x v="1"/>
    <s v="Bookshelf"/>
    <x v="9"/>
    <n v="5"/>
    <n v="4161.6499999999996"/>
    <n v="10"/>
    <x v="9"/>
    <n v="15283.82"/>
    <n v="3443.6"/>
    <x v="0"/>
    <s v="Net Banking"/>
    <x v="0"/>
    <x v="1"/>
  </r>
  <r>
    <s v="ORD100012"/>
    <d v="2025-09-17T00:00:00"/>
    <x v="2"/>
    <s v="Bengaluru"/>
    <x v="1"/>
    <s v="Corporate"/>
    <x v="1"/>
    <s v="Bookshelf"/>
    <x v="10"/>
    <n v="3"/>
    <n v="4734"/>
    <n v="10"/>
    <x v="10"/>
    <n v="10045.17"/>
    <n v="2736.63"/>
    <x v="0"/>
    <s v="Card"/>
    <x v="4"/>
    <x v="0"/>
  </r>
  <r>
    <s v="ORD100013"/>
    <d v="2026-05-30T00:00:00"/>
    <x v="2"/>
    <s v="Bengaluru"/>
    <x v="2"/>
    <s v="Corporate"/>
    <x v="2"/>
    <s v="Folders"/>
    <x v="11"/>
    <n v="8"/>
    <n v="1529.94"/>
    <n v="20"/>
    <x v="11"/>
    <n v="6042.57"/>
    <n v="3749.05"/>
    <x v="0"/>
    <s v="Net Banking"/>
    <x v="0"/>
    <x v="1"/>
  </r>
  <r>
    <s v="ORD100014"/>
    <d v="2026-03-31T00:00:00"/>
    <x v="0"/>
    <s v="Ahmedabad"/>
    <x v="2"/>
    <s v="Consumer"/>
    <x v="0"/>
    <s v="Keyboard"/>
    <x v="12"/>
    <n v="2"/>
    <n v="480.84"/>
    <n v="15"/>
    <x v="12"/>
    <n v="536.85"/>
    <n v="280.58"/>
    <x v="2"/>
    <s v="UPI"/>
    <x v="3"/>
    <x v="1"/>
  </r>
  <r>
    <s v="ORD100015"/>
    <d v="2025-07-01T00:00:00"/>
    <x v="1"/>
    <s v="Delhi"/>
    <x v="4"/>
    <s v="Corporate"/>
    <x v="1"/>
    <s v="Table"/>
    <x v="13"/>
    <n v="10"/>
    <n v="4277.93"/>
    <n v="20"/>
    <x v="13"/>
    <n v="25263.59"/>
    <n v="8959.85"/>
    <x v="1"/>
    <s v="Cash"/>
    <x v="5"/>
    <x v="0"/>
  </r>
  <r>
    <s v="ORD100016"/>
    <d v="2025-02-02T00:00:00"/>
    <x v="0"/>
    <s v="Ahmedabad"/>
    <x v="3"/>
    <s v="Corporate"/>
    <x v="0"/>
    <s v="Monitor"/>
    <x v="14"/>
    <n v="9"/>
    <n v="1660.47"/>
    <n v="15"/>
    <x v="14"/>
    <n v="7825.17"/>
    <n v="4877.43"/>
    <x v="0"/>
    <s v="Net Banking"/>
    <x v="2"/>
    <x v="0"/>
  </r>
  <r>
    <s v="ORD100017"/>
    <d v="2025-11-10T00:00:00"/>
    <x v="3"/>
    <s v="Bhubaneswar"/>
    <x v="4"/>
    <s v="Small Business"/>
    <x v="2"/>
    <s v="Notebook"/>
    <x v="15"/>
    <n v="10"/>
    <n v="1174.82"/>
    <n v="15"/>
    <x v="15"/>
    <n v="7304.46"/>
    <n v="2681.51"/>
    <x v="2"/>
    <s v="Card"/>
    <x v="8"/>
    <x v="0"/>
  </r>
  <r>
    <s v="ORD100018"/>
    <d v="2025-03-26T00:00:00"/>
    <x v="3"/>
    <s v="Kolkata"/>
    <x v="0"/>
    <s v="Small Business"/>
    <x v="1"/>
    <s v="Chair"/>
    <x v="16"/>
    <n v="1"/>
    <n v="3560.08"/>
    <n v="5"/>
    <x v="16"/>
    <n v="2743.47"/>
    <n v="638.61"/>
    <x v="2"/>
    <s v="Cash"/>
    <x v="3"/>
    <x v="0"/>
  </r>
  <r>
    <s v="ORD100019"/>
    <d v="2025-01-15T00:00:00"/>
    <x v="1"/>
    <s v="Delhi"/>
    <x v="0"/>
    <s v="Small Business"/>
    <x v="2"/>
    <s v="Folders"/>
    <x v="17"/>
    <n v="11"/>
    <n v="1585.64"/>
    <n v="0"/>
    <x v="17"/>
    <n v="9755.7099999999991"/>
    <n v="7686.33"/>
    <x v="0"/>
    <s v="Cash"/>
    <x v="9"/>
    <x v="0"/>
  </r>
  <r>
    <s v="ORD100020"/>
    <d v="2025-09-05T00:00:00"/>
    <x v="1"/>
    <s v="Chandigarh"/>
    <x v="0"/>
    <s v="Corporate"/>
    <x v="0"/>
    <s v="Monitor"/>
    <x v="18"/>
    <n v="10"/>
    <n v="2392.11"/>
    <n v="0"/>
    <x v="18"/>
    <n v="13775.73"/>
    <n v="10145.370000000001"/>
    <x v="2"/>
    <s v="Card"/>
    <x v="4"/>
    <x v="0"/>
  </r>
  <r>
    <s v="ORD100021"/>
    <d v="2025-11-02T00:00:00"/>
    <x v="2"/>
    <s v="Bengaluru"/>
    <x v="2"/>
    <s v="Corporate"/>
    <x v="1"/>
    <s v="Desk"/>
    <x v="19"/>
    <n v="3"/>
    <n v="2133.23"/>
    <n v="5"/>
    <x v="19"/>
    <n v="4281.22"/>
    <n v="1798.49"/>
    <x v="0"/>
    <s v="Card"/>
    <x v="8"/>
    <x v="0"/>
  </r>
  <r>
    <s v="ORD100022"/>
    <d v="2026-03-19T00:00:00"/>
    <x v="1"/>
    <s v="Chandigarh"/>
    <x v="2"/>
    <s v="Consumer"/>
    <x v="1"/>
    <s v="Desk"/>
    <x v="20"/>
    <n v="13"/>
    <n v="3603.63"/>
    <n v="5"/>
    <x v="20"/>
    <n v="29393.279999999999"/>
    <n v="15111.55"/>
    <x v="1"/>
    <s v="UPI"/>
    <x v="3"/>
    <x v="1"/>
  </r>
  <r>
    <s v="ORD100023"/>
    <d v="2025-11-28T00:00:00"/>
    <x v="0"/>
    <s v="Mumbai"/>
    <x v="3"/>
    <s v="Consumer"/>
    <x v="1"/>
    <s v="Desk"/>
    <x v="21"/>
    <n v="15"/>
    <n v="294.19"/>
    <n v="0"/>
    <x v="21"/>
    <n v="2928.16"/>
    <n v="1484.69"/>
    <x v="2"/>
    <s v="Cash"/>
    <x v="8"/>
    <x v="0"/>
  </r>
  <r>
    <s v="ORD100024"/>
    <d v="2025-06-01T00:00:00"/>
    <x v="0"/>
    <s v="Mumbai"/>
    <x v="3"/>
    <s v="Consumer"/>
    <x v="1"/>
    <s v="Desk"/>
    <x v="22"/>
    <n v="5"/>
    <n v="1058.76"/>
    <n v="20"/>
    <x v="22"/>
    <n v="3460.86"/>
    <n v="774.18"/>
    <x v="1"/>
    <s v="Card"/>
    <x v="10"/>
    <x v="0"/>
  </r>
  <r>
    <s v="ORD100025"/>
    <d v="2026-01-11T00:00:00"/>
    <x v="3"/>
    <s v="Kolkata"/>
    <x v="2"/>
    <s v="Small Business"/>
    <x v="1"/>
    <s v="Cabinet"/>
    <x v="23"/>
    <n v="2"/>
    <n v="2154.37"/>
    <n v="10"/>
    <x v="23"/>
    <n v="2139.33"/>
    <n v="1738.54"/>
    <x v="0"/>
    <s v="Cash"/>
    <x v="9"/>
    <x v="1"/>
  </r>
  <r>
    <s v="ORD100026"/>
    <d v="2025-09-18T00:00:00"/>
    <x v="1"/>
    <s v="Chandigarh"/>
    <x v="1"/>
    <s v="Consumer"/>
    <x v="1"/>
    <s v="Desk"/>
    <x v="24"/>
    <n v="6"/>
    <n v="3494.42"/>
    <n v="15"/>
    <x v="24"/>
    <n v="10897.4"/>
    <n v="6924.14"/>
    <x v="2"/>
    <s v="UPI"/>
    <x v="4"/>
    <x v="0"/>
  </r>
  <r>
    <s v="ORD100027"/>
    <d v="2026-03-18T00:00:00"/>
    <x v="1"/>
    <s v="Chandigarh"/>
    <x v="4"/>
    <s v="Corporate"/>
    <x v="1"/>
    <s v="Table"/>
    <x v="25"/>
    <n v="3"/>
    <n v="3241.88"/>
    <n v="20"/>
    <x v="25"/>
    <n v="5044.66"/>
    <n v="2735.85"/>
    <x v="0"/>
    <s v="Cash"/>
    <x v="3"/>
    <x v="1"/>
  </r>
  <r>
    <s v="ORD100028"/>
    <d v="2025-12-10T00:00:00"/>
    <x v="2"/>
    <s v="Chennai"/>
    <x v="5"/>
    <s v="Consumer"/>
    <x v="0"/>
    <s v="Monitor"/>
    <x v="26"/>
    <n v="11"/>
    <n v="750.74"/>
    <n v="15"/>
    <x v="26"/>
    <n v="3906.97"/>
    <n v="3112.45"/>
    <x v="2"/>
    <s v="Cash"/>
    <x v="11"/>
    <x v="0"/>
  </r>
  <r>
    <s v="ORD100029"/>
    <d v="2025-09-29T00:00:00"/>
    <x v="3"/>
    <s v="Kolkata"/>
    <x v="5"/>
    <s v="Consumer"/>
    <x v="0"/>
    <s v="Mouse"/>
    <x v="27"/>
    <n v="2"/>
    <n v="1839.5"/>
    <n v="10"/>
    <x v="27"/>
    <n v="1980.83"/>
    <n v="1330.27"/>
    <x v="2"/>
    <s v="Net Banking"/>
    <x v="4"/>
    <x v="0"/>
  </r>
  <r>
    <s v="ORD100030"/>
    <d v="2026-02-21T00:00:00"/>
    <x v="3"/>
    <s v="Bhubaneswar"/>
    <x v="3"/>
    <s v="Corporate"/>
    <x v="2"/>
    <s v="Folders"/>
    <x v="28"/>
    <n v="6"/>
    <n v="4855.41"/>
    <n v="15"/>
    <x v="28"/>
    <n v="19962.95"/>
    <n v="4799.6400000000003"/>
    <x v="1"/>
    <s v="UPI"/>
    <x v="2"/>
    <x v="1"/>
  </r>
  <r>
    <s v="ORD100031"/>
    <d v="2026-04-07T00:00:00"/>
    <x v="0"/>
    <s v="Ahmedabad"/>
    <x v="6"/>
    <s v="Corporate"/>
    <x v="0"/>
    <s v="Keyboard"/>
    <x v="29"/>
    <n v="2"/>
    <n v="573.58000000000004"/>
    <n v="5"/>
    <x v="29"/>
    <n v="866.22"/>
    <n v="223.58"/>
    <x v="2"/>
    <s v="Net Banking"/>
    <x v="7"/>
    <x v="1"/>
  </r>
  <r>
    <s v="ORD100032"/>
    <d v="2025-12-27T00:00:00"/>
    <x v="2"/>
    <s v="Bengaluru"/>
    <x v="6"/>
    <s v="Corporate"/>
    <x v="2"/>
    <s v="Paper"/>
    <x v="30"/>
    <n v="5"/>
    <n v="3530.9"/>
    <n v="0"/>
    <x v="30"/>
    <n v="12053.48"/>
    <n v="5601.02"/>
    <x v="0"/>
    <s v="Net Banking"/>
    <x v="11"/>
    <x v="0"/>
  </r>
  <r>
    <s v="ORD100033"/>
    <d v="2026-04-06T00:00:00"/>
    <x v="1"/>
    <s v="Delhi"/>
    <x v="1"/>
    <s v="Consumer"/>
    <x v="1"/>
    <s v="Bookshelf"/>
    <x v="31"/>
    <n v="10"/>
    <n v="4822.96"/>
    <n v="0"/>
    <x v="31"/>
    <n v="37692.239999999998"/>
    <n v="10537.36"/>
    <x v="2"/>
    <s v="Cash"/>
    <x v="7"/>
    <x v="1"/>
  </r>
  <r>
    <s v="ORD100034"/>
    <d v="2026-04-22T00:00:00"/>
    <x v="3"/>
    <s v="Kolkata"/>
    <x v="4"/>
    <s v="Corporate"/>
    <x v="1"/>
    <s v="Table"/>
    <x v="32"/>
    <n v="6"/>
    <n v="4265.34"/>
    <n v="20"/>
    <x v="32"/>
    <n v="14900.42"/>
    <n v="5573.21"/>
    <x v="0"/>
    <s v="Card"/>
    <x v="7"/>
    <x v="1"/>
  </r>
  <r>
    <s v="ORD100035"/>
    <d v="2025-07-01T00:00:00"/>
    <x v="2"/>
    <s v="Chennai"/>
    <x v="0"/>
    <s v="Corporate"/>
    <x v="1"/>
    <s v="Cabinet"/>
    <x v="33"/>
    <n v="13"/>
    <n v="1479.42"/>
    <n v="20"/>
    <x v="33"/>
    <n v="9859.4"/>
    <n v="5526.57"/>
    <x v="0"/>
    <s v="UPI"/>
    <x v="5"/>
    <x v="0"/>
  </r>
  <r>
    <s v="ORD100036"/>
    <d v="2025-03-16T00:00:00"/>
    <x v="0"/>
    <s v="Ahmedabad"/>
    <x v="5"/>
    <s v="Consumer"/>
    <x v="1"/>
    <s v="Bookshelf"/>
    <x v="34"/>
    <n v="3"/>
    <n v="1294.1400000000001"/>
    <n v="5"/>
    <x v="34"/>
    <n v="2894.35"/>
    <n v="793.95"/>
    <x v="2"/>
    <s v="Card"/>
    <x v="3"/>
    <x v="0"/>
  </r>
  <r>
    <s v="ORD100037"/>
    <d v="2026-02-19T00:00:00"/>
    <x v="2"/>
    <s v="Chennai"/>
    <x v="5"/>
    <s v="Small Business"/>
    <x v="0"/>
    <s v="Headphones"/>
    <x v="35"/>
    <n v="9"/>
    <n v="3596.77"/>
    <n v="10"/>
    <x v="35"/>
    <n v="22524.34"/>
    <n v="6609.5"/>
    <x v="1"/>
    <s v="Net Banking"/>
    <x v="2"/>
    <x v="1"/>
  </r>
  <r>
    <s v="ORD100038"/>
    <d v="2025-05-06T00:00:00"/>
    <x v="3"/>
    <s v="Kolkata"/>
    <x v="0"/>
    <s v="Corporate"/>
    <x v="2"/>
    <s v="Folders"/>
    <x v="36"/>
    <n v="1"/>
    <n v="2484.9299999999998"/>
    <n v="20"/>
    <x v="36"/>
    <n v="1400.09"/>
    <n v="587.85"/>
    <x v="1"/>
    <s v="UPI"/>
    <x v="0"/>
    <x v="0"/>
  </r>
  <r>
    <s v="ORD100039"/>
    <d v="2025-11-17T00:00:00"/>
    <x v="1"/>
    <s v="Chandigarh"/>
    <x v="5"/>
    <s v="Consumer"/>
    <x v="1"/>
    <s v="Chair"/>
    <x v="37"/>
    <n v="7"/>
    <n v="997.65"/>
    <n v="5"/>
    <x v="37"/>
    <n v="5416.7"/>
    <n v="1217.67"/>
    <x v="1"/>
    <s v="Card"/>
    <x v="8"/>
    <x v="0"/>
  </r>
  <r>
    <s v="ORD100040"/>
    <d v="2025-11-08T00:00:00"/>
    <x v="1"/>
    <s v="Delhi"/>
    <x v="3"/>
    <s v="Consumer"/>
    <x v="2"/>
    <s v="Folders"/>
    <x v="38"/>
    <n v="11"/>
    <n v="3729.56"/>
    <n v="0"/>
    <x v="38"/>
    <n v="25446.240000000002"/>
    <n v="15578.92"/>
    <x v="0"/>
    <s v="Cash"/>
    <x v="8"/>
    <x v="0"/>
  </r>
  <r>
    <s v="ORD100041"/>
    <d v="2025-09-17T00:00:00"/>
    <x v="1"/>
    <s v="Chandigarh"/>
    <x v="6"/>
    <s v="Small Business"/>
    <x v="0"/>
    <s v="Monitor"/>
    <x v="39"/>
    <n v="10"/>
    <n v="4521.9799999999996"/>
    <n v="0"/>
    <x v="39"/>
    <n v="36071.019999999997"/>
    <n v="9148.7800000000007"/>
    <x v="1"/>
    <s v="Cash"/>
    <x v="4"/>
    <x v="0"/>
  </r>
  <r>
    <s v="ORD100042"/>
    <d v="2025-08-08T00:00:00"/>
    <x v="3"/>
    <s v="Bhubaneswar"/>
    <x v="1"/>
    <s v="Small Business"/>
    <x v="0"/>
    <s v="Mouse"/>
    <x v="40"/>
    <n v="2"/>
    <n v="3663.06"/>
    <n v="0"/>
    <x v="40"/>
    <n v="5679.99"/>
    <n v="1646.13"/>
    <x v="1"/>
    <s v="Card"/>
    <x v="6"/>
    <x v="0"/>
  </r>
  <r>
    <s v="ORD100043"/>
    <d v="2025-01-18T00:00:00"/>
    <x v="1"/>
    <s v="Chandigarh"/>
    <x v="3"/>
    <s v="Consumer"/>
    <x v="1"/>
    <s v="Desk"/>
    <x v="41"/>
    <n v="15"/>
    <n v="1647.05"/>
    <n v="15"/>
    <x v="41"/>
    <n v="15718.56"/>
    <n v="5281.33"/>
    <x v="1"/>
    <s v="Net Banking"/>
    <x v="9"/>
    <x v="0"/>
  </r>
  <r>
    <s v="ORD100044"/>
    <d v="2025-08-23T00:00:00"/>
    <x v="2"/>
    <s v="Bengaluru"/>
    <x v="4"/>
    <s v="Small Business"/>
    <x v="2"/>
    <s v="Paper"/>
    <x v="42"/>
    <n v="8"/>
    <n v="4675.12"/>
    <n v="5"/>
    <x v="42"/>
    <n v="21084.47"/>
    <n v="14446.44"/>
    <x v="1"/>
    <s v="Cash"/>
    <x v="6"/>
    <x v="0"/>
  </r>
  <r>
    <s v="ORD100045"/>
    <d v="2025-12-12T00:00:00"/>
    <x v="2"/>
    <s v="Bengaluru"/>
    <x v="0"/>
    <s v="Corporate"/>
    <x v="2"/>
    <s v="Paper"/>
    <x v="43"/>
    <n v="2"/>
    <n v="2283.62"/>
    <n v="15"/>
    <x v="43"/>
    <n v="2432.06"/>
    <n v="1450.09"/>
    <x v="1"/>
    <s v="Card"/>
    <x v="11"/>
    <x v="0"/>
  </r>
  <r>
    <s v="ORD100046"/>
    <d v="2025-09-24T00:00:00"/>
    <x v="2"/>
    <s v="Chennai"/>
    <x v="0"/>
    <s v="Consumer"/>
    <x v="2"/>
    <s v="Folders"/>
    <x v="44"/>
    <n v="1"/>
    <n v="1899.34"/>
    <n v="10"/>
    <x v="44"/>
    <n v="1260.9000000000001"/>
    <n v="448.51"/>
    <x v="1"/>
    <s v="Card"/>
    <x v="4"/>
    <x v="0"/>
  </r>
  <r>
    <s v="ORD100047"/>
    <d v="2025-01-23T00:00:00"/>
    <x v="0"/>
    <s v="Mumbai"/>
    <x v="1"/>
    <s v="Corporate"/>
    <x v="1"/>
    <s v="Table"/>
    <x v="45"/>
    <n v="11"/>
    <n v="757.09"/>
    <n v="20"/>
    <x v="45"/>
    <n v="5262.61"/>
    <n v="1399.78"/>
    <x v="1"/>
    <s v="Net Banking"/>
    <x v="9"/>
    <x v="0"/>
  </r>
  <r>
    <s v="ORD100048"/>
    <d v="2026-05-06T00:00:00"/>
    <x v="1"/>
    <s v="Chandigarh"/>
    <x v="5"/>
    <s v="Small Business"/>
    <x v="1"/>
    <s v="Cabinet"/>
    <x v="46"/>
    <n v="4"/>
    <n v="2191.9699999999998"/>
    <n v="20"/>
    <x v="46"/>
    <n v="4876.67"/>
    <n v="2137.63"/>
    <x v="1"/>
    <s v="UPI"/>
    <x v="0"/>
    <x v="1"/>
  </r>
  <r>
    <s v="ORD100049"/>
    <d v="2025-08-24T00:00:00"/>
    <x v="0"/>
    <s v="Ahmedabad"/>
    <x v="2"/>
    <s v="Small Business"/>
    <x v="2"/>
    <s v="Printer Ink"/>
    <x v="47"/>
    <n v="7"/>
    <n v="1879.81"/>
    <n v="5"/>
    <x v="47"/>
    <n v="10170.08"/>
    <n v="2330.66"/>
    <x v="1"/>
    <s v="UPI"/>
    <x v="6"/>
    <x v="0"/>
  </r>
  <r>
    <s v="ORD100050"/>
    <d v="2025-06-18T00:00:00"/>
    <x v="0"/>
    <s v="Ahmedabad"/>
    <x v="6"/>
    <s v="Small Business"/>
    <x v="1"/>
    <s v="Chair"/>
    <x v="48"/>
    <n v="4"/>
    <n v="3378.05"/>
    <n v="15"/>
    <x v="48"/>
    <n v="9016.18"/>
    <n v="2469.19"/>
    <x v="2"/>
    <s v="Cash"/>
    <x v="10"/>
    <x v="0"/>
  </r>
  <r>
    <s v="ORD100051"/>
    <d v="2025-11-15T00:00:00"/>
    <x v="2"/>
    <s v="Chennai"/>
    <x v="3"/>
    <s v="Small Business"/>
    <x v="1"/>
    <s v="Bookshelf"/>
    <x v="49"/>
    <n v="14"/>
    <n v="4487.57"/>
    <n v="10"/>
    <x v="49"/>
    <n v="42064.17"/>
    <n v="14479.21"/>
    <x v="1"/>
    <s v="Net Banking"/>
    <x v="8"/>
    <x v="0"/>
  </r>
  <r>
    <s v="ORD100052"/>
    <d v="2025-06-01T00:00:00"/>
    <x v="2"/>
    <s v="Chennai"/>
    <x v="2"/>
    <s v="Consumer"/>
    <x v="0"/>
    <s v="Monitor"/>
    <x v="50"/>
    <n v="15"/>
    <n v="897.07"/>
    <n v="20"/>
    <x v="50"/>
    <n v="6665.4"/>
    <n v="4099.4399999999996"/>
    <x v="1"/>
    <s v="Cash"/>
    <x v="10"/>
    <x v="0"/>
  </r>
  <r>
    <s v="ORD100053"/>
    <d v="2025-02-12T00:00:00"/>
    <x v="0"/>
    <s v="Mumbai"/>
    <x v="6"/>
    <s v="Consumer"/>
    <x v="2"/>
    <s v="Printer Ink"/>
    <x v="51"/>
    <n v="11"/>
    <n v="4229.9399999999996"/>
    <n v="10"/>
    <x v="51"/>
    <n v="24036.62"/>
    <n v="17839.79"/>
    <x v="1"/>
    <s v="Cash"/>
    <x v="2"/>
    <x v="0"/>
  </r>
  <r>
    <s v="ORD100054"/>
    <d v="2026-03-06T00:00:00"/>
    <x v="2"/>
    <s v="Bengaluru"/>
    <x v="7"/>
    <s v="Small Business"/>
    <x v="0"/>
    <s v="Laptop"/>
    <x v="52"/>
    <n v="11"/>
    <n v="2535.88"/>
    <n v="20"/>
    <x v="52"/>
    <n v="16340.19"/>
    <n v="5975.55"/>
    <x v="1"/>
    <s v="UPI"/>
    <x v="3"/>
    <x v="1"/>
  </r>
  <r>
    <s v="ORD100055"/>
    <d v="2025-04-03T00:00:00"/>
    <x v="0"/>
    <s v="Ahmedabad"/>
    <x v="7"/>
    <s v="Small Business"/>
    <x v="0"/>
    <s v="Monitor"/>
    <x v="53"/>
    <n v="3"/>
    <n v="258.33"/>
    <n v="5"/>
    <x v="53"/>
    <n v="416.65"/>
    <n v="319.58999999999997"/>
    <x v="2"/>
    <s v="Cash"/>
    <x v="7"/>
    <x v="0"/>
  </r>
  <r>
    <s v="ORD100056"/>
    <d v="2025-11-18T00:00:00"/>
    <x v="1"/>
    <s v="Delhi"/>
    <x v="6"/>
    <s v="Small Business"/>
    <x v="2"/>
    <s v="Paper"/>
    <x v="54"/>
    <n v="2"/>
    <n v="1113.78"/>
    <n v="10"/>
    <x v="54"/>
    <n v="1559.65"/>
    <n v="445.15"/>
    <x v="1"/>
    <s v="UPI"/>
    <x v="8"/>
    <x v="0"/>
  </r>
  <r>
    <s v="ORD100057"/>
    <d v="2025-04-12T00:00:00"/>
    <x v="2"/>
    <s v="Chennai"/>
    <x v="4"/>
    <s v="Small Business"/>
    <x v="0"/>
    <s v="Headphones"/>
    <x v="55"/>
    <n v="15"/>
    <n v="630.38"/>
    <n v="5"/>
    <x v="55"/>
    <n v="5616.4"/>
    <n v="3366.52"/>
    <x v="1"/>
    <s v="UPI"/>
    <x v="7"/>
    <x v="0"/>
  </r>
  <r>
    <s v="ORD100058"/>
    <d v="2025-02-16T00:00:00"/>
    <x v="0"/>
    <s v="Mumbai"/>
    <x v="6"/>
    <s v="Consumer"/>
    <x v="2"/>
    <s v="Pens"/>
    <x v="56"/>
    <n v="10"/>
    <n v="2084.36"/>
    <n v="15"/>
    <x v="56"/>
    <n v="12306.03"/>
    <n v="5411.03"/>
    <x v="0"/>
    <s v="Card"/>
    <x v="2"/>
    <x v="0"/>
  </r>
  <r>
    <s v="ORD100059"/>
    <d v="2026-04-14T00:00:00"/>
    <x v="3"/>
    <s v="Kolkata"/>
    <x v="7"/>
    <s v="Small Business"/>
    <x v="1"/>
    <s v="Table"/>
    <x v="45"/>
    <n v="14"/>
    <n v="2475.21"/>
    <n v="10"/>
    <x v="57"/>
    <n v="19907.96"/>
    <n v="11279.69"/>
    <x v="1"/>
    <s v="Net Banking"/>
    <x v="7"/>
    <x v="1"/>
  </r>
  <r>
    <s v="ORD100060"/>
    <d v="2025-11-04T00:00:00"/>
    <x v="1"/>
    <s v="Chandigarh"/>
    <x v="7"/>
    <s v="Consumer"/>
    <x v="1"/>
    <s v="Chair"/>
    <x v="57"/>
    <n v="15"/>
    <n v="4161.82"/>
    <n v="10"/>
    <x v="58"/>
    <n v="44124.57"/>
    <n v="12060"/>
    <x v="2"/>
    <s v="Cash"/>
    <x v="8"/>
    <x v="0"/>
  </r>
  <r>
    <s v="ORD100061"/>
    <d v="2025-01-20T00:00:00"/>
    <x v="0"/>
    <s v="Mumbai"/>
    <x v="2"/>
    <s v="Small Business"/>
    <x v="0"/>
    <s v="Headphones"/>
    <x v="58"/>
    <n v="12"/>
    <n v="4798.3100000000004"/>
    <n v="10"/>
    <x v="59"/>
    <n v="40160.870000000003"/>
    <n v="11660.88"/>
    <x v="0"/>
    <s v="Net Banking"/>
    <x v="9"/>
    <x v="0"/>
  </r>
  <r>
    <s v="ORD100062"/>
    <d v="2025-10-22T00:00:00"/>
    <x v="0"/>
    <s v="Ahmedabad"/>
    <x v="7"/>
    <s v="Corporate"/>
    <x v="2"/>
    <s v="Paper"/>
    <x v="59"/>
    <n v="10"/>
    <n v="4421.08"/>
    <n v="15"/>
    <x v="60"/>
    <n v="24662.66"/>
    <n v="12916.52"/>
    <x v="0"/>
    <s v="UPI"/>
    <x v="1"/>
    <x v="0"/>
  </r>
  <r>
    <s v="ORD100063"/>
    <d v="2025-06-19T00:00:00"/>
    <x v="0"/>
    <s v="Mumbai"/>
    <x v="7"/>
    <s v="Consumer"/>
    <x v="2"/>
    <s v="Notebook"/>
    <x v="60"/>
    <n v="8"/>
    <n v="4866.0200000000004"/>
    <n v="10"/>
    <x v="61"/>
    <n v="25061.27"/>
    <n v="9974.07"/>
    <x v="0"/>
    <s v="UPI"/>
    <x v="10"/>
    <x v="0"/>
  </r>
  <r>
    <s v="ORD100064"/>
    <d v="2025-10-10T00:00:00"/>
    <x v="1"/>
    <s v="Chandigarh"/>
    <x v="0"/>
    <s v="Corporate"/>
    <x v="1"/>
    <s v="Desk"/>
    <x v="61"/>
    <n v="11"/>
    <n v="218.04"/>
    <n v="10"/>
    <x v="62"/>
    <n v="1625.19"/>
    <n v="533.41"/>
    <x v="0"/>
    <s v="Net Banking"/>
    <x v="1"/>
    <x v="0"/>
  </r>
  <r>
    <s v="ORD100065"/>
    <d v="2025-03-02T00:00:00"/>
    <x v="1"/>
    <s v="Chandigarh"/>
    <x v="1"/>
    <s v="Small Business"/>
    <x v="2"/>
    <s v="Printer Ink"/>
    <x v="62"/>
    <n v="1"/>
    <n v="1907.07"/>
    <n v="0"/>
    <x v="63"/>
    <n v="1131.53"/>
    <n v="775.54"/>
    <x v="2"/>
    <s v="UPI"/>
    <x v="3"/>
    <x v="0"/>
  </r>
  <r>
    <s v="ORD100066"/>
    <d v="2025-02-01T00:00:00"/>
    <x v="1"/>
    <s v="Delhi"/>
    <x v="0"/>
    <s v="Consumer"/>
    <x v="1"/>
    <s v="Chair"/>
    <x v="63"/>
    <n v="2"/>
    <n v="3630.32"/>
    <n v="10"/>
    <x v="64"/>
    <n v="3606.59"/>
    <n v="2927.99"/>
    <x v="0"/>
    <s v="Net Banking"/>
    <x v="2"/>
    <x v="0"/>
  </r>
  <r>
    <s v="ORD100067"/>
    <d v="2025-07-31T00:00:00"/>
    <x v="1"/>
    <s v="Chandigarh"/>
    <x v="4"/>
    <s v="Small Business"/>
    <x v="2"/>
    <s v="Pens"/>
    <x v="64"/>
    <n v="5"/>
    <n v="2927.47"/>
    <n v="5"/>
    <x v="65"/>
    <n v="11119.18"/>
    <n v="2786.3"/>
    <x v="1"/>
    <s v="Net Banking"/>
    <x v="5"/>
    <x v="0"/>
  </r>
  <r>
    <s v="ORD100068"/>
    <d v="2025-01-28T00:00:00"/>
    <x v="3"/>
    <s v="Bhubaneswar"/>
    <x v="0"/>
    <s v="Corporate"/>
    <x v="1"/>
    <s v="Table"/>
    <x v="65"/>
    <n v="13"/>
    <n v="2274.0300000000002"/>
    <n v="0"/>
    <x v="66"/>
    <n v="16451.37"/>
    <n v="13111.02"/>
    <x v="1"/>
    <s v="Cash"/>
    <x v="9"/>
    <x v="0"/>
  </r>
  <r>
    <s v="ORD100069"/>
    <d v="2026-06-29T00:00:00"/>
    <x v="1"/>
    <s v="Chandigarh"/>
    <x v="7"/>
    <s v="Corporate"/>
    <x v="1"/>
    <s v="Chair"/>
    <x v="66"/>
    <n v="5"/>
    <n v="3723.91"/>
    <n v="20"/>
    <x v="67"/>
    <n v="8634.43"/>
    <n v="6261.21"/>
    <x v="0"/>
    <s v="Cash"/>
    <x v="10"/>
    <x v="1"/>
  </r>
  <r>
    <s v="ORD100070"/>
    <d v="2025-04-14T00:00:00"/>
    <x v="3"/>
    <s v="Kolkata"/>
    <x v="1"/>
    <s v="Consumer"/>
    <x v="2"/>
    <s v="Paper"/>
    <x v="67"/>
    <n v="6"/>
    <n v="3283.3"/>
    <n v="20"/>
    <x v="68"/>
    <n v="11328.54"/>
    <n v="4431.3"/>
    <x v="2"/>
    <s v="UPI"/>
    <x v="7"/>
    <x v="0"/>
  </r>
  <r>
    <s v="ORD100071"/>
    <d v="2025-02-03T00:00:00"/>
    <x v="0"/>
    <s v="Mumbai"/>
    <x v="2"/>
    <s v="Small Business"/>
    <x v="1"/>
    <s v="Bookshelf"/>
    <x v="68"/>
    <n v="14"/>
    <n v="2439.09"/>
    <n v="0"/>
    <x v="69"/>
    <n v="26022.93"/>
    <n v="8124.33"/>
    <x v="1"/>
    <s v="UPI"/>
    <x v="2"/>
    <x v="0"/>
  </r>
  <r>
    <s v="ORD100072"/>
    <d v="2026-06-10T00:00:00"/>
    <x v="1"/>
    <s v="Delhi"/>
    <x v="3"/>
    <s v="Small Business"/>
    <x v="2"/>
    <s v="Paper"/>
    <x v="69"/>
    <n v="8"/>
    <n v="3327.79"/>
    <n v="20"/>
    <x v="70"/>
    <n v="13321.15"/>
    <n v="7976.71"/>
    <x v="0"/>
    <s v="Card"/>
    <x v="10"/>
    <x v="1"/>
  </r>
  <r>
    <s v="ORD100073"/>
    <d v="2025-10-23T00:00:00"/>
    <x v="3"/>
    <s v="Bhubaneswar"/>
    <x v="3"/>
    <s v="Corporate"/>
    <x v="0"/>
    <s v="Headphones"/>
    <x v="70"/>
    <n v="12"/>
    <n v="2189.41"/>
    <n v="0"/>
    <x v="71"/>
    <n v="21122.84"/>
    <n v="5150.08"/>
    <x v="0"/>
    <s v="UPI"/>
    <x v="1"/>
    <x v="0"/>
  </r>
  <r>
    <s v="ORD100074"/>
    <d v="2025-07-06T00:00:00"/>
    <x v="3"/>
    <s v="Bhubaneswar"/>
    <x v="5"/>
    <s v="Corporate"/>
    <x v="2"/>
    <s v="Notebook"/>
    <x v="71"/>
    <n v="12"/>
    <n v="1542.69"/>
    <n v="5"/>
    <x v="72"/>
    <n v="12262.51"/>
    <n v="5324.16"/>
    <x v="1"/>
    <s v="Card"/>
    <x v="5"/>
    <x v="0"/>
  </r>
  <r>
    <s v="ORD100075"/>
    <d v="2026-03-24T00:00:00"/>
    <x v="3"/>
    <s v="Bhubaneswar"/>
    <x v="7"/>
    <s v="Consumer"/>
    <x v="2"/>
    <s v="Paper"/>
    <x v="72"/>
    <n v="15"/>
    <n v="4664.67"/>
    <n v="15"/>
    <x v="73"/>
    <n v="43862.51"/>
    <n v="15612.03"/>
    <x v="2"/>
    <s v="UPI"/>
    <x v="3"/>
    <x v="1"/>
  </r>
  <r>
    <s v="ORD100076"/>
    <d v="2026-05-27T00:00:00"/>
    <x v="2"/>
    <s v="Bengaluru"/>
    <x v="0"/>
    <s v="Small Business"/>
    <x v="1"/>
    <s v="Bookshelf"/>
    <x v="73"/>
    <n v="1"/>
    <n v="1898.27"/>
    <n v="0"/>
    <x v="74"/>
    <n v="1103.68"/>
    <n v="794.59"/>
    <x v="1"/>
    <s v="Net Banking"/>
    <x v="0"/>
    <x v="1"/>
  </r>
  <r>
    <s v="ORD100077"/>
    <d v="2025-02-05T00:00:00"/>
    <x v="2"/>
    <s v="Chennai"/>
    <x v="5"/>
    <s v="Corporate"/>
    <x v="2"/>
    <s v="Folders"/>
    <x v="74"/>
    <n v="3"/>
    <n v="3579.09"/>
    <n v="15"/>
    <x v="75"/>
    <n v="6086.85"/>
    <n v="3039.83"/>
    <x v="1"/>
    <s v="Net Banking"/>
    <x v="2"/>
    <x v="0"/>
  </r>
  <r>
    <s v="ORD100078"/>
    <d v="2025-03-10T00:00:00"/>
    <x v="1"/>
    <s v="Delhi"/>
    <x v="7"/>
    <s v="Consumer"/>
    <x v="0"/>
    <s v="Laptop"/>
    <x v="75"/>
    <n v="5"/>
    <n v="396.68"/>
    <n v="5"/>
    <x v="76"/>
    <n v="1156.1199999999999"/>
    <n v="728.11"/>
    <x v="1"/>
    <s v="Net Banking"/>
    <x v="3"/>
    <x v="0"/>
  </r>
  <r>
    <s v="ORD100079"/>
    <d v="2025-07-07T00:00:00"/>
    <x v="1"/>
    <s v="Delhi"/>
    <x v="2"/>
    <s v="Consumer"/>
    <x v="2"/>
    <s v="Folders"/>
    <x v="76"/>
    <n v="5"/>
    <n v="999.66"/>
    <n v="15"/>
    <x v="77"/>
    <n v="3336.31"/>
    <n v="912.25"/>
    <x v="2"/>
    <s v="Cash"/>
    <x v="5"/>
    <x v="0"/>
  </r>
  <r>
    <s v="ORD100080"/>
    <d v="2025-03-10T00:00:00"/>
    <x v="1"/>
    <s v="Delhi"/>
    <x v="6"/>
    <s v="Small Business"/>
    <x v="0"/>
    <s v="Mouse"/>
    <x v="77"/>
    <n v="13"/>
    <n v="2980.49"/>
    <n v="20"/>
    <x v="78"/>
    <n v="24817.57"/>
    <n v="6179.53"/>
    <x v="0"/>
    <s v="UPI"/>
    <x v="3"/>
    <x v="0"/>
  </r>
  <r>
    <s v="ORD100081"/>
    <d v="2025-02-05T00:00:00"/>
    <x v="1"/>
    <s v="Chandigarh"/>
    <x v="2"/>
    <s v="Consumer"/>
    <x v="2"/>
    <s v="Printer Ink"/>
    <x v="78"/>
    <n v="8"/>
    <n v="3696.45"/>
    <n v="10"/>
    <x v="79"/>
    <n v="18646.400000000001"/>
    <n v="7968.04"/>
    <x v="2"/>
    <s v="Cash"/>
    <x v="2"/>
    <x v="0"/>
  </r>
  <r>
    <s v="ORD100082"/>
    <d v="2026-05-18T00:00:00"/>
    <x v="0"/>
    <s v="Mumbai"/>
    <x v="3"/>
    <s v="Small Business"/>
    <x v="0"/>
    <s v="Monitor"/>
    <x v="79"/>
    <n v="8"/>
    <n v="1525.13"/>
    <n v="10"/>
    <x v="80"/>
    <n v="6802.46"/>
    <n v="4178.4799999999996"/>
    <x v="2"/>
    <s v="UPI"/>
    <x v="0"/>
    <x v="1"/>
  </r>
  <r>
    <s v="ORD100083"/>
    <d v="2025-10-12T00:00:00"/>
    <x v="3"/>
    <s v="Bhubaneswar"/>
    <x v="7"/>
    <s v="Small Business"/>
    <x v="2"/>
    <s v="Paper"/>
    <x v="80"/>
    <n v="3"/>
    <n v="3021.5"/>
    <n v="0"/>
    <x v="81"/>
    <n v="7424.77"/>
    <n v="1639.73"/>
    <x v="0"/>
    <s v="UPI"/>
    <x v="1"/>
    <x v="0"/>
  </r>
  <r>
    <s v="ORD100084"/>
    <d v="2026-04-13T00:00:00"/>
    <x v="3"/>
    <s v="Kolkata"/>
    <x v="6"/>
    <s v="Consumer"/>
    <x v="0"/>
    <s v="Headphones"/>
    <x v="81"/>
    <n v="10"/>
    <n v="3820.16"/>
    <n v="5"/>
    <x v="82"/>
    <n v="25973.51"/>
    <n v="10318.01"/>
    <x v="0"/>
    <s v="Card"/>
    <x v="7"/>
    <x v="1"/>
  </r>
  <r>
    <s v="ORD100085"/>
    <d v="2025-01-30T00:00:00"/>
    <x v="2"/>
    <s v="Chennai"/>
    <x v="1"/>
    <s v="Small Business"/>
    <x v="0"/>
    <s v="Monitor"/>
    <x v="82"/>
    <n v="2"/>
    <n v="901.94"/>
    <n v="15"/>
    <x v="83"/>
    <n v="1211.6500000000001"/>
    <n v="321.64999999999998"/>
    <x v="2"/>
    <s v="Net Banking"/>
    <x v="9"/>
    <x v="0"/>
  </r>
  <r>
    <s v="ORD100086"/>
    <d v="2025-06-21T00:00:00"/>
    <x v="3"/>
    <s v="Kolkata"/>
    <x v="1"/>
    <s v="Small Business"/>
    <x v="2"/>
    <s v="Notebook"/>
    <x v="83"/>
    <n v="3"/>
    <n v="1784.65"/>
    <n v="10"/>
    <x v="84"/>
    <n v="3817.61"/>
    <n v="1000.95"/>
    <x v="0"/>
    <s v="Net Banking"/>
    <x v="10"/>
    <x v="0"/>
  </r>
  <r>
    <s v="ORD100087"/>
    <d v="2025-07-04T00:00:00"/>
    <x v="3"/>
    <s v="Kolkata"/>
    <x v="7"/>
    <s v="Consumer"/>
    <x v="1"/>
    <s v="Bookshelf"/>
    <x v="84"/>
    <n v="2"/>
    <n v="4365.07"/>
    <n v="10"/>
    <x v="85"/>
    <n v="6071.13"/>
    <n v="1786"/>
    <x v="2"/>
    <s v="UPI"/>
    <x v="5"/>
    <x v="0"/>
  </r>
  <r>
    <s v="ORD100088"/>
    <d v="2025-05-01T00:00:00"/>
    <x v="0"/>
    <s v="Ahmedabad"/>
    <x v="6"/>
    <s v="Corporate"/>
    <x v="0"/>
    <s v="Headphones"/>
    <x v="85"/>
    <n v="11"/>
    <n v="2378.9"/>
    <n v="0"/>
    <x v="86"/>
    <n v="17872.18"/>
    <n v="8295.7199999999993"/>
    <x v="2"/>
    <s v="Cash"/>
    <x v="0"/>
    <x v="0"/>
  </r>
  <r>
    <s v="ORD100089"/>
    <d v="2026-01-30T00:00:00"/>
    <x v="2"/>
    <s v="Bengaluru"/>
    <x v="2"/>
    <s v="Consumer"/>
    <x v="1"/>
    <s v="Desk"/>
    <x v="86"/>
    <n v="13"/>
    <n v="2853.21"/>
    <n v="10"/>
    <x v="87"/>
    <n v="23976.7"/>
    <n v="9405.86"/>
    <x v="0"/>
    <s v="Cash"/>
    <x v="9"/>
    <x v="1"/>
  </r>
  <r>
    <s v="ORD100090"/>
    <d v="2025-12-30T00:00:00"/>
    <x v="2"/>
    <s v="Chennai"/>
    <x v="1"/>
    <s v="Consumer"/>
    <x v="1"/>
    <s v="Chair"/>
    <x v="87"/>
    <n v="12"/>
    <n v="2918.28"/>
    <n v="10"/>
    <x v="88"/>
    <n v="22283.9"/>
    <n v="9233.52"/>
    <x v="1"/>
    <s v="UPI"/>
    <x v="11"/>
    <x v="0"/>
  </r>
  <r>
    <s v="ORD100091"/>
    <d v="2025-07-24T00:00:00"/>
    <x v="2"/>
    <s v="Bengaluru"/>
    <x v="2"/>
    <s v="Corporate"/>
    <x v="1"/>
    <s v="Bookshelf"/>
    <x v="88"/>
    <n v="7"/>
    <n v="695.07"/>
    <n v="20"/>
    <x v="89"/>
    <n v="2366.27"/>
    <n v="1526.12"/>
    <x v="2"/>
    <s v="Card"/>
    <x v="5"/>
    <x v="0"/>
  </r>
  <r>
    <s v="ORD100092"/>
    <d v="2025-07-07T00:00:00"/>
    <x v="1"/>
    <s v="Delhi"/>
    <x v="4"/>
    <s v="Consumer"/>
    <x v="2"/>
    <s v="Printer Ink"/>
    <x v="89"/>
    <n v="9"/>
    <n v="4185.12"/>
    <n v="0"/>
    <x v="90"/>
    <n v="22057.47"/>
    <n v="15608.61"/>
    <x v="0"/>
    <s v="Cash"/>
    <x v="5"/>
    <x v="0"/>
  </r>
  <r>
    <s v="ORD100093"/>
    <d v="2025-09-22T00:00:00"/>
    <x v="2"/>
    <s v="Bengaluru"/>
    <x v="2"/>
    <s v="Small Business"/>
    <x v="1"/>
    <s v="Bookshelf"/>
    <x v="90"/>
    <n v="13"/>
    <n v="4594.75"/>
    <n v="0"/>
    <x v="91"/>
    <n v="48375.86"/>
    <n v="11355.89"/>
    <x v="0"/>
    <s v="Card"/>
    <x v="4"/>
    <x v="0"/>
  </r>
  <r>
    <s v="ORD100094"/>
    <d v="2025-11-13T00:00:00"/>
    <x v="0"/>
    <s v="Mumbai"/>
    <x v="5"/>
    <s v="Consumer"/>
    <x v="0"/>
    <s v="Mouse"/>
    <x v="91"/>
    <n v="14"/>
    <n v="2012.93"/>
    <n v="20"/>
    <x v="92"/>
    <n v="13506.13"/>
    <n v="9038.69"/>
    <x v="1"/>
    <s v="Net Banking"/>
    <x v="8"/>
    <x v="0"/>
  </r>
  <r>
    <s v="ORD100095"/>
    <d v="2025-06-11T00:00:00"/>
    <x v="2"/>
    <s v="Bengaluru"/>
    <x v="0"/>
    <s v="Corporate"/>
    <x v="2"/>
    <s v="Paper"/>
    <x v="92"/>
    <n v="11"/>
    <n v="533.29999999999995"/>
    <n v="10"/>
    <x v="93"/>
    <n v="3979.02"/>
    <n v="1300.6500000000001"/>
    <x v="0"/>
    <s v="UPI"/>
    <x v="10"/>
    <x v="0"/>
  </r>
  <r>
    <s v="ORD100096"/>
    <d v="2025-12-14T00:00:00"/>
    <x v="3"/>
    <s v="Bhubaneswar"/>
    <x v="6"/>
    <s v="Corporate"/>
    <x v="0"/>
    <s v="Keyboard"/>
    <x v="93"/>
    <n v="7"/>
    <n v="883.19"/>
    <n v="0"/>
    <x v="94"/>
    <n v="4128.8599999999997"/>
    <n v="2053.4699999999998"/>
    <x v="1"/>
    <s v="Net Banking"/>
    <x v="11"/>
    <x v="0"/>
  </r>
  <r>
    <s v="ORD100097"/>
    <d v="2026-03-14T00:00:00"/>
    <x v="1"/>
    <s v="Chandigarh"/>
    <x v="4"/>
    <s v="Consumer"/>
    <x v="2"/>
    <s v="Printer Ink"/>
    <x v="94"/>
    <n v="14"/>
    <n v="2600.3200000000002"/>
    <n v="15"/>
    <x v="95"/>
    <n v="21475.3"/>
    <n v="9468.51"/>
    <x v="1"/>
    <s v="Cash"/>
    <x v="3"/>
    <x v="1"/>
  </r>
  <r>
    <s v="ORD100098"/>
    <d v="2025-01-27T00:00:00"/>
    <x v="1"/>
    <s v="Chandigarh"/>
    <x v="0"/>
    <s v="Corporate"/>
    <x v="0"/>
    <s v="Mouse"/>
    <x v="95"/>
    <n v="6"/>
    <n v="3885.14"/>
    <n v="20"/>
    <x v="96"/>
    <n v="13015.15"/>
    <n v="5633.52"/>
    <x v="2"/>
    <s v="Net Banking"/>
    <x v="9"/>
    <x v="0"/>
  </r>
  <r>
    <s v="ORD100099"/>
    <d v="2025-05-07T00:00:00"/>
    <x v="2"/>
    <s v="Chennai"/>
    <x v="3"/>
    <s v="Consumer"/>
    <x v="0"/>
    <s v="Mouse"/>
    <x v="96"/>
    <n v="3"/>
    <n v="4537.88"/>
    <n v="5"/>
    <x v="97"/>
    <n v="7355.72"/>
    <n v="5577.24"/>
    <x v="2"/>
    <s v="Cash"/>
    <x v="0"/>
    <x v="0"/>
  </r>
  <r>
    <s v="ORD100100"/>
    <d v="2025-08-17T00:00:00"/>
    <x v="2"/>
    <s v="Chennai"/>
    <x v="4"/>
    <s v="Consumer"/>
    <x v="0"/>
    <s v="Mouse"/>
    <x v="97"/>
    <n v="12"/>
    <n v="3006.85"/>
    <n v="5"/>
    <x v="98"/>
    <n v="23579.71"/>
    <n v="10698.38"/>
    <x v="0"/>
    <s v="UPI"/>
    <x v="6"/>
    <x v="0"/>
  </r>
  <r>
    <s v="ORD100101"/>
    <d v="2026-04-21T00:00:00"/>
    <x v="2"/>
    <s v="Bengaluru"/>
    <x v="7"/>
    <s v="Small Business"/>
    <x v="0"/>
    <s v="Headphones"/>
    <x v="98"/>
    <n v="11"/>
    <n v="4682.6499999999996"/>
    <n v="10"/>
    <x v="99"/>
    <n v="37986.6"/>
    <n v="8371.6299999999992"/>
    <x v="1"/>
    <s v="Net Banking"/>
    <x v="7"/>
    <x v="1"/>
  </r>
  <r>
    <s v="ORD100102"/>
    <d v="2025-08-02T00:00:00"/>
    <x v="3"/>
    <s v="Bhubaneswar"/>
    <x v="6"/>
    <s v="Small Business"/>
    <x v="1"/>
    <s v="Desk"/>
    <x v="99"/>
    <n v="3"/>
    <n v="4560.08"/>
    <n v="10"/>
    <x v="100"/>
    <n v="8510.91"/>
    <n v="3801.31"/>
    <x v="1"/>
    <s v="Net Banking"/>
    <x v="6"/>
    <x v="0"/>
  </r>
  <r>
    <s v="ORD100103"/>
    <d v="2025-01-13T00:00:00"/>
    <x v="1"/>
    <s v="Chandigarh"/>
    <x v="1"/>
    <s v="Corporate"/>
    <x v="0"/>
    <s v="Keyboard"/>
    <x v="100"/>
    <n v="6"/>
    <n v="4490.3999999999996"/>
    <n v="5"/>
    <x v="101"/>
    <n v="16989.54"/>
    <n v="8605.74"/>
    <x v="1"/>
    <s v="Card"/>
    <x v="9"/>
    <x v="0"/>
  </r>
  <r>
    <s v="ORD100104"/>
    <d v="2025-04-29T00:00:00"/>
    <x v="3"/>
    <s v="Bhubaneswar"/>
    <x v="2"/>
    <s v="Consumer"/>
    <x v="1"/>
    <s v="Bookshelf"/>
    <x v="101"/>
    <n v="1"/>
    <n v="2532.91"/>
    <n v="0"/>
    <x v="102"/>
    <n v="1959.38"/>
    <n v="573.53"/>
    <x v="1"/>
    <s v="Cash"/>
    <x v="7"/>
    <x v="0"/>
  </r>
  <r>
    <s v="ORD100105"/>
    <d v="2026-04-05T00:00:00"/>
    <x v="2"/>
    <s v="Chennai"/>
    <x v="0"/>
    <s v="Consumer"/>
    <x v="0"/>
    <s v="Headphones"/>
    <x v="102"/>
    <n v="10"/>
    <n v="1280.0899999999999"/>
    <n v="10"/>
    <x v="103"/>
    <n v="9250.34"/>
    <n v="2270.4699999999998"/>
    <x v="2"/>
    <s v="Cash"/>
    <x v="7"/>
    <x v="1"/>
  </r>
  <r>
    <s v="ORD100106"/>
    <d v="2025-07-05T00:00:00"/>
    <x v="2"/>
    <s v="Chennai"/>
    <x v="7"/>
    <s v="Corporate"/>
    <x v="0"/>
    <s v="Keyboard"/>
    <x v="103"/>
    <n v="5"/>
    <n v="1986.61"/>
    <n v="20"/>
    <x v="104"/>
    <n v="5597.35"/>
    <n v="2349.09"/>
    <x v="2"/>
    <s v="UPI"/>
    <x v="5"/>
    <x v="0"/>
  </r>
  <r>
    <s v="ORD100107"/>
    <d v="2025-04-30T00:00:00"/>
    <x v="2"/>
    <s v="Bengaluru"/>
    <x v="0"/>
    <s v="Consumer"/>
    <x v="0"/>
    <s v="Headphones"/>
    <x v="104"/>
    <n v="14"/>
    <n v="3281.18"/>
    <n v="15"/>
    <x v="105"/>
    <n v="22324.65"/>
    <n v="16721.39"/>
    <x v="2"/>
    <s v="Card"/>
    <x v="7"/>
    <x v="0"/>
  </r>
  <r>
    <s v="ORD100108"/>
    <d v="2025-11-19T00:00:00"/>
    <x v="1"/>
    <s v="Chandigarh"/>
    <x v="4"/>
    <s v="Consumer"/>
    <x v="0"/>
    <s v="Keyboard"/>
    <x v="105"/>
    <n v="3"/>
    <n v="4617.83"/>
    <n v="20"/>
    <x v="106"/>
    <n v="8600.2800000000007"/>
    <n v="2482.5100000000002"/>
    <x v="0"/>
    <s v="Card"/>
    <x v="8"/>
    <x v="0"/>
  </r>
  <r>
    <s v="ORD100109"/>
    <d v="2025-09-21T00:00:00"/>
    <x v="3"/>
    <s v="Kolkata"/>
    <x v="3"/>
    <s v="Corporate"/>
    <x v="2"/>
    <s v="Notebook"/>
    <x v="106"/>
    <n v="8"/>
    <n v="3516.54"/>
    <n v="15"/>
    <x v="107"/>
    <n v="18499.509999999998"/>
    <n v="5412.96"/>
    <x v="1"/>
    <s v="UPI"/>
    <x v="4"/>
    <x v="0"/>
  </r>
  <r>
    <s v="ORD100110"/>
    <d v="2025-03-14T00:00:00"/>
    <x v="3"/>
    <s v="Kolkata"/>
    <x v="3"/>
    <s v="Corporate"/>
    <x v="0"/>
    <s v="Monitor"/>
    <x v="107"/>
    <n v="12"/>
    <n v="4984.1000000000004"/>
    <n v="20"/>
    <x v="108"/>
    <n v="38374.97"/>
    <n v="9472.39"/>
    <x v="1"/>
    <s v="Cash"/>
    <x v="3"/>
    <x v="0"/>
  </r>
  <r>
    <s v="ORD100111"/>
    <d v="2025-07-18T00:00:00"/>
    <x v="2"/>
    <s v="Chennai"/>
    <x v="7"/>
    <s v="Consumer"/>
    <x v="0"/>
    <s v="Laptop"/>
    <x v="108"/>
    <n v="1"/>
    <n v="4068.61"/>
    <n v="5"/>
    <x v="109"/>
    <n v="3092.24"/>
    <n v="772.94"/>
    <x v="1"/>
    <s v="Card"/>
    <x v="5"/>
    <x v="0"/>
  </r>
  <r>
    <s v="ORD100112"/>
    <d v="2026-06-20T00:00:00"/>
    <x v="2"/>
    <s v="Bengaluru"/>
    <x v="2"/>
    <s v="Corporate"/>
    <x v="1"/>
    <s v="Cabinet"/>
    <x v="109"/>
    <n v="9"/>
    <n v="1235.1199999999999"/>
    <n v="0"/>
    <x v="110"/>
    <n v="6273.97"/>
    <n v="4842.1099999999997"/>
    <x v="0"/>
    <s v="Net Banking"/>
    <x v="10"/>
    <x v="1"/>
  </r>
  <r>
    <s v="ORD100113"/>
    <d v="2026-02-05T00:00:00"/>
    <x v="0"/>
    <s v="Mumbai"/>
    <x v="6"/>
    <s v="Corporate"/>
    <x v="1"/>
    <s v="Desk"/>
    <x v="110"/>
    <n v="8"/>
    <n v="3557.37"/>
    <n v="10"/>
    <x v="111"/>
    <n v="18499.439999999999"/>
    <n v="7113.62"/>
    <x v="1"/>
    <s v="Card"/>
    <x v="2"/>
    <x v="1"/>
  </r>
  <r>
    <s v="ORD100114"/>
    <d v="2025-02-11T00:00:00"/>
    <x v="0"/>
    <s v="Mumbai"/>
    <x v="2"/>
    <s v="Small Business"/>
    <x v="0"/>
    <s v="Mouse"/>
    <x v="111"/>
    <n v="9"/>
    <n v="2213.2600000000002"/>
    <n v="10"/>
    <x v="112"/>
    <n v="10854.98"/>
    <n v="7072.43"/>
    <x v="0"/>
    <s v="Card"/>
    <x v="2"/>
    <x v="0"/>
  </r>
  <r>
    <s v="ORD100115"/>
    <d v="2025-10-30T00:00:00"/>
    <x v="0"/>
    <s v="Mumbai"/>
    <x v="1"/>
    <s v="Small Business"/>
    <x v="2"/>
    <s v="Printer Ink"/>
    <x v="112"/>
    <n v="9"/>
    <n v="3044.97"/>
    <n v="0"/>
    <x v="113"/>
    <n v="19067.82"/>
    <n v="8336.91"/>
    <x v="2"/>
    <s v="Cash"/>
    <x v="1"/>
    <x v="0"/>
  </r>
  <r>
    <s v="ORD100116"/>
    <d v="2026-06-20T00:00:00"/>
    <x v="3"/>
    <s v="Kolkata"/>
    <x v="5"/>
    <s v="Corporate"/>
    <x v="2"/>
    <s v="Paper"/>
    <x v="113"/>
    <n v="12"/>
    <n v="4017.05"/>
    <n v="0"/>
    <x v="114"/>
    <n v="30746.14"/>
    <n v="17458.46"/>
    <x v="1"/>
    <s v="Cash"/>
    <x v="10"/>
    <x v="1"/>
  </r>
  <r>
    <s v="ORD100117"/>
    <d v="2026-01-12T00:00:00"/>
    <x v="0"/>
    <s v="Ahmedabad"/>
    <x v="6"/>
    <s v="Corporate"/>
    <x v="2"/>
    <s v="Folders"/>
    <x v="114"/>
    <n v="11"/>
    <n v="3806.63"/>
    <n v="10"/>
    <x v="115"/>
    <n v="24193.1"/>
    <n v="13492.54"/>
    <x v="2"/>
    <s v="Cash"/>
    <x v="9"/>
    <x v="1"/>
  </r>
  <r>
    <s v="ORD100118"/>
    <d v="2025-04-27T00:00:00"/>
    <x v="2"/>
    <s v="Chennai"/>
    <x v="5"/>
    <s v="Small Business"/>
    <x v="0"/>
    <s v="Headphones"/>
    <x v="115"/>
    <n v="3"/>
    <n v="4679.6099999999997"/>
    <n v="5"/>
    <x v="116"/>
    <n v="8789.0400000000009"/>
    <n v="4547.8500000000004"/>
    <x v="0"/>
    <s v="Card"/>
    <x v="7"/>
    <x v="0"/>
  </r>
  <r>
    <s v="ORD100119"/>
    <d v="2025-08-11T00:00:00"/>
    <x v="2"/>
    <s v="Chennai"/>
    <x v="0"/>
    <s v="Small Business"/>
    <x v="2"/>
    <s v="Paper"/>
    <x v="116"/>
    <n v="8"/>
    <n v="4087.56"/>
    <n v="15"/>
    <x v="117"/>
    <n v="17025.099999999999"/>
    <n v="10770.31"/>
    <x v="2"/>
    <s v="Net Banking"/>
    <x v="6"/>
    <x v="0"/>
  </r>
  <r>
    <s v="ORD100120"/>
    <d v="2025-07-24T00:00:00"/>
    <x v="3"/>
    <s v="Bhubaneswar"/>
    <x v="6"/>
    <s v="Small Business"/>
    <x v="0"/>
    <s v="Monitor"/>
    <x v="117"/>
    <n v="14"/>
    <n v="215.44"/>
    <n v="5"/>
    <x v="118"/>
    <n v="2008.33"/>
    <n v="857.02"/>
    <x v="2"/>
    <s v="Cash"/>
    <x v="5"/>
    <x v="0"/>
  </r>
  <r>
    <s v="ORD100121"/>
    <d v="2025-03-29T00:00:00"/>
    <x v="2"/>
    <s v="Bengaluru"/>
    <x v="6"/>
    <s v="Corporate"/>
    <x v="1"/>
    <s v="Table"/>
    <x v="118"/>
    <n v="14"/>
    <n v="1875.57"/>
    <n v="10"/>
    <x v="119"/>
    <n v="17685.68"/>
    <n v="5946.5"/>
    <x v="2"/>
    <s v="Net Banking"/>
    <x v="3"/>
    <x v="0"/>
  </r>
  <r>
    <s v="ORD100122"/>
    <d v="2026-02-21T00:00:00"/>
    <x v="0"/>
    <s v="Ahmedabad"/>
    <x v="5"/>
    <s v="Consumer"/>
    <x v="0"/>
    <s v="Mouse"/>
    <x v="119"/>
    <n v="3"/>
    <n v="3219.88"/>
    <n v="10"/>
    <x v="120"/>
    <n v="7006.69"/>
    <n v="1686.99"/>
    <x v="1"/>
    <s v="Card"/>
    <x v="2"/>
    <x v="1"/>
  </r>
  <r>
    <s v="ORD100123"/>
    <d v="2025-09-11T00:00:00"/>
    <x v="2"/>
    <s v="Chennai"/>
    <x v="0"/>
    <s v="Consumer"/>
    <x v="0"/>
    <s v="Headphones"/>
    <x v="120"/>
    <n v="1"/>
    <n v="2730.16"/>
    <n v="15"/>
    <x v="121"/>
    <n v="1575.44"/>
    <n v="745.2"/>
    <x v="0"/>
    <s v="Cash"/>
    <x v="4"/>
    <x v="0"/>
  </r>
  <r>
    <s v="ORD100124"/>
    <d v="2025-07-01T00:00:00"/>
    <x v="0"/>
    <s v="Mumbai"/>
    <x v="0"/>
    <s v="Small Business"/>
    <x v="1"/>
    <s v="Table"/>
    <x v="121"/>
    <n v="9"/>
    <n v="2886.52"/>
    <n v="20"/>
    <x v="122"/>
    <n v="14752.04"/>
    <n v="6030.9"/>
    <x v="0"/>
    <s v="Card"/>
    <x v="5"/>
    <x v="0"/>
  </r>
  <r>
    <s v="ORD100125"/>
    <d v="2025-06-22T00:00:00"/>
    <x v="0"/>
    <s v="Ahmedabad"/>
    <x v="2"/>
    <s v="Small Business"/>
    <x v="1"/>
    <s v="Cabinet"/>
    <x v="122"/>
    <n v="9"/>
    <n v="2813.54"/>
    <n v="5"/>
    <x v="123"/>
    <n v="16879.36"/>
    <n v="7176.41"/>
    <x v="2"/>
    <s v="Cash"/>
    <x v="10"/>
    <x v="0"/>
  </r>
  <r>
    <s v="ORD100126"/>
    <d v="2025-12-07T00:00:00"/>
    <x v="1"/>
    <s v="Chandigarh"/>
    <x v="6"/>
    <s v="Small Business"/>
    <x v="1"/>
    <s v="Chair"/>
    <x v="123"/>
    <n v="13"/>
    <n v="2600.0700000000002"/>
    <n v="15"/>
    <x v="124"/>
    <n v="20362.86"/>
    <n v="8367.91"/>
    <x v="0"/>
    <s v="Cash"/>
    <x v="11"/>
    <x v="0"/>
  </r>
  <r>
    <s v="ORD100127"/>
    <d v="2025-06-01T00:00:00"/>
    <x v="2"/>
    <s v="Chennai"/>
    <x v="4"/>
    <s v="Consumer"/>
    <x v="0"/>
    <s v="Monitor"/>
    <x v="124"/>
    <n v="7"/>
    <n v="1324.83"/>
    <n v="20"/>
    <x v="125"/>
    <n v="4764.66"/>
    <n v="2654.39"/>
    <x v="1"/>
    <s v="Net Banking"/>
    <x v="10"/>
    <x v="0"/>
  </r>
  <r>
    <s v="ORD100128"/>
    <d v="2026-06-16T00:00:00"/>
    <x v="2"/>
    <s v="Chennai"/>
    <x v="4"/>
    <s v="Consumer"/>
    <x v="1"/>
    <s v="Cabinet"/>
    <x v="125"/>
    <n v="2"/>
    <n v="3819.11"/>
    <n v="20"/>
    <x v="126"/>
    <n v="4579.93"/>
    <n v="1530.65"/>
    <x v="2"/>
    <s v="UPI"/>
    <x v="10"/>
    <x v="1"/>
  </r>
  <r>
    <s v="ORD100129"/>
    <d v="2025-05-07T00:00:00"/>
    <x v="1"/>
    <s v="Delhi"/>
    <x v="2"/>
    <s v="Corporate"/>
    <x v="0"/>
    <s v="Monitor"/>
    <x v="126"/>
    <n v="2"/>
    <n v="4465.8"/>
    <n v="10"/>
    <x v="127"/>
    <n v="6259.32"/>
    <n v="1779.12"/>
    <x v="2"/>
    <s v="UPI"/>
    <x v="0"/>
    <x v="0"/>
  </r>
  <r>
    <s v="ORD100130"/>
    <d v="2025-01-13T00:00:00"/>
    <x v="2"/>
    <s v="Chennai"/>
    <x v="2"/>
    <s v="Consumer"/>
    <x v="0"/>
    <s v="Mouse"/>
    <x v="127"/>
    <n v="11"/>
    <n v="4807.78"/>
    <n v="5"/>
    <x v="128"/>
    <n v="30910.07"/>
    <n v="19331.23"/>
    <x v="1"/>
    <s v="UPI"/>
    <x v="9"/>
    <x v="0"/>
  </r>
  <r>
    <s v="ORD100131"/>
    <d v="2025-09-13T00:00:00"/>
    <x v="0"/>
    <s v="Ahmedabad"/>
    <x v="7"/>
    <s v="Small Business"/>
    <x v="2"/>
    <s v="Folders"/>
    <x v="128"/>
    <n v="13"/>
    <n v="828.83"/>
    <n v="20"/>
    <x v="129"/>
    <n v="6196.76"/>
    <n v="2423.0700000000002"/>
    <x v="2"/>
    <s v="Cash"/>
    <x v="4"/>
    <x v="0"/>
  </r>
  <r>
    <s v="ORD100132"/>
    <d v="2026-06-16T00:00:00"/>
    <x v="2"/>
    <s v="Bengaluru"/>
    <x v="0"/>
    <s v="Corporate"/>
    <x v="1"/>
    <s v="Table"/>
    <x v="129"/>
    <n v="1"/>
    <n v="3968.2"/>
    <n v="0"/>
    <x v="130"/>
    <n v="2862.94"/>
    <n v="1105.26"/>
    <x v="1"/>
    <s v="UPI"/>
    <x v="10"/>
    <x v="1"/>
  </r>
  <r>
    <s v="ORD100133"/>
    <d v="2026-03-25T00:00:00"/>
    <x v="0"/>
    <s v="Mumbai"/>
    <x v="2"/>
    <s v="Small Business"/>
    <x v="1"/>
    <s v="Cabinet"/>
    <x v="130"/>
    <n v="14"/>
    <n v="1629.6"/>
    <n v="0"/>
    <x v="131"/>
    <n v="18318.849999999999"/>
    <n v="4495.55"/>
    <x v="0"/>
    <s v="Card"/>
    <x v="3"/>
    <x v="1"/>
  </r>
  <r>
    <s v="ORD100134"/>
    <d v="2025-02-23T00:00:00"/>
    <x v="0"/>
    <s v="Ahmedabad"/>
    <x v="6"/>
    <s v="Corporate"/>
    <x v="0"/>
    <s v="Monitor"/>
    <x v="131"/>
    <n v="11"/>
    <n v="2062.66"/>
    <n v="10"/>
    <x v="132"/>
    <n v="14799.22"/>
    <n v="5621.11"/>
    <x v="1"/>
    <s v="Cash"/>
    <x v="2"/>
    <x v="0"/>
  </r>
  <r>
    <s v="ORD100135"/>
    <d v="2025-03-06T00:00:00"/>
    <x v="3"/>
    <s v="Kolkata"/>
    <x v="3"/>
    <s v="Corporate"/>
    <x v="1"/>
    <s v="Desk"/>
    <x v="132"/>
    <n v="5"/>
    <n v="4909.21"/>
    <n v="0"/>
    <x v="133"/>
    <n v="14962.62"/>
    <n v="9583.43"/>
    <x v="1"/>
    <s v="Card"/>
    <x v="3"/>
    <x v="0"/>
  </r>
  <r>
    <s v="ORD100136"/>
    <d v="2025-07-21T00:00:00"/>
    <x v="1"/>
    <s v="Chandigarh"/>
    <x v="0"/>
    <s v="Consumer"/>
    <x v="1"/>
    <s v="Desk"/>
    <x v="133"/>
    <n v="4"/>
    <n v="4308.8500000000004"/>
    <n v="0"/>
    <x v="134"/>
    <n v="10742.38"/>
    <n v="6493.02"/>
    <x v="2"/>
    <s v="Cash"/>
    <x v="5"/>
    <x v="0"/>
  </r>
  <r>
    <s v="ORD100137"/>
    <d v="2025-02-19T00:00:00"/>
    <x v="2"/>
    <s v="Bengaluru"/>
    <x v="6"/>
    <s v="Small Business"/>
    <x v="1"/>
    <s v="Desk"/>
    <x v="134"/>
    <n v="11"/>
    <n v="1740.84"/>
    <n v="5"/>
    <x v="135"/>
    <n v="11287.73"/>
    <n v="6904.05"/>
    <x v="1"/>
    <s v="UPI"/>
    <x v="2"/>
    <x v="0"/>
  </r>
  <r>
    <s v="ORD100138"/>
    <d v="2025-10-27T00:00:00"/>
    <x v="2"/>
    <s v="Bengaluru"/>
    <x v="3"/>
    <s v="Small Business"/>
    <x v="1"/>
    <s v="Cabinet"/>
    <x v="135"/>
    <n v="6"/>
    <n v="777.45"/>
    <n v="20"/>
    <x v="136"/>
    <n v="2496.71"/>
    <n v="1235.05"/>
    <x v="2"/>
    <s v="Net Banking"/>
    <x v="1"/>
    <x v="0"/>
  </r>
  <r>
    <s v="ORD100139"/>
    <d v="2026-05-04T00:00:00"/>
    <x v="2"/>
    <s v="Chennai"/>
    <x v="3"/>
    <s v="Small Business"/>
    <x v="0"/>
    <s v="Mouse"/>
    <x v="136"/>
    <n v="1"/>
    <n v="717.39"/>
    <n v="0"/>
    <x v="137"/>
    <n v="543.52"/>
    <n v="173.87"/>
    <x v="0"/>
    <s v="Card"/>
    <x v="0"/>
    <x v="1"/>
  </r>
  <r>
    <s v="ORD100140"/>
    <d v="2026-06-30T00:00:00"/>
    <x v="3"/>
    <s v="Kolkata"/>
    <x v="6"/>
    <s v="Consumer"/>
    <x v="2"/>
    <s v="Notebook"/>
    <x v="137"/>
    <n v="6"/>
    <n v="2594.65"/>
    <n v="15"/>
    <x v="138"/>
    <n v="10671.61"/>
    <n v="2561.11"/>
    <x v="2"/>
    <s v="Net Banking"/>
    <x v="10"/>
    <x v="1"/>
  </r>
  <r>
    <s v="ORD100141"/>
    <d v="2025-09-21T00:00:00"/>
    <x v="3"/>
    <s v="Bhubaneswar"/>
    <x v="4"/>
    <s v="Corporate"/>
    <x v="0"/>
    <s v="Keyboard"/>
    <x v="138"/>
    <n v="3"/>
    <n v="2171.81"/>
    <n v="0"/>
    <x v="139"/>
    <n v="3632.04"/>
    <n v="2883.39"/>
    <x v="2"/>
    <s v="UPI"/>
    <x v="4"/>
    <x v="0"/>
  </r>
  <r>
    <s v="ORD100142"/>
    <d v="2025-01-07T00:00:00"/>
    <x v="2"/>
    <s v="Bengaluru"/>
    <x v="4"/>
    <s v="Corporate"/>
    <x v="2"/>
    <s v="Notebook"/>
    <x v="139"/>
    <n v="12"/>
    <n v="524.91999999999996"/>
    <n v="20"/>
    <x v="140"/>
    <n v="3101.47"/>
    <n v="1937.76"/>
    <x v="0"/>
    <s v="Cash"/>
    <x v="9"/>
    <x v="0"/>
  </r>
  <r>
    <s v="ORD100143"/>
    <d v="2025-07-19T00:00:00"/>
    <x v="2"/>
    <s v="Bengaluru"/>
    <x v="5"/>
    <s v="Corporate"/>
    <x v="2"/>
    <s v="Folders"/>
    <x v="140"/>
    <n v="4"/>
    <n v="4719.3500000000004"/>
    <n v="0"/>
    <x v="141"/>
    <n v="11835.43"/>
    <n v="7041.97"/>
    <x v="2"/>
    <s v="Net Banking"/>
    <x v="5"/>
    <x v="0"/>
  </r>
  <r>
    <s v="ORD100144"/>
    <d v="2025-01-09T00:00:00"/>
    <x v="2"/>
    <s v="Bengaluru"/>
    <x v="6"/>
    <s v="Small Business"/>
    <x v="2"/>
    <s v="Folders"/>
    <x v="141"/>
    <n v="9"/>
    <n v="601.32000000000005"/>
    <n v="20"/>
    <x v="142"/>
    <n v="3546.1"/>
    <n v="783.4"/>
    <x v="0"/>
    <s v="UPI"/>
    <x v="9"/>
    <x v="0"/>
  </r>
  <r>
    <s v="ORD100145"/>
    <d v="2025-12-08T00:00:00"/>
    <x v="1"/>
    <s v="Chandigarh"/>
    <x v="3"/>
    <s v="Small Business"/>
    <x v="0"/>
    <s v="Mouse"/>
    <x v="142"/>
    <n v="12"/>
    <n v="1021.93"/>
    <n v="0"/>
    <x v="143"/>
    <n v="9002.48"/>
    <n v="3260.68"/>
    <x v="1"/>
    <s v="UPI"/>
    <x v="11"/>
    <x v="0"/>
  </r>
  <r>
    <s v="ORD100146"/>
    <d v="2025-12-10T00:00:00"/>
    <x v="1"/>
    <s v="Chandigarh"/>
    <x v="0"/>
    <s v="Small Business"/>
    <x v="2"/>
    <s v="Notebook"/>
    <x v="143"/>
    <n v="8"/>
    <n v="634.79"/>
    <n v="15"/>
    <x v="144"/>
    <n v="3090.1"/>
    <n v="1226.47"/>
    <x v="2"/>
    <s v="Card"/>
    <x v="11"/>
    <x v="0"/>
  </r>
  <r>
    <s v="ORD100147"/>
    <d v="2026-04-27T00:00:00"/>
    <x v="1"/>
    <s v="Chandigarh"/>
    <x v="1"/>
    <s v="Small Business"/>
    <x v="2"/>
    <s v="Printer Ink"/>
    <x v="144"/>
    <n v="9"/>
    <n v="2272.3200000000002"/>
    <n v="20"/>
    <x v="145"/>
    <n v="13100.48"/>
    <n v="3260.22"/>
    <x v="1"/>
    <s v="Net Banking"/>
    <x v="7"/>
    <x v="1"/>
  </r>
  <r>
    <s v="ORD100148"/>
    <d v="2025-11-24T00:00:00"/>
    <x v="2"/>
    <s v="Bengaluru"/>
    <x v="4"/>
    <s v="Consumer"/>
    <x v="2"/>
    <s v="Notebook"/>
    <x v="145"/>
    <n v="10"/>
    <n v="3232.72"/>
    <n v="15"/>
    <x v="146"/>
    <n v="15986.37"/>
    <n v="11491.75"/>
    <x v="1"/>
    <s v="Card"/>
    <x v="8"/>
    <x v="0"/>
  </r>
  <r>
    <s v="ORD100149"/>
    <d v="2025-03-29T00:00:00"/>
    <x v="0"/>
    <s v="Ahmedabad"/>
    <x v="2"/>
    <s v="Corporate"/>
    <x v="2"/>
    <s v="Pens"/>
    <x v="146"/>
    <n v="12"/>
    <n v="1952.16"/>
    <n v="10"/>
    <x v="147"/>
    <n v="14344.43"/>
    <n v="6738.9"/>
    <x v="1"/>
    <s v="Cash"/>
    <x v="3"/>
    <x v="0"/>
  </r>
  <r>
    <s v="ORD100150"/>
    <d v="2025-09-18T00:00:00"/>
    <x v="2"/>
    <s v="Chennai"/>
    <x v="2"/>
    <s v="Small Business"/>
    <x v="0"/>
    <s v="Mouse"/>
    <x v="147"/>
    <n v="3"/>
    <n v="3780.69"/>
    <n v="5"/>
    <x v="148"/>
    <n v="8254.61"/>
    <n v="2520.36"/>
    <x v="2"/>
    <s v="Cash"/>
    <x v="4"/>
    <x v="0"/>
  </r>
  <r>
    <s v="ORD100151"/>
    <d v="2025-06-16T00:00:00"/>
    <x v="3"/>
    <s v="Bhubaneswar"/>
    <x v="7"/>
    <s v="Corporate"/>
    <x v="0"/>
    <s v="Monitor"/>
    <x v="148"/>
    <n v="5"/>
    <n v="2198.65"/>
    <n v="20"/>
    <x v="149"/>
    <n v="6234.97"/>
    <n v="2559.63"/>
    <x v="2"/>
    <s v="UPI"/>
    <x v="10"/>
    <x v="0"/>
  </r>
  <r>
    <s v="ORD100152"/>
    <d v="2025-08-27T00:00:00"/>
    <x v="2"/>
    <s v="Chennai"/>
    <x v="7"/>
    <s v="Corporate"/>
    <x v="2"/>
    <s v="Notebook"/>
    <x v="149"/>
    <n v="4"/>
    <n v="3545.41"/>
    <n v="15"/>
    <x v="150"/>
    <n v="9217.5300000000007"/>
    <n v="2836.86"/>
    <x v="2"/>
    <s v="UPI"/>
    <x v="6"/>
    <x v="0"/>
  </r>
  <r>
    <s v="ORD100153"/>
    <d v="2026-06-24T00:00:00"/>
    <x v="2"/>
    <s v="Bengaluru"/>
    <x v="2"/>
    <s v="Corporate"/>
    <x v="1"/>
    <s v="Desk"/>
    <x v="150"/>
    <n v="12"/>
    <n v="2942.6"/>
    <n v="20"/>
    <x v="151"/>
    <n v="16195.03"/>
    <n v="12053.93"/>
    <x v="1"/>
    <s v="Net Banking"/>
    <x v="10"/>
    <x v="1"/>
  </r>
  <r>
    <s v="ORD100154"/>
    <d v="2025-03-18T00:00:00"/>
    <x v="2"/>
    <s v="Chennai"/>
    <x v="0"/>
    <s v="Small Business"/>
    <x v="2"/>
    <s v="Paper"/>
    <x v="151"/>
    <n v="9"/>
    <n v="3972.82"/>
    <n v="0"/>
    <x v="152"/>
    <n v="22124.31"/>
    <n v="13631.07"/>
    <x v="1"/>
    <s v="Card"/>
    <x v="3"/>
    <x v="0"/>
  </r>
  <r>
    <s v="ORD100155"/>
    <d v="2025-06-04T00:00:00"/>
    <x v="2"/>
    <s v="Bengaluru"/>
    <x v="0"/>
    <s v="Corporate"/>
    <x v="2"/>
    <s v="Notebook"/>
    <x v="152"/>
    <n v="13"/>
    <n v="1506.48"/>
    <n v="20"/>
    <x v="153"/>
    <n v="9163.7000000000007"/>
    <n v="6503.69"/>
    <x v="1"/>
    <s v="Card"/>
    <x v="10"/>
    <x v="0"/>
  </r>
  <r>
    <s v="ORD100156"/>
    <d v="2026-06-17T00:00:00"/>
    <x v="2"/>
    <s v="Chennai"/>
    <x v="6"/>
    <s v="Small Business"/>
    <x v="0"/>
    <s v="Headphones"/>
    <x v="153"/>
    <n v="13"/>
    <n v="3829.87"/>
    <n v="5"/>
    <x v="154"/>
    <n v="34387.03"/>
    <n v="12911.86"/>
    <x v="2"/>
    <s v="UPI"/>
    <x v="10"/>
    <x v="1"/>
  </r>
  <r>
    <s v="ORD100157"/>
    <d v="2026-05-13T00:00:00"/>
    <x v="1"/>
    <s v="Chandigarh"/>
    <x v="3"/>
    <s v="Corporate"/>
    <x v="1"/>
    <s v="Cabinet"/>
    <x v="154"/>
    <n v="6"/>
    <n v="1591.29"/>
    <n v="0"/>
    <x v="155"/>
    <n v="5792.26"/>
    <n v="3755.48"/>
    <x v="1"/>
    <s v="Card"/>
    <x v="0"/>
    <x v="1"/>
  </r>
  <r>
    <s v="ORD100158"/>
    <d v="2026-03-28T00:00:00"/>
    <x v="3"/>
    <s v="Bhubaneswar"/>
    <x v="2"/>
    <s v="Consumer"/>
    <x v="1"/>
    <s v="Desk"/>
    <x v="155"/>
    <n v="13"/>
    <n v="1408.56"/>
    <n v="15"/>
    <x v="156"/>
    <n v="12436.84"/>
    <n v="3127.75"/>
    <x v="1"/>
    <s v="Card"/>
    <x v="3"/>
    <x v="1"/>
  </r>
  <r>
    <s v="ORD100159"/>
    <d v="2025-06-30T00:00:00"/>
    <x v="0"/>
    <s v="Ahmedabad"/>
    <x v="0"/>
    <s v="Consumer"/>
    <x v="2"/>
    <s v="Pens"/>
    <x v="156"/>
    <n v="12"/>
    <n v="2150.64"/>
    <n v="10"/>
    <x v="157"/>
    <n v="13773.68"/>
    <n v="9453.23"/>
    <x v="2"/>
    <s v="UPI"/>
    <x v="10"/>
    <x v="0"/>
  </r>
  <r>
    <s v="ORD100160"/>
    <d v="2025-02-05T00:00:00"/>
    <x v="3"/>
    <s v="Bhubaneswar"/>
    <x v="2"/>
    <s v="Small Business"/>
    <x v="2"/>
    <s v="Pens"/>
    <x v="157"/>
    <n v="6"/>
    <n v="4345.6499999999996"/>
    <n v="20"/>
    <x v="158"/>
    <n v="12064.04"/>
    <n v="8795.08"/>
    <x v="1"/>
    <s v="UPI"/>
    <x v="2"/>
    <x v="0"/>
  </r>
  <r>
    <s v="ORD100161"/>
    <d v="2025-11-30T00:00:00"/>
    <x v="2"/>
    <s v="Bengaluru"/>
    <x v="5"/>
    <s v="Small Business"/>
    <x v="1"/>
    <s v="Table"/>
    <x v="158"/>
    <n v="3"/>
    <n v="3160.92"/>
    <n v="20"/>
    <x v="159"/>
    <n v="6134.01"/>
    <n v="1452.2"/>
    <x v="2"/>
    <s v="Cash"/>
    <x v="8"/>
    <x v="0"/>
  </r>
  <r>
    <s v="ORD100162"/>
    <d v="2025-07-26T00:00:00"/>
    <x v="1"/>
    <s v="Delhi"/>
    <x v="5"/>
    <s v="Consumer"/>
    <x v="0"/>
    <s v="Mouse"/>
    <x v="159"/>
    <n v="4"/>
    <n v="1180.24"/>
    <n v="15"/>
    <x v="160"/>
    <n v="3073.65"/>
    <n v="939.17"/>
    <x v="2"/>
    <s v="Cash"/>
    <x v="5"/>
    <x v="0"/>
  </r>
  <r>
    <s v="ORD100163"/>
    <d v="2025-10-30T00:00:00"/>
    <x v="0"/>
    <s v="Ahmedabad"/>
    <x v="5"/>
    <s v="Corporate"/>
    <x v="1"/>
    <s v="Desk"/>
    <x v="160"/>
    <n v="9"/>
    <n v="4853.5600000000004"/>
    <n v="15"/>
    <x v="161"/>
    <n v="30349.040000000001"/>
    <n v="6780.69"/>
    <x v="2"/>
    <s v="Card"/>
    <x v="1"/>
    <x v="0"/>
  </r>
  <r>
    <s v="ORD100164"/>
    <d v="2026-04-20T00:00:00"/>
    <x v="3"/>
    <s v="Kolkata"/>
    <x v="3"/>
    <s v="Corporate"/>
    <x v="1"/>
    <s v="Desk"/>
    <x v="41"/>
    <n v="15"/>
    <n v="783.86"/>
    <n v="10"/>
    <x v="162"/>
    <n v="7805.7"/>
    <n v="2776.41"/>
    <x v="1"/>
    <s v="Cash"/>
    <x v="7"/>
    <x v="1"/>
  </r>
  <r>
    <s v="ORD100165"/>
    <d v="2025-02-19T00:00:00"/>
    <x v="2"/>
    <s v="Bengaluru"/>
    <x v="2"/>
    <s v="Small Business"/>
    <x v="1"/>
    <s v="Bookshelf"/>
    <x v="161"/>
    <n v="8"/>
    <n v="2974.43"/>
    <n v="5"/>
    <x v="163"/>
    <n v="15503.23"/>
    <n v="7102.44"/>
    <x v="1"/>
    <s v="Card"/>
    <x v="2"/>
    <x v="0"/>
  </r>
  <r>
    <s v="ORD100166"/>
    <d v="2025-07-19T00:00:00"/>
    <x v="0"/>
    <s v="Mumbai"/>
    <x v="5"/>
    <s v="Corporate"/>
    <x v="0"/>
    <s v="Laptop"/>
    <x v="162"/>
    <n v="10"/>
    <n v="3632.11"/>
    <n v="5"/>
    <x v="164"/>
    <n v="23315.02"/>
    <n v="11190.02"/>
    <x v="2"/>
    <s v="Net Banking"/>
    <x v="5"/>
    <x v="0"/>
  </r>
  <r>
    <s v="ORD100167"/>
    <d v="2025-10-27T00:00:00"/>
    <x v="2"/>
    <s v="Bengaluru"/>
    <x v="0"/>
    <s v="Consumer"/>
    <x v="0"/>
    <s v="Monitor"/>
    <x v="50"/>
    <n v="8"/>
    <n v="4432.03"/>
    <n v="15"/>
    <x v="165"/>
    <n v="18551.03"/>
    <n v="11586.77"/>
    <x v="0"/>
    <s v="Card"/>
    <x v="1"/>
    <x v="0"/>
  </r>
  <r>
    <s v="ORD100168"/>
    <d v="2025-01-22T00:00:00"/>
    <x v="3"/>
    <s v="Kolkata"/>
    <x v="6"/>
    <s v="Consumer"/>
    <x v="1"/>
    <s v="Table"/>
    <x v="163"/>
    <n v="10"/>
    <n v="1798.05"/>
    <n v="5"/>
    <x v="166"/>
    <n v="12706.99"/>
    <n v="4374.4799999999996"/>
    <x v="1"/>
    <s v="Card"/>
    <x v="9"/>
    <x v="0"/>
  </r>
  <r>
    <s v="ORD100169"/>
    <d v="2025-09-05T00:00:00"/>
    <x v="0"/>
    <s v="Mumbai"/>
    <x v="6"/>
    <s v="Small Business"/>
    <x v="2"/>
    <s v="Paper"/>
    <x v="164"/>
    <n v="11"/>
    <n v="2407.4"/>
    <n v="15"/>
    <x v="167"/>
    <n v="14251.78"/>
    <n v="8257.41"/>
    <x v="0"/>
    <s v="Net Banking"/>
    <x v="4"/>
    <x v="0"/>
  </r>
  <r>
    <s v="ORD100170"/>
    <d v="2025-11-23T00:00:00"/>
    <x v="2"/>
    <s v="Chennai"/>
    <x v="6"/>
    <s v="Small Business"/>
    <x v="1"/>
    <s v="Table"/>
    <x v="165"/>
    <n v="14"/>
    <n v="4710.5"/>
    <n v="0"/>
    <x v="168"/>
    <n v="49804.44"/>
    <n v="16142.56"/>
    <x v="0"/>
    <s v="Card"/>
    <x v="8"/>
    <x v="0"/>
  </r>
  <r>
    <s v="ORD100171"/>
    <d v="2025-11-13T00:00:00"/>
    <x v="3"/>
    <s v="Kolkata"/>
    <x v="3"/>
    <s v="Consumer"/>
    <x v="2"/>
    <s v="Folders"/>
    <x v="166"/>
    <n v="15"/>
    <n v="701.13"/>
    <n v="0"/>
    <x v="169"/>
    <n v="8415.11"/>
    <n v="2101.84"/>
    <x v="0"/>
    <s v="UPI"/>
    <x v="8"/>
    <x v="0"/>
  </r>
  <r>
    <s v="ORD100172"/>
    <d v="2026-03-21T00:00:00"/>
    <x v="2"/>
    <s v="Chennai"/>
    <x v="6"/>
    <s v="Small Business"/>
    <x v="2"/>
    <s v="Printer Ink"/>
    <x v="167"/>
    <n v="13"/>
    <n v="4368.72"/>
    <n v="10"/>
    <x v="170"/>
    <n v="37038.65"/>
    <n v="14075.37"/>
    <x v="1"/>
    <s v="Cash"/>
    <x v="3"/>
    <x v="1"/>
  </r>
  <r>
    <s v="ORD100173"/>
    <d v="2025-08-14T00:00:00"/>
    <x v="1"/>
    <s v="Chandigarh"/>
    <x v="0"/>
    <s v="Small Business"/>
    <x v="2"/>
    <s v="Notebook"/>
    <x v="168"/>
    <n v="11"/>
    <n v="1008.16"/>
    <n v="5"/>
    <x v="171"/>
    <n v="7135.38"/>
    <n v="3399.89"/>
    <x v="1"/>
    <s v="Cash"/>
    <x v="6"/>
    <x v="0"/>
  </r>
  <r>
    <s v="ORD100174"/>
    <d v="2025-11-03T00:00:00"/>
    <x v="2"/>
    <s v="Chennai"/>
    <x v="0"/>
    <s v="Small Business"/>
    <x v="2"/>
    <s v="Notebook"/>
    <x v="169"/>
    <n v="11"/>
    <n v="4769.01"/>
    <n v="0"/>
    <x v="172"/>
    <n v="29485.68"/>
    <n v="22973.43"/>
    <x v="2"/>
    <s v="Card"/>
    <x v="8"/>
    <x v="0"/>
  </r>
  <r>
    <s v="ORD100175"/>
    <d v="2025-03-16T00:00:00"/>
    <x v="0"/>
    <s v="Ahmedabad"/>
    <x v="4"/>
    <s v="Corporate"/>
    <x v="2"/>
    <s v="Pens"/>
    <x v="170"/>
    <n v="1"/>
    <n v="3581.86"/>
    <n v="5"/>
    <x v="173"/>
    <n v="2312.42"/>
    <n v="1090.3499999999999"/>
    <x v="1"/>
    <s v="Cash"/>
    <x v="3"/>
    <x v="0"/>
  </r>
  <r>
    <s v="ORD100176"/>
    <d v="2026-06-16T00:00:00"/>
    <x v="2"/>
    <s v="Bengaluru"/>
    <x v="4"/>
    <s v="Corporate"/>
    <x v="1"/>
    <s v="Bookshelf"/>
    <x v="171"/>
    <n v="3"/>
    <n v="1700.02"/>
    <n v="0"/>
    <x v="174"/>
    <n v="3084.27"/>
    <n v="2015.79"/>
    <x v="2"/>
    <s v="UPI"/>
    <x v="10"/>
    <x v="1"/>
  </r>
  <r>
    <s v="ORD100177"/>
    <d v="2025-01-22T00:00:00"/>
    <x v="3"/>
    <s v="Bhubaneswar"/>
    <x v="2"/>
    <s v="Corporate"/>
    <x v="1"/>
    <s v="Desk"/>
    <x v="172"/>
    <n v="2"/>
    <n v="2857.75"/>
    <n v="0"/>
    <x v="175"/>
    <n v="4616.93"/>
    <n v="1098.57"/>
    <x v="0"/>
    <s v="Net Banking"/>
    <x v="9"/>
    <x v="0"/>
  </r>
  <r>
    <s v="ORD100178"/>
    <d v="2026-06-10T00:00:00"/>
    <x v="2"/>
    <s v="Chennai"/>
    <x v="2"/>
    <s v="Corporate"/>
    <x v="0"/>
    <s v="Headphones"/>
    <x v="173"/>
    <n v="4"/>
    <n v="3752.84"/>
    <n v="20"/>
    <x v="176"/>
    <n v="9767.4699999999993"/>
    <n v="2241.62"/>
    <x v="2"/>
    <s v="UPI"/>
    <x v="10"/>
    <x v="1"/>
  </r>
  <r>
    <s v="ORD100179"/>
    <d v="2026-06-16T00:00:00"/>
    <x v="0"/>
    <s v="Mumbai"/>
    <x v="6"/>
    <s v="Corporate"/>
    <x v="2"/>
    <s v="Folders"/>
    <x v="174"/>
    <n v="13"/>
    <n v="3206.6"/>
    <n v="0"/>
    <x v="177"/>
    <n v="33263.35"/>
    <n v="8422.4500000000007"/>
    <x v="0"/>
    <s v="UPI"/>
    <x v="10"/>
    <x v="1"/>
  </r>
  <r>
    <s v="ORD100180"/>
    <d v="2026-03-23T00:00:00"/>
    <x v="1"/>
    <s v="Chandigarh"/>
    <x v="4"/>
    <s v="Corporate"/>
    <x v="1"/>
    <s v="Bookshelf"/>
    <x v="175"/>
    <n v="2"/>
    <n v="2532.64"/>
    <n v="20"/>
    <x v="178"/>
    <n v="2984.22"/>
    <n v="1068"/>
    <x v="0"/>
    <s v="UPI"/>
    <x v="3"/>
    <x v="1"/>
  </r>
  <r>
    <s v="ORD100181"/>
    <d v="2025-07-29T00:00:00"/>
    <x v="2"/>
    <s v="Chennai"/>
    <x v="7"/>
    <s v="Consumer"/>
    <x v="0"/>
    <s v="Laptop"/>
    <x v="176"/>
    <n v="3"/>
    <n v="3190.73"/>
    <n v="0"/>
    <x v="179"/>
    <n v="7610.5"/>
    <n v="1961.69"/>
    <x v="0"/>
    <s v="Net Banking"/>
    <x v="5"/>
    <x v="0"/>
  </r>
  <r>
    <s v="ORD100182"/>
    <d v="2026-04-28T00:00:00"/>
    <x v="0"/>
    <s v="Mumbai"/>
    <x v="0"/>
    <s v="Corporate"/>
    <x v="1"/>
    <s v="Bookshelf"/>
    <x v="177"/>
    <n v="10"/>
    <n v="329.33"/>
    <n v="15"/>
    <x v="180"/>
    <n v="1779.54"/>
    <n v="1019.76"/>
    <x v="1"/>
    <s v="Cash"/>
    <x v="7"/>
    <x v="1"/>
  </r>
  <r>
    <s v="ORD100183"/>
    <d v="2026-05-22T00:00:00"/>
    <x v="2"/>
    <s v="Bengaluru"/>
    <x v="4"/>
    <s v="Corporate"/>
    <x v="0"/>
    <s v="Monitor"/>
    <x v="178"/>
    <n v="4"/>
    <n v="1750.94"/>
    <n v="5"/>
    <x v="181"/>
    <n v="5056.32"/>
    <n v="1597.25"/>
    <x v="2"/>
    <s v="Cash"/>
    <x v="0"/>
    <x v="1"/>
  </r>
  <r>
    <s v="ORD100184"/>
    <d v="2025-08-04T00:00:00"/>
    <x v="2"/>
    <s v="Bengaluru"/>
    <x v="0"/>
    <s v="Corporate"/>
    <x v="0"/>
    <s v="Mouse"/>
    <x v="179"/>
    <n v="8"/>
    <n v="734.72"/>
    <n v="0"/>
    <x v="182"/>
    <n v="3309.27"/>
    <n v="2568.4899999999998"/>
    <x v="1"/>
    <s v="Cash"/>
    <x v="6"/>
    <x v="0"/>
  </r>
  <r>
    <s v="ORD100185"/>
    <d v="2025-01-12T00:00:00"/>
    <x v="3"/>
    <s v="Kolkata"/>
    <x v="5"/>
    <s v="Corporate"/>
    <x v="0"/>
    <s v="Keyboard"/>
    <x v="180"/>
    <n v="7"/>
    <n v="1172.04"/>
    <n v="15"/>
    <x v="183"/>
    <n v="5535.22"/>
    <n v="1438.42"/>
    <x v="0"/>
    <s v="Net Banking"/>
    <x v="9"/>
    <x v="0"/>
  </r>
  <r>
    <s v="ORD100186"/>
    <d v="2026-02-03T00:00:00"/>
    <x v="2"/>
    <s v="Bengaluru"/>
    <x v="5"/>
    <s v="Consumer"/>
    <x v="0"/>
    <s v="Keyboard"/>
    <x v="181"/>
    <n v="12"/>
    <n v="1255.1500000000001"/>
    <n v="10"/>
    <x v="184"/>
    <n v="9810.74"/>
    <n v="3744.88"/>
    <x v="1"/>
    <s v="Card"/>
    <x v="2"/>
    <x v="1"/>
  </r>
  <r>
    <s v="ORD100187"/>
    <d v="2025-05-05T00:00:00"/>
    <x v="0"/>
    <s v="Ahmedabad"/>
    <x v="2"/>
    <s v="Consumer"/>
    <x v="0"/>
    <s v="Monitor"/>
    <x v="182"/>
    <n v="5"/>
    <n v="3380.26"/>
    <n v="15"/>
    <x v="185"/>
    <n v="10163.69"/>
    <n v="4202.42"/>
    <x v="2"/>
    <s v="Cash"/>
    <x v="0"/>
    <x v="0"/>
  </r>
  <r>
    <s v="ORD100188"/>
    <d v="2025-11-04T00:00:00"/>
    <x v="2"/>
    <s v="Chennai"/>
    <x v="4"/>
    <s v="Consumer"/>
    <x v="1"/>
    <s v="Cabinet"/>
    <x v="183"/>
    <n v="11"/>
    <n v="2601.7800000000002"/>
    <n v="20"/>
    <x v="186"/>
    <n v="17546.7"/>
    <n v="5348.96"/>
    <x v="1"/>
    <s v="UPI"/>
    <x v="8"/>
    <x v="0"/>
  </r>
  <r>
    <s v="ORD100189"/>
    <d v="2026-02-26T00:00:00"/>
    <x v="3"/>
    <s v="Kolkata"/>
    <x v="6"/>
    <s v="Consumer"/>
    <x v="2"/>
    <s v="Notebook"/>
    <x v="184"/>
    <n v="9"/>
    <n v="1945.57"/>
    <n v="5"/>
    <x v="187"/>
    <n v="9855.2800000000007"/>
    <n v="6779.34"/>
    <x v="1"/>
    <s v="UPI"/>
    <x v="2"/>
    <x v="1"/>
  </r>
  <r>
    <s v="ORD100190"/>
    <d v="2025-03-05T00:00:00"/>
    <x v="3"/>
    <s v="Bhubaneswar"/>
    <x v="4"/>
    <s v="Consumer"/>
    <x v="0"/>
    <s v="Headphones"/>
    <x v="120"/>
    <n v="15"/>
    <n v="1901.14"/>
    <n v="0"/>
    <x v="188"/>
    <n v="21888.53"/>
    <n v="6628.57"/>
    <x v="0"/>
    <s v="UPI"/>
    <x v="3"/>
    <x v="0"/>
  </r>
  <r>
    <s v="ORD100191"/>
    <d v="2025-03-13T00:00:00"/>
    <x v="3"/>
    <s v="Kolkata"/>
    <x v="5"/>
    <s v="Consumer"/>
    <x v="2"/>
    <s v="Folders"/>
    <x v="185"/>
    <n v="2"/>
    <n v="3353.15"/>
    <n v="5"/>
    <x v="189"/>
    <n v="4289.5600000000004"/>
    <n v="2081.42"/>
    <x v="1"/>
    <s v="UPI"/>
    <x v="3"/>
    <x v="0"/>
  </r>
  <r>
    <s v="ORD100192"/>
    <d v="2025-12-24T00:00:00"/>
    <x v="2"/>
    <s v="Chennai"/>
    <x v="2"/>
    <s v="Small Business"/>
    <x v="0"/>
    <s v="Laptop"/>
    <x v="186"/>
    <n v="9"/>
    <n v="3502.44"/>
    <n v="5"/>
    <x v="190"/>
    <n v="23448.57"/>
    <n v="6497.29"/>
    <x v="0"/>
    <s v="Card"/>
    <x v="11"/>
    <x v="0"/>
  </r>
  <r>
    <s v="ORD100193"/>
    <d v="2026-01-23T00:00:00"/>
    <x v="2"/>
    <s v="Chennai"/>
    <x v="6"/>
    <s v="Consumer"/>
    <x v="1"/>
    <s v="Desk"/>
    <x v="187"/>
    <n v="5"/>
    <n v="1554.57"/>
    <n v="10"/>
    <x v="191"/>
    <n v="4472.9399999999996"/>
    <n v="2522.62"/>
    <x v="2"/>
    <s v="Net Banking"/>
    <x v="9"/>
    <x v="1"/>
  </r>
  <r>
    <s v="ORD100194"/>
    <d v="2025-04-27T00:00:00"/>
    <x v="1"/>
    <s v="Chandigarh"/>
    <x v="0"/>
    <s v="Corporate"/>
    <x v="1"/>
    <s v="Table"/>
    <x v="188"/>
    <n v="6"/>
    <n v="3293.37"/>
    <n v="10"/>
    <x v="192"/>
    <n v="14264.3"/>
    <n v="3519.9"/>
    <x v="1"/>
    <s v="UPI"/>
    <x v="7"/>
    <x v="0"/>
  </r>
  <r>
    <s v="ORD100195"/>
    <d v="2025-04-07T00:00:00"/>
    <x v="3"/>
    <s v="Bhubaneswar"/>
    <x v="5"/>
    <s v="Consumer"/>
    <x v="1"/>
    <s v="Desk"/>
    <x v="189"/>
    <n v="4"/>
    <n v="1830.34"/>
    <n v="0"/>
    <x v="193"/>
    <n v="4256.67"/>
    <n v="3064.69"/>
    <x v="2"/>
    <s v="Net Banking"/>
    <x v="7"/>
    <x v="0"/>
  </r>
  <r>
    <s v="ORD100196"/>
    <d v="2026-05-25T00:00:00"/>
    <x v="3"/>
    <s v="Kolkata"/>
    <x v="0"/>
    <s v="Corporate"/>
    <x v="2"/>
    <s v="Printer Ink"/>
    <x v="190"/>
    <n v="9"/>
    <n v="4210.54"/>
    <n v="20"/>
    <x v="194"/>
    <n v="19710.48"/>
    <n v="10605.41"/>
    <x v="2"/>
    <s v="Net Banking"/>
    <x v="0"/>
    <x v="1"/>
  </r>
  <r>
    <s v="ORD100197"/>
    <d v="2026-02-25T00:00:00"/>
    <x v="1"/>
    <s v="Delhi"/>
    <x v="3"/>
    <s v="Corporate"/>
    <x v="2"/>
    <s v="Paper"/>
    <x v="191"/>
    <n v="1"/>
    <n v="3912.03"/>
    <n v="5"/>
    <x v="195"/>
    <n v="2314.9699999999998"/>
    <n v="1401.46"/>
    <x v="2"/>
    <s v="Cash"/>
    <x v="2"/>
    <x v="1"/>
  </r>
  <r>
    <s v="ORD100198"/>
    <d v="2025-07-14T00:00:00"/>
    <x v="0"/>
    <s v="Mumbai"/>
    <x v="3"/>
    <s v="Small Business"/>
    <x v="1"/>
    <s v="Bookshelf"/>
    <x v="192"/>
    <n v="12"/>
    <n v="2971.41"/>
    <n v="0"/>
    <x v="196"/>
    <n v="22444.37"/>
    <n v="13212.55"/>
    <x v="1"/>
    <s v="UPI"/>
    <x v="5"/>
    <x v="0"/>
  </r>
  <r>
    <s v="ORD100199"/>
    <d v="2026-06-08T00:00:00"/>
    <x v="1"/>
    <s v="Chandigarh"/>
    <x v="4"/>
    <s v="Corporate"/>
    <x v="0"/>
    <s v="Laptop"/>
    <x v="193"/>
    <n v="2"/>
    <n v="2460.6999999999998"/>
    <n v="0"/>
    <x v="197"/>
    <n v="2841.63"/>
    <n v="2079.77"/>
    <x v="2"/>
    <s v="Card"/>
    <x v="10"/>
    <x v="1"/>
  </r>
  <r>
    <s v="ORD100200"/>
    <d v="2025-01-16T00:00:00"/>
    <x v="2"/>
    <s v="Bengaluru"/>
    <x v="7"/>
    <s v="Small Business"/>
    <x v="2"/>
    <s v="Folders"/>
    <x v="194"/>
    <n v="8"/>
    <n v="719.28"/>
    <n v="10"/>
    <x v="198"/>
    <n v="4179.46"/>
    <n v="999.36"/>
    <x v="1"/>
    <s v="Card"/>
    <x v="9"/>
    <x v="0"/>
  </r>
  <r>
    <s v="ORD100201"/>
    <d v="2025-03-18T00:00:00"/>
    <x v="2"/>
    <s v="Bengaluru"/>
    <x v="0"/>
    <s v="Consumer"/>
    <x v="1"/>
    <s v="Desk"/>
    <x v="195"/>
    <n v="14"/>
    <n v="1147.24"/>
    <n v="20"/>
    <x v="199"/>
    <n v="8181.27"/>
    <n v="4667.82"/>
    <x v="0"/>
    <s v="Net Banking"/>
    <x v="3"/>
    <x v="0"/>
  </r>
  <r>
    <s v="ORD100202"/>
    <d v="2025-03-15T00:00:00"/>
    <x v="1"/>
    <s v="Chandigarh"/>
    <x v="7"/>
    <s v="Consumer"/>
    <x v="2"/>
    <s v="Paper"/>
    <x v="196"/>
    <n v="2"/>
    <n v="4677.54"/>
    <n v="20"/>
    <x v="200"/>
    <n v="6051.01"/>
    <n v="1433.05"/>
    <x v="1"/>
    <s v="Card"/>
    <x v="3"/>
    <x v="0"/>
  </r>
  <r>
    <s v="ORD100203"/>
    <d v="2025-08-31T00:00:00"/>
    <x v="2"/>
    <s v="Bengaluru"/>
    <x v="4"/>
    <s v="Corporate"/>
    <x v="1"/>
    <s v="Desk"/>
    <x v="197"/>
    <n v="2"/>
    <n v="4096.2700000000004"/>
    <n v="0"/>
    <x v="201"/>
    <n v="5314.88"/>
    <n v="2877.66"/>
    <x v="2"/>
    <s v="UPI"/>
    <x v="6"/>
    <x v="0"/>
  </r>
  <r>
    <s v="ORD100204"/>
    <d v="2025-03-27T00:00:00"/>
    <x v="2"/>
    <s v="Chennai"/>
    <x v="1"/>
    <s v="Small Business"/>
    <x v="1"/>
    <s v="Chair"/>
    <x v="198"/>
    <n v="7"/>
    <n v="4140.58"/>
    <n v="5"/>
    <x v="202"/>
    <n v="21619.43"/>
    <n v="5915.43"/>
    <x v="2"/>
    <s v="Card"/>
    <x v="3"/>
    <x v="0"/>
  </r>
  <r>
    <s v="ORD100205"/>
    <d v="2026-06-13T00:00:00"/>
    <x v="3"/>
    <s v="Bhubaneswar"/>
    <x v="3"/>
    <s v="Consumer"/>
    <x v="0"/>
    <s v="Mouse"/>
    <x v="199"/>
    <n v="11"/>
    <n v="2467.09"/>
    <n v="15"/>
    <x v="203"/>
    <n v="16859.759999999998"/>
    <n v="6207.53"/>
    <x v="0"/>
    <s v="UPI"/>
    <x v="10"/>
    <x v="1"/>
  </r>
  <r>
    <s v="ORD100206"/>
    <d v="2025-10-11T00:00:00"/>
    <x v="3"/>
    <s v="Kolkata"/>
    <x v="5"/>
    <s v="Small Business"/>
    <x v="1"/>
    <s v="Desk"/>
    <x v="200"/>
    <n v="9"/>
    <n v="886.25"/>
    <n v="10"/>
    <x v="204"/>
    <n v="5751.04"/>
    <n v="1427.58"/>
    <x v="0"/>
    <s v="Cash"/>
    <x v="1"/>
    <x v="0"/>
  </r>
  <r>
    <s v="ORD100207"/>
    <d v="2025-08-07T00:00:00"/>
    <x v="3"/>
    <s v="Bhubaneswar"/>
    <x v="7"/>
    <s v="Small Business"/>
    <x v="0"/>
    <s v="Monitor"/>
    <x v="201"/>
    <n v="11"/>
    <n v="793.85"/>
    <n v="5"/>
    <x v="205"/>
    <n v="5469.97"/>
    <n v="2825.76"/>
    <x v="0"/>
    <s v="Net Banking"/>
    <x v="6"/>
    <x v="0"/>
  </r>
  <r>
    <s v="ORD100208"/>
    <d v="2026-01-29T00:00:00"/>
    <x v="3"/>
    <s v="Kolkata"/>
    <x v="5"/>
    <s v="Consumer"/>
    <x v="0"/>
    <s v="Laptop"/>
    <x v="176"/>
    <n v="1"/>
    <n v="2441.11"/>
    <n v="20"/>
    <x v="206"/>
    <n v="1176.67"/>
    <n v="776.22"/>
    <x v="0"/>
    <s v="Net Banking"/>
    <x v="9"/>
    <x v="1"/>
  </r>
  <r>
    <s v="ORD100209"/>
    <d v="2025-04-19T00:00:00"/>
    <x v="0"/>
    <s v="Ahmedabad"/>
    <x v="1"/>
    <s v="Consumer"/>
    <x v="1"/>
    <s v="Table"/>
    <x v="202"/>
    <n v="3"/>
    <n v="1808.82"/>
    <n v="10"/>
    <x v="207"/>
    <n v="3114.4"/>
    <n v="1769.41"/>
    <x v="1"/>
    <s v="Net Banking"/>
    <x v="7"/>
    <x v="0"/>
  </r>
  <r>
    <s v="ORD100210"/>
    <d v="2026-02-12T00:00:00"/>
    <x v="3"/>
    <s v="Bhubaneswar"/>
    <x v="1"/>
    <s v="Small Business"/>
    <x v="2"/>
    <s v="Notebook"/>
    <x v="203"/>
    <n v="10"/>
    <n v="4355.58"/>
    <n v="20"/>
    <x v="208"/>
    <n v="26330.44"/>
    <n v="8514.2000000000007"/>
    <x v="2"/>
    <s v="UPI"/>
    <x v="2"/>
    <x v="1"/>
  </r>
  <r>
    <s v="ORD100211"/>
    <d v="2026-06-14T00:00:00"/>
    <x v="2"/>
    <s v="Chennai"/>
    <x v="4"/>
    <s v="Small Business"/>
    <x v="0"/>
    <s v="Monitor"/>
    <x v="204"/>
    <n v="2"/>
    <n v="3047.51"/>
    <n v="0"/>
    <x v="209"/>
    <n v="4247.3"/>
    <n v="1847.72"/>
    <x v="0"/>
    <s v="Cash"/>
    <x v="10"/>
    <x v="1"/>
  </r>
  <r>
    <s v="ORD100212"/>
    <d v="2025-10-20T00:00:00"/>
    <x v="1"/>
    <s v="Delhi"/>
    <x v="4"/>
    <s v="Consumer"/>
    <x v="1"/>
    <s v="Cabinet"/>
    <x v="205"/>
    <n v="2"/>
    <n v="2564.14"/>
    <n v="15"/>
    <x v="210"/>
    <n v="3364.64"/>
    <n v="994.4"/>
    <x v="2"/>
    <s v="Cash"/>
    <x v="1"/>
    <x v="0"/>
  </r>
  <r>
    <s v="ORD100213"/>
    <d v="2025-08-21T00:00:00"/>
    <x v="3"/>
    <s v="Bhubaneswar"/>
    <x v="3"/>
    <s v="Small Business"/>
    <x v="0"/>
    <s v="Keyboard"/>
    <x v="206"/>
    <n v="8"/>
    <n v="252.74"/>
    <n v="5"/>
    <x v="211"/>
    <n v="1074.43"/>
    <n v="846.39"/>
    <x v="1"/>
    <s v="Cash"/>
    <x v="6"/>
    <x v="0"/>
  </r>
  <r>
    <s v="ORD100214"/>
    <d v="2025-02-20T00:00:00"/>
    <x v="1"/>
    <s v="Delhi"/>
    <x v="7"/>
    <s v="Corporate"/>
    <x v="0"/>
    <s v="Mouse"/>
    <x v="207"/>
    <n v="6"/>
    <n v="4037.73"/>
    <n v="0"/>
    <x v="212"/>
    <n v="15552.81"/>
    <n v="8673.57"/>
    <x v="2"/>
    <s v="Net Banking"/>
    <x v="2"/>
    <x v="0"/>
  </r>
  <r>
    <s v="ORD100215"/>
    <d v="2025-01-26T00:00:00"/>
    <x v="2"/>
    <s v="Bengaluru"/>
    <x v="6"/>
    <s v="Small Business"/>
    <x v="2"/>
    <s v="Pens"/>
    <x v="208"/>
    <n v="15"/>
    <n v="3510.32"/>
    <n v="0"/>
    <x v="213"/>
    <n v="41850.080000000002"/>
    <n v="10804.72"/>
    <x v="1"/>
    <s v="UPI"/>
    <x v="9"/>
    <x v="0"/>
  </r>
  <r>
    <s v="ORD100216"/>
    <d v="2025-10-23T00:00:00"/>
    <x v="1"/>
    <s v="Chandigarh"/>
    <x v="2"/>
    <s v="Corporate"/>
    <x v="0"/>
    <s v="Mouse"/>
    <x v="209"/>
    <n v="6"/>
    <n v="1106.6400000000001"/>
    <n v="10"/>
    <x v="214"/>
    <n v="3553.78"/>
    <n v="2422.08"/>
    <x v="1"/>
    <s v="Card"/>
    <x v="1"/>
    <x v="0"/>
  </r>
  <r>
    <s v="ORD100217"/>
    <d v="2026-03-20T00:00:00"/>
    <x v="2"/>
    <s v="Chennai"/>
    <x v="2"/>
    <s v="Corporate"/>
    <x v="1"/>
    <s v="Chair"/>
    <x v="210"/>
    <n v="12"/>
    <n v="3825.39"/>
    <n v="10"/>
    <x v="215"/>
    <n v="31659"/>
    <n v="9655.2099999999991"/>
    <x v="2"/>
    <s v="UPI"/>
    <x v="3"/>
    <x v="1"/>
  </r>
  <r>
    <s v="ORD100218"/>
    <d v="2025-04-17T00:00:00"/>
    <x v="2"/>
    <s v="Chennai"/>
    <x v="2"/>
    <s v="Corporate"/>
    <x v="0"/>
    <s v="Headphones"/>
    <x v="211"/>
    <n v="7"/>
    <n v="3785.13"/>
    <n v="10"/>
    <x v="216"/>
    <n v="15275.52"/>
    <n v="8570.7999999999993"/>
    <x v="2"/>
    <s v="UPI"/>
    <x v="7"/>
    <x v="0"/>
  </r>
  <r>
    <s v="ORD100219"/>
    <d v="2026-06-01T00:00:00"/>
    <x v="1"/>
    <s v="Delhi"/>
    <x v="7"/>
    <s v="Corporate"/>
    <x v="1"/>
    <s v="Cabinet"/>
    <x v="212"/>
    <n v="4"/>
    <n v="2398.25"/>
    <n v="5"/>
    <x v="217"/>
    <n v="6270.77"/>
    <n v="2842.58"/>
    <x v="2"/>
    <s v="Card"/>
    <x v="10"/>
    <x v="1"/>
  </r>
  <r>
    <s v="ORD100220"/>
    <d v="2025-09-30T00:00:00"/>
    <x v="2"/>
    <s v="Chennai"/>
    <x v="2"/>
    <s v="Consumer"/>
    <x v="0"/>
    <s v="Headphones"/>
    <x v="213"/>
    <n v="11"/>
    <n v="1268.25"/>
    <n v="20"/>
    <x v="218"/>
    <n v="7472.02"/>
    <n v="3688.58"/>
    <x v="0"/>
    <s v="UPI"/>
    <x v="4"/>
    <x v="0"/>
  </r>
  <r>
    <s v="ORD100221"/>
    <d v="2026-04-14T00:00:00"/>
    <x v="0"/>
    <s v="Mumbai"/>
    <x v="6"/>
    <s v="Corporate"/>
    <x v="0"/>
    <s v="Laptop"/>
    <x v="214"/>
    <n v="6"/>
    <n v="2677.73"/>
    <n v="0"/>
    <x v="219"/>
    <n v="9067.89"/>
    <n v="6998.49"/>
    <x v="2"/>
    <s v="UPI"/>
    <x v="7"/>
    <x v="1"/>
  </r>
  <r>
    <s v="ORD100222"/>
    <d v="2025-11-26T00:00:00"/>
    <x v="1"/>
    <s v="Delhi"/>
    <x v="3"/>
    <s v="Consumer"/>
    <x v="2"/>
    <s v="Folders"/>
    <x v="215"/>
    <n v="11"/>
    <n v="365.84"/>
    <n v="20"/>
    <x v="220"/>
    <n v="2296.04"/>
    <n v="923.35"/>
    <x v="2"/>
    <s v="UPI"/>
    <x v="8"/>
    <x v="0"/>
  </r>
  <r>
    <s v="ORD100223"/>
    <d v="2025-09-27T00:00:00"/>
    <x v="3"/>
    <s v="Bhubaneswar"/>
    <x v="3"/>
    <s v="Corporate"/>
    <x v="1"/>
    <s v="Cabinet"/>
    <x v="216"/>
    <n v="15"/>
    <n v="1423.92"/>
    <n v="10"/>
    <x v="221"/>
    <n v="10575.93"/>
    <n v="8646.99"/>
    <x v="2"/>
    <s v="Card"/>
    <x v="4"/>
    <x v="0"/>
  </r>
  <r>
    <s v="ORD100224"/>
    <d v="2026-01-01T00:00:00"/>
    <x v="0"/>
    <s v="Ahmedabad"/>
    <x v="3"/>
    <s v="Corporate"/>
    <x v="0"/>
    <s v="Monitor"/>
    <x v="217"/>
    <n v="9"/>
    <n v="1899.33"/>
    <n v="5"/>
    <x v="222"/>
    <n v="11676.5"/>
    <n v="4562.7700000000004"/>
    <x v="1"/>
    <s v="Net Banking"/>
    <x v="9"/>
    <x v="1"/>
  </r>
  <r>
    <s v="ORD100225"/>
    <d v="2026-05-14T00:00:00"/>
    <x v="3"/>
    <s v="Kolkata"/>
    <x v="7"/>
    <s v="Small Business"/>
    <x v="2"/>
    <s v="Printer Ink"/>
    <x v="218"/>
    <n v="15"/>
    <n v="2738.04"/>
    <n v="5"/>
    <x v="223"/>
    <n v="22713.1"/>
    <n v="16303.97"/>
    <x v="0"/>
    <s v="Card"/>
    <x v="0"/>
    <x v="1"/>
  </r>
  <r>
    <s v="ORD100226"/>
    <d v="2026-06-03T00:00:00"/>
    <x v="1"/>
    <s v="Delhi"/>
    <x v="6"/>
    <s v="Corporate"/>
    <x v="2"/>
    <s v="Paper"/>
    <x v="219"/>
    <n v="4"/>
    <n v="1193.52"/>
    <n v="15"/>
    <x v="224"/>
    <n v="2896.41"/>
    <n v="1161.56"/>
    <x v="2"/>
    <s v="Net Banking"/>
    <x v="10"/>
    <x v="1"/>
  </r>
  <r>
    <s v="ORD100227"/>
    <d v="2025-04-12T00:00:00"/>
    <x v="2"/>
    <s v="Chennai"/>
    <x v="3"/>
    <s v="Consumer"/>
    <x v="2"/>
    <s v="Notebook"/>
    <x v="220"/>
    <n v="3"/>
    <n v="639.99"/>
    <n v="15"/>
    <x v="225"/>
    <n v="1236.79"/>
    <n v="395.18"/>
    <x v="2"/>
    <s v="Cash"/>
    <x v="7"/>
    <x v="0"/>
  </r>
  <r>
    <s v="ORD100228"/>
    <d v="2026-02-10T00:00:00"/>
    <x v="3"/>
    <s v="Kolkata"/>
    <x v="2"/>
    <s v="Consumer"/>
    <x v="2"/>
    <s v="Printer Ink"/>
    <x v="221"/>
    <n v="2"/>
    <n v="1645.6"/>
    <n v="0"/>
    <x v="226"/>
    <n v="2224.36"/>
    <n v="1066.8399999999999"/>
    <x v="1"/>
    <s v="Net Banking"/>
    <x v="2"/>
    <x v="1"/>
  </r>
  <r>
    <s v="ORD100229"/>
    <d v="2025-11-10T00:00:00"/>
    <x v="3"/>
    <s v="Kolkata"/>
    <x v="7"/>
    <s v="Corporate"/>
    <x v="2"/>
    <s v="Paper"/>
    <x v="222"/>
    <n v="7"/>
    <n v="2361.7199999999998"/>
    <n v="0"/>
    <x v="227"/>
    <n v="11722.4"/>
    <n v="4809.6400000000003"/>
    <x v="2"/>
    <s v="Cash"/>
    <x v="8"/>
    <x v="0"/>
  </r>
  <r>
    <s v="ORD100230"/>
    <d v="2026-04-22T00:00:00"/>
    <x v="2"/>
    <s v="Chennai"/>
    <x v="6"/>
    <s v="Consumer"/>
    <x v="2"/>
    <s v="Pens"/>
    <x v="223"/>
    <n v="7"/>
    <n v="1793.09"/>
    <n v="0"/>
    <x v="228"/>
    <n v="8814.6"/>
    <n v="3737.03"/>
    <x v="0"/>
    <s v="Cash"/>
    <x v="7"/>
    <x v="1"/>
  </r>
  <r>
    <s v="ORD100231"/>
    <d v="2025-12-12T00:00:00"/>
    <x v="1"/>
    <s v="Chandigarh"/>
    <x v="0"/>
    <s v="Small Business"/>
    <x v="0"/>
    <s v="Laptop"/>
    <x v="224"/>
    <n v="13"/>
    <n v="982.96"/>
    <n v="20"/>
    <x v="229"/>
    <n v="6456.66"/>
    <n v="3766.12"/>
    <x v="1"/>
    <s v="Cash"/>
    <x v="11"/>
    <x v="0"/>
  </r>
  <r>
    <s v="ORD100232"/>
    <d v="2026-02-20T00:00:00"/>
    <x v="0"/>
    <s v="Ahmedabad"/>
    <x v="3"/>
    <s v="Corporate"/>
    <x v="2"/>
    <s v="Folders"/>
    <x v="225"/>
    <n v="14"/>
    <n v="3698.29"/>
    <n v="0"/>
    <x v="230"/>
    <n v="32161.93"/>
    <n v="19614.13"/>
    <x v="1"/>
    <s v="Card"/>
    <x v="2"/>
    <x v="1"/>
  </r>
  <r>
    <s v="ORD100233"/>
    <d v="2026-05-23T00:00:00"/>
    <x v="1"/>
    <s v="Chandigarh"/>
    <x v="4"/>
    <s v="Small Business"/>
    <x v="1"/>
    <s v="Cabinet"/>
    <x v="226"/>
    <n v="15"/>
    <n v="3868.82"/>
    <n v="20"/>
    <x v="231"/>
    <n v="27933.96"/>
    <n v="18491.88"/>
    <x v="2"/>
    <s v="Cash"/>
    <x v="0"/>
    <x v="1"/>
  </r>
  <r>
    <s v="ORD100234"/>
    <d v="2026-01-11T00:00:00"/>
    <x v="0"/>
    <s v="Mumbai"/>
    <x v="6"/>
    <s v="Small Business"/>
    <x v="2"/>
    <s v="Paper"/>
    <x v="227"/>
    <n v="4"/>
    <n v="4887.3100000000004"/>
    <n v="20"/>
    <x v="232"/>
    <n v="11716.53"/>
    <n v="3922.86"/>
    <x v="2"/>
    <s v="Cash"/>
    <x v="9"/>
    <x v="1"/>
  </r>
  <r>
    <s v="ORD100235"/>
    <d v="2025-08-23T00:00:00"/>
    <x v="0"/>
    <s v="Mumbai"/>
    <x v="5"/>
    <s v="Consumer"/>
    <x v="2"/>
    <s v="Printer Ink"/>
    <x v="228"/>
    <n v="11"/>
    <n v="1954.88"/>
    <n v="15"/>
    <x v="233"/>
    <n v="13154.45"/>
    <n v="5123.68"/>
    <x v="2"/>
    <s v="Cash"/>
    <x v="6"/>
    <x v="0"/>
  </r>
  <r>
    <s v="ORD100236"/>
    <d v="2025-07-29T00:00:00"/>
    <x v="1"/>
    <s v="Delhi"/>
    <x v="4"/>
    <s v="Corporate"/>
    <x v="2"/>
    <s v="Folders"/>
    <x v="229"/>
    <n v="5"/>
    <n v="3322.7"/>
    <n v="10"/>
    <x v="234"/>
    <n v="8508.66"/>
    <n v="6443.49"/>
    <x v="2"/>
    <s v="Net Banking"/>
    <x v="5"/>
    <x v="0"/>
  </r>
  <r>
    <s v="ORD100237"/>
    <d v="2025-09-08T00:00:00"/>
    <x v="3"/>
    <s v="Bhubaneswar"/>
    <x v="4"/>
    <s v="Consumer"/>
    <x v="0"/>
    <s v="Headphones"/>
    <x v="230"/>
    <n v="6"/>
    <n v="1615.87"/>
    <n v="15"/>
    <x v="235"/>
    <n v="6587.44"/>
    <n v="1653.5"/>
    <x v="1"/>
    <s v="Cash"/>
    <x v="4"/>
    <x v="0"/>
  </r>
  <r>
    <s v="ORD100238"/>
    <d v="2025-10-07T00:00:00"/>
    <x v="2"/>
    <s v="Chennai"/>
    <x v="3"/>
    <s v="Small Business"/>
    <x v="2"/>
    <s v="Pens"/>
    <x v="231"/>
    <n v="15"/>
    <n v="999.13"/>
    <n v="0"/>
    <x v="236"/>
    <n v="11987.02"/>
    <n v="2999.93"/>
    <x v="0"/>
    <s v="Net Banking"/>
    <x v="1"/>
    <x v="0"/>
  </r>
  <r>
    <s v="ORD100239"/>
    <d v="2025-01-15T00:00:00"/>
    <x v="2"/>
    <s v="Chennai"/>
    <x v="5"/>
    <s v="Corporate"/>
    <x v="0"/>
    <s v="Laptop"/>
    <x v="232"/>
    <n v="11"/>
    <n v="2749.41"/>
    <n v="20"/>
    <x v="237"/>
    <n v="14447.7"/>
    <n v="9747.11"/>
    <x v="2"/>
    <s v="Net Banking"/>
    <x v="9"/>
    <x v="0"/>
  </r>
  <r>
    <s v="ORD100240"/>
    <d v="2025-07-15T00:00:00"/>
    <x v="0"/>
    <s v="Mumbai"/>
    <x v="2"/>
    <s v="Corporate"/>
    <x v="0"/>
    <s v="Monitor"/>
    <x v="233"/>
    <n v="11"/>
    <n v="4362.0600000000004"/>
    <n v="5"/>
    <x v="238"/>
    <n v="34684.980000000003"/>
    <n v="10898.55"/>
    <x v="2"/>
    <s v="Net Banking"/>
    <x v="5"/>
    <x v="0"/>
  </r>
  <r>
    <s v="ORD100241"/>
    <d v="2026-03-05T00:00:00"/>
    <x v="3"/>
    <s v="Kolkata"/>
    <x v="4"/>
    <s v="Corporate"/>
    <x v="2"/>
    <s v="Printer Ink"/>
    <x v="234"/>
    <n v="6"/>
    <n v="1311.11"/>
    <n v="15"/>
    <x v="239"/>
    <n v="5044.9799999999996"/>
    <n v="1641.68"/>
    <x v="1"/>
    <s v="Net Banking"/>
    <x v="3"/>
    <x v="1"/>
  </r>
  <r>
    <s v="ORD100242"/>
    <d v="2026-04-30T00:00:00"/>
    <x v="3"/>
    <s v="Kolkata"/>
    <x v="4"/>
    <s v="Consumer"/>
    <x v="0"/>
    <s v="Monitor"/>
    <x v="235"/>
    <n v="15"/>
    <n v="712.93"/>
    <n v="20"/>
    <x v="240"/>
    <n v="6895.97"/>
    <n v="1659.19"/>
    <x v="1"/>
    <s v="Card"/>
    <x v="7"/>
    <x v="1"/>
  </r>
  <r>
    <s v="ORD100243"/>
    <d v="2026-03-14T00:00:00"/>
    <x v="0"/>
    <s v="Mumbai"/>
    <x v="1"/>
    <s v="Small Business"/>
    <x v="0"/>
    <s v="Mouse"/>
    <x v="236"/>
    <n v="8"/>
    <n v="1632.6"/>
    <n v="5"/>
    <x v="241"/>
    <n v="6845.68"/>
    <n v="5562.08"/>
    <x v="0"/>
    <s v="UPI"/>
    <x v="3"/>
    <x v="1"/>
  </r>
  <r>
    <s v="ORD100244"/>
    <d v="2025-08-12T00:00:00"/>
    <x v="2"/>
    <s v="Bengaluru"/>
    <x v="3"/>
    <s v="Small Business"/>
    <x v="0"/>
    <s v="Mouse"/>
    <x v="237"/>
    <n v="1"/>
    <n v="2590.8000000000002"/>
    <n v="5"/>
    <x v="242"/>
    <n v="1461.18"/>
    <n v="1000.08"/>
    <x v="2"/>
    <s v="Card"/>
    <x v="6"/>
    <x v="0"/>
  </r>
  <r>
    <s v="ORD100245"/>
    <d v="2025-06-30T00:00:00"/>
    <x v="0"/>
    <s v="Ahmedabad"/>
    <x v="6"/>
    <s v="Consumer"/>
    <x v="1"/>
    <s v="Desk"/>
    <x v="238"/>
    <n v="5"/>
    <n v="828.27"/>
    <n v="5"/>
    <x v="243"/>
    <n v="2925.07"/>
    <n v="1009.21"/>
    <x v="0"/>
    <s v="Cash"/>
    <x v="10"/>
    <x v="0"/>
  </r>
  <r>
    <s v="ORD100246"/>
    <d v="2025-06-13T00:00:00"/>
    <x v="3"/>
    <s v="Kolkata"/>
    <x v="5"/>
    <s v="Corporate"/>
    <x v="1"/>
    <s v="Table"/>
    <x v="239"/>
    <n v="11"/>
    <n v="2093.09"/>
    <n v="5"/>
    <x v="244"/>
    <n v="14456.57"/>
    <n v="7416.22"/>
    <x v="2"/>
    <s v="Card"/>
    <x v="10"/>
    <x v="0"/>
  </r>
  <r>
    <s v="ORD100247"/>
    <d v="2025-07-17T00:00:00"/>
    <x v="3"/>
    <s v="Kolkata"/>
    <x v="5"/>
    <s v="Small Business"/>
    <x v="0"/>
    <s v="Headphones"/>
    <x v="240"/>
    <n v="5"/>
    <n v="255.09"/>
    <n v="10"/>
    <x v="245"/>
    <n v="656.65"/>
    <n v="491.25"/>
    <x v="1"/>
    <s v="Card"/>
    <x v="5"/>
    <x v="0"/>
  </r>
  <r>
    <s v="ORD100248"/>
    <d v="2026-05-28T00:00:00"/>
    <x v="1"/>
    <s v="Chandigarh"/>
    <x v="4"/>
    <s v="Small Business"/>
    <x v="0"/>
    <s v="Laptop"/>
    <x v="241"/>
    <n v="12"/>
    <n v="3321.86"/>
    <n v="10"/>
    <x v="246"/>
    <n v="24153.65"/>
    <n v="11722.44"/>
    <x v="1"/>
    <s v="Cash"/>
    <x v="0"/>
    <x v="1"/>
  </r>
  <r>
    <s v="ORD100249"/>
    <d v="2025-04-01T00:00:00"/>
    <x v="1"/>
    <s v="Delhi"/>
    <x v="3"/>
    <s v="Small Business"/>
    <x v="2"/>
    <s v="Pens"/>
    <x v="242"/>
    <n v="1"/>
    <n v="1558.26"/>
    <n v="10"/>
    <x v="247"/>
    <n v="1071.29"/>
    <n v="331.14"/>
    <x v="0"/>
    <s v="UPI"/>
    <x v="7"/>
    <x v="0"/>
  </r>
  <r>
    <s v="ORD100250"/>
    <d v="2025-02-25T00:00:00"/>
    <x v="2"/>
    <s v="Chennai"/>
    <x v="1"/>
    <s v="Corporate"/>
    <x v="0"/>
    <s v="Headphones"/>
    <x v="243"/>
    <n v="3"/>
    <n v="1582.16"/>
    <n v="5"/>
    <x v="248"/>
    <n v="2949.09"/>
    <n v="1560.07"/>
    <x v="1"/>
    <s v="UPI"/>
    <x v="2"/>
    <x v="0"/>
  </r>
  <r>
    <s v="ORD100251"/>
    <d v="2025-05-31T00:00:00"/>
    <x v="0"/>
    <s v="Ahmedabad"/>
    <x v="3"/>
    <s v="Corporate"/>
    <x v="1"/>
    <s v="Cabinet"/>
    <x v="244"/>
    <n v="11"/>
    <n v="916.19"/>
    <n v="20"/>
    <x v="249"/>
    <n v="4575.34"/>
    <n v="3487.13"/>
    <x v="0"/>
    <s v="Net Banking"/>
    <x v="0"/>
    <x v="0"/>
  </r>
  <r>
    <s v="ORD100252"/>
    <d v="2025-08-08T00:00:00"/>
    <x v="3"/>
    <s v="Kolkata"/>
    <x v="7"/>
    <s v="Corporate"/>
    <x v="0"/>
    <s v="Mouse"/>
    <x v="245"/>
    <n v="15"/>
    <n v="1756.39"/>
    <n v="20"/>
    <x v="250"/>
    <n v="15047.08"/>
    <n v="6029.6"/>
    <x v="2"/>
    <s v="Net Banking"/>
    <x v="6"/>
    <x v="0"/>
  </r>
  <r>
    <s v="ORD100253"/>
    <d v="2026-05-14T00:00:00"/>
    <x v="0"/>
    <s v="Ahmedabad"/>
    <x v="5"/>
    <s v="Corporate"/>
    <x v="0"/>
    <s v="Headphones"/>
    <x v="246"/>
    <n v="3"/>
    <n v="3448.05"/>
    <n v="15"/>
    <x v="251"/>
    <n v="7025.48"/>
    <n v="1767.05"/>
    <x v="1"/>
    <s v="Net Banking"/>
    <x v="0"/>
    <x v="1"/>
  </r>
  <r>
    <s v="ORD100254"/>
    <d v="2025-02-28T00:00:00"/>
    <x v="2"/>
    <s v="Bengaluru"/>
    <x v="3"/>
    <s v="Consumer"/>
    <x v="0"/>
    <s v="Headphones"/>
    <x v="247"/>
    <n v="13"/>
    <n v="4042.83"/>
    <n v="5"/>
    <x v="252"/>
    <n v="35009.53"/>
    <n v="14919.42"/>
    <x v="1"/>
    <s v="Cash"/>
    <x v="2"/>
    <x v="0"/>
  </r>
  <r>
    <s v="ORD100255"/>
    <d v="2025-08-26T00:00:00"/>
    <x v="3"/>
    <s v="Bhubaneswar"/>
    <x v="0"/>
    <s v="Consumer"/>
    <x v="2"/>
    <s v="Notebook"/>
    <x v="248"/>
    <n v="5"/>
    <n v="4978.3"/>
    <n v="5"/>
    <x v="253"/>
    <n v="18809.23"/>
    <n v="4837.6899999999996"/>
    <x v="0"/>
    <s v="UPI"/>
    <x v="6"/>
    <x v="0"/>
  </r>
  <r>
    <s v="ORD100256"/>
    <d v="2025-02-24T00:00:00"/>
    <x v="3"/>
    <s v="Kolkata"/>
    <x v="0"/>
    <s v="Corporate"/>
    <x v="0"/>
    <s v="Monitor"/>
    <x v="249"/>
    <n v="9"/>
    <n v="4269.3"/>
    <n v="0"/>
    <x v="254"/>
    <n v="23151.26"/>
    <n v="15272.44"/>
    <x v="1"/>
    <s v="Cash"/>
    <x v="2"/>
    <x v="0"/>
  </r>
  <r>
    <s v="ORD100257"/>
    <d v="2026-01-09T00:00:00"/>
    <x v="0"/>
    <s v="Ahmedabad"/>
    <x v="0"/>
    <s v="Corporate"/>
    <x v="0"/>
    <s v="Laptop"/>
    <x v="250"/>
    <n v="7"/>
    <n v="2350.75"/>
    <n v="15"/>
    <x v="255"/>
    <n v="8060.99"/>
    <n v="5925.97"/>
    <x v="1"/>
    <s v="Net Banking"/>
    <x v="9"/>
    <x v="1"/>
  </r>
  <r>
    <s v="ORD100258"/>
    <d v="2025-04-10T00:00:00"/>
    <x v="1"/>
    <s v="Delhi"/>
    <x v="3"/>
    <s v="Small Business"/>
    <x v="1"/>
    <s v="Desk"/>
    <x v="251"/>
    <n v="3"/>
    <n v="4293.8999999999996"/>
    <n v="0"/>
    <x v="256"/>
    <n v="10189.49"/>
    <n v="2692.21"/>
    <x v="2"/>
    <s v="Card"/>
    <x v="7"/>
    <x v="0"/>
  </r>
  <r>
    <s v="ORD100259"/>
    <d v="2026-06-24T00:00:00"/>
    <x v="3"/>
    <s v="Kolkata"/>
    <x v="6"/>
    <s v="Small Business"/>
    <x v="2"/>
    <s v="Notebook"/>
    <x v="252"/>
    <n v="14"/>
    <n v="4101.22"/>
    <n v="20"/>
    <x v="257"/>
    <n v="36696.51"/>
    <n v="9237.15"/>
    <x v="1"/>
    <s v="Cash"/>
    <x v="10"/>
    <x v="1"/>
  </r>
  <r>
    <s v="ORD100260"/>
    <d v="2026-01-13T00:00:00"/>
    <x v="0"/>
    <s v="Ahmedabad"/>
    <x v="2"/>
    <s v="Consumer"/>
    <x v="1"/>
    <s v="Desk"/>
    <x v="253"/>
    <n v="2"/>
    <n v="2138.1"/>
    <n v="0"/>
    <x v="258"/>
    <n v="2356.13"/>
    <n v="1920.07"/>
    <x v="1"/>
    <s v="UPI"/>
    <x v="9"/>
    <x v="1"/>
  </r>
  <r>
    <s v="ORD100261"/>
    <d v="2025-03-04T00:00:00"/>
    <x v="3"/>
    <s v="Kolkata"/>
    <x v="5"/>
    <s v="Consumer"/>
    <x v="1"/>
    <s v="Bookshelf"/>
    <x v="68"/>
    <n v="2"/>
    <n v="2993.46"/>
    <n v="5"/>
    <x v="259"/>
    <n v="3934.58"/>
    <n v="1752.99"/>
    <x v="1"/>
    <s v="Cash"/>
    <x v="3"/>
    <x v="0"/>
  </r>
  <r>
    <s v="ORD100262"/>
    <d v="2025-08-18T00:00:00"/>
    <x v="1"/>
    <s v="Delhi"/>
    <x v="0"/>
    <s v="Small Business"/>
    <x v="0"/>
    <s v="Headphones"/>
    <x v="254"/>
    <n v="3"/>
    <n v="4162.84"/>
    <n v="15"/>
    <x v="260"/>
    <n v="5875.23"/>
    <n v="4740.01"/>
    <x v="2"/>
    <s v="Cash"/>
    <x v="6"/>
    <x v="0"/>
  </r>
  <r>
    <s v="ORD100263"/>
    <d v="2025-10-15T00:00:00"/>
    <x v="3"/>
    <s v="Kolkata"/>
    <x v="7"/>
    <s v="Corporate"/>
    <x v="0"/>
    <s v="Monitor"/>
    <x v="255"/>
    <n v="10"/>
    <n v="4517.17"/>
    <n v="0"/>
    <x v="261"/>
    <n v="26693.53"/>
    <n v="18478.169999999998"/>
    <x v="1"/>
    <s v="Card"/>
    <x v="1"/>
    <x v="0"/>
  </r>
  <r>
    <s v="ORD100264"/>
    <d v="2025-12-02T00:00:00"/>
    <x v="2"/>
    <s v="Bengaluru"/>
    <x v="5"/>
    <s v="Consumer"/>
    <x v="0"/>
    <s v="Monitor"/>
    <x v="256"/>
    <n v="4"/>
    <n v="2391.31"/>
    <n v="5"/>
    <x v="262"/>
    <n v="5402.06"/>
    <n v="3684.92"/>
    <x v="0"/>
    <s v="Cash"/>
    <x v="11"/>
    <x v="0"/>
  </r>
  <r>
    <s v="ORD100265"/>
    <d v="2026-02-19T00:00:00"/>
    <x v="1"/>
    <s v="Delhi"/>
    <x v="2"/>
    <s v="Corporate"/>
    <x v="2"/>
    <s v="Notebook"/>
    <x v="257"/>
    <n v="12"/>
    <n v="2905.2"/>
    <n v="20"/>
    <x v="263"/>
    <n v="15955.59"/>
    <n v="11934.33"/>
    <x v="1"/>
    <s v="Net Banking"/>
    <x v="2"/>
    <x v="1"/>
  </r>
  <r>
    <s v="ORD100266"/>
    <d v="2025-10-21T00:00:00"/>
    <x v="2"/>
    <s v="Chennai"/>
    <x v="5"/>
    <s v="Consumer"/>
    <x v="0"/>
    <s v="Keyboard"/>
    <x v="258"/>
    <n v="7"/>
    <n v="513.6"/>
    <n v="15"/>
    <x v="264"/>
    <n v="1692.31"/>
    <n v="1363.61"/>
    <x v="1"/>
    <s v="Net Banking"/>
    <x v="1"/>
    <x v="0"/>
  </r>
  <r>
    <s v="ORD100267"/>
    <d v="2025-03-03T00:00:00"/>
    <x v="3"/>
    <s v="Bhubaneswar"/>
    <x v="0"/>
    <s v="Corporate"/>
    <x v="2"/>
    <s v="Paper"/>
    <x v="259"/>
    <n v="4"/>
    <n v="1633.37"/>
    <n v="10"/>
    <x v="265"/>
    <n v="4276.92"/>
    <n v="1603.21"/>
    <x v="1"/>
    <s v="Card"/>
    <x v="3"/>
    <x v="0"/>
  </r>
  <r>
    <s v="ORD100268"/>
    <d v="2026-04-20T00:00:00"/>
    <x v="3"/>
    <s v="Kolkata"/>
    <x v="5"/>
    <s v="Small Business"/>
    <x v="2"/>
    <s v="Pens"/>
    <x v="260"/>
    <n v="3"/>
    <n v="2627.11"/>
    <n v="5"/>
    <x v="266"/>
    <n v="5184.57"/>
    <n v="2302.69"/>
    <x v="0"/>
    <s v="UPI"/>
    <x v="7"/>
    <x v="1"/>
  </r>
  <r>
    <s v="ORD100269"/>
    <d v="2025-04-20T00:00:00"/>
    <x v="0"/>
    <s v="Mumbai"/>
    <x v="6"/>
    <s v="Corporate"/>
    <x v="0"/>
    <s v="Mouse"/>
    <x v="261"/>
    <n v="15"/>
    <n v="3089.09"/>
    <n v="5"/>
    <x v="267"/>
    <n v="24950.04"/>
    <n v="19069.490000000002"/>
    <x v="0"/>
    <s v="Net Banking"/>
    <x v="7"/>
    <x v="0"/>
  </r>
  <r>
    <s v="ORD100270"/>
    <d v="2025-05-20T00:00:00"/>
    <x v="0"/>
    <s v="Ahmedabad"/>
    <x v="3"/>
    <s v="Corporate"/>
    <x v="0"/>
    <s v="Mouse"/>
    <x v="262"/>
    <n v="7"/>
    <n v="4116.8"/>
    <n v="10"/>
    <x v="268"/>
    <n v="17956.63"/>
    <n v="7979.21"/>
    <x v="2"/>
    <s v="UPI"/>
    <x v="0"/>
    <x v="0"/>
  </r>
  <r>
    <s v="ORD100271"/>
    <d v="2025-02-23T00:00:00"/>
    <x v="1"/>
    <s v="Chandigarh"/>
    <x v="0"/>
    <s v="Consumer"/>
    <x v="1"/>
    <s v="Bookshelf"/>
    <x v="263"/>
    <n v="11"/>
    <n v="2425.1799999999998"/>
    <n v="10"/>
    <x v="269"/>
    <n v="16234.45"/>
    <n v="7774.83"/>
    <x v="2"/>
    <s v="Net Banking"/>
    <x v="2"/>
    <x v="0"/>
  </r>
  <r>
    <s v="ORD100272"/>
    <d v="2026-06-13T00:00:00"/>
    <x v="0"/>
    <s v="Mumbai"/>
    <x v="4"/>
    <s v="Corporate"/>
    <x v="1"/>
    <s v="Chair"/>
    <x v="264"/>
    <n v="12"/>
    <n v="2248.36"/>
    <n v="15"/>
    <x v="270"/>
    <n v="13787.64"/>
    <n v="9145.6299999999992"/>
    <x v="1"/>
    <s v="Net Banking"/>
    <x v="10"/>
    <x v="1"/>
  </r>
  <r>
    <s v="ORD100273"/>
    <d v="2025-01-14T00:00:00"/>
    <x v="2"/>
    <s v="Chennai"/>
    <x v="1"/>
    <s v="Consumer"/>
    <x v="0"/>
    <s v="Monitor"/>
    <x v="265"/>
    <n v="4"/>
    <n v="2274.5100000000002"/>
    <n v="0"/>
    <x v="271"/>
    <n v="5505.42"/>
    <n v="3592.62"/>
    <x v="2"/>
    <s v="Cash"/>
    <x v="9"/>
    <x v="0"/>
  </r>
  <r>
    <s v="ORD100274"/>
    <d v="2026-04-06T00:00:00"/>
    <x v="3"/>
    <s v="Bhubaneswar"/>
    <x v="2"/>
    <s v="Consumer"/>
    <x v="2"/>
    <s v="Folders"/>
    <x v="266"/>
    <n v="9"/>
    <n v="1210.1600000000001"/>
    <n v="10"/>
    <x v="272"/>
    <n v="6135.7"/>
    <n v="3666.6"/>
    <x v="1"/>
    <s v="Card"/>
    <x v="7"/>
    <x v="1"/>
  </r>
  <r>
    <s v="ORD100275"/>
    <d v="2025-01-26T00:00:00"/>
    <x v="2"/>
    <s v="Chennai"/>
    <x v="2"/>
    <s v="Corporate"/>
    <x v="0"/>
    <s v="Mouse"/>
    <x v="267"/>
    <n v="11"/>
    <n v="2047.56"/>
    <n v="20"/>
    <x v="273"/>
    <n v="10680.47"/>
    <n v="7338.06"/>
    <x v="1"/>
    <s v="Cash"/>
    <x v="9"/>
    <x v="0"/>
  </r>
  <r>
    <s v="ORD100276"/>
    <d v="2025-08-28T00:00:00"/>
    <x v="3"/>
    <s v="Kolkata"/>
    <x v="7"/>
    <s v="Small Business"/>
    <x v="0"/>
    <s v="Monitor"/>
    <x v="268"/>
    <n v="4"/>
    <n v="2705.1"/>
    <n v="5"/>
    <x v="274"/>
    <n v="7536.1"/>
    <n v="2743.28"/>
    <x v="0"/>
    <s v="Card"/>
    <x v="6"/>
    <x v="0"/>
  </r>
  <r>
    <s v="ORD100277"/>
    <d v="2025-12-01T00:00:00"/>
    <x v="2"/>
    <s v="Chennai"/>
    <x v="1"/>
    <s v="Small Business"/>
    <x v="1"/>
    <s v="Chair"/>
    <x v="269"/>
    <n v="3"/>
    <n v="1963.72"/>
    <n v="0"/>
    <x v="275"/>
    <n v="4550.1400000000003"/>
    <n v="1341.02"/>
    <x v="2"/>
    <s v="Card"/>
    <x v="11"/>
    <x v="0"/>
  </r>
  <r>
    <s v="ORD100278"/>
    <d v="2026-06-30T00:00:00"/>
    <x v="2"/>
    <s v="Bengaluru"/>
    <x v="3"/>
    <s v="Consumer"/>
    <x v="1"/>
    <s v="Cabinet"/>
    <x v="270"/>
    <n v="13"/>
    <n v="2166.14"/>
    <n v="5"/>
    <x v="276"/>
    <n v="18442.25"/>
    <n v="8309.58"/>
    <x v="1"/>
    <s v="Net Banking"/>
    <x v="10"/>
    <x v="1"/>
  </r>
  <r>
    <s v="ORD100279"/>
    <d v="2026-04-13T00:00:00"/>
    <x v="0"/>
    <s v="Ahmedabad"/>
    <x v="0"/>
    <s v="Corporate"/>
    <x v="2"/>
    <s v="Printer Ink"/>
    <x v="271"/>
    <n v="5"/>
    <n v="4066.74"/>
    <n v="0"/>
    <x v="277"/>
    <n v="15723.69"/>
    <n v="4610.01"/>
    <x v="2"/>
    <s v="UPI"/>
    <x v="7"/>
    <x v="1"/>
  </r>
  <r>
    <s v="ORD100280"/>
    <d v="2026-02-16T00:00:00"/>
    <x v="0"/>
    <s v="Mumbai"/>
    <x v="1"/>
    <s v="Corporate"/>
    <x v="2"/>
    <s v="Notebook"/>
    <x v="3"/>
    <n v="9"/>
    <n v="1380.47"/>
    <n v="20"/>
    <x v="278"/>
    <n v="7189.76"/>
    <n v="2749.62"/>
    <x v="1"/>
    <s v="Net Banking"/>
    <x v="2"/>
    <x v="1"/>
  </r>
  <r>
    <s v="ORD100281"/>
    <d v="2025-07-25T00:00:00"/>
    <x v="1"/>
    <s v="Chandigarh"/>
    <x v="6"/>
    <s v="Small Business"/>
    <x v="0"/>
    <s v="Laptop"/>
    <x v="272"/>
    <n v="12"/>
    <n v="2666.75"/>
    <n v="0"/>
    <x v="279"/>
    <n v="18304.560000000001"/>
    <n v="13696.44"/>
    <x v="1"/>
    <s v="Card"/>
    <x v="5"/>
    <x v="0"/>
  </r>
  <r>
    <s v="ORD100282"/>
    <d v="2025-12-01T00:00:00"/>
    <x v="1"/>
    <s v="Delhi"/>
    <x v="6"/>
    <s v="Small Business"/>
    <x v="0"/>
    <s v="Headphones"/>
    <x v="273"/>
    <n v="9"/>
    <n v="966.57"/>
    <n v="20"/>
    <x v="280"/>
    <n v="5404.11"/>
    <n v="1555.19"/>
    <x v="1"/>
    <s v="Net Banking"/>
    <x v="11"/>
    <x v="0"/>
  </r>
  <r>
    <s v="ORD100283"/>
    <d v="2025-11-19T00:00:00"/>
    <x v="2"/>
    <s v="Bengaluru"/>
    <x v="3"/>
    <s v="Small Business"/>
    <x v="2"/>
    <s v="Paper"/>
    <x v="274"/>
    <n v="3"/>
    <n v="2138.96"/>
    <n v="20"/>
    <x v="281"/>
    <n v="3109.09"/>
    <n v="2024.41"/>
    <x v="2"/>
    <s v="UPI"/>
    <x v="8"/>
    <x v="0"/>
  </r>
  <r>
    <s v="ORD100284"/>
    <d v="2026-06-05T00:00:00"/>
    <x v="1"/>
    <s v="Delhi"/>
    <x v="3"/>
    <s v="Small Business"/>
    <x v="1"/>
    <s v="Chair"/>
    <x v="275"/>
    <n v="8"/>
    <n v="860.4"/>
    <n v="15"/>
    <x v="282"/>
    <n v="3526.73"/>
    <n v="2323.9899999999998"/>
    <x v="0"/>
    <s v="Cash"/>
    <x v="10"/>
    <x v="1"/>
  </r>
  <r>
    <s v="ORD100285"/>
    <d v="2025-05-11T00:00:00"/>
    <x v="0"/>
    <s v="Mumbai"/>
    <x v="3"/>
    <s v="Consumer"/>
    <x v="0"/>
    <s v="Mouse"/>
    <x v="276"/>
    <n v="1"/>
    <n v="4070.83"/>
    <n v="20"/>
    <x v="283"/>
    <n v="2384.9699999999998"/>
    <n v="871.69"/>
    <x v="1"/>
    <s v="Net Banking"/>
    <x v="0"/>
    <x v="0"/>
  </r>
  <r>
    <s v="ORD100286"/>
    <d v="2026-04-09T00:00:00"/>
    <x v="3"/>
    <s v="Kolkata"/>
    <x v="0"/>
    <s v="Small Business"/>
    <x v="2"/>
    <s v="Printer Ink"/>
    <x v="277"/>
    <n v="11"/>
    <n v="1611.85"/>
    <n v="20"/>
    <x v="284"/>
    <n v="10965.29"/>
    <n v="3218.99"/>
    <x v="1"/>
    <s v="Net Banking"/>
    <x v="7"/>
    <x v="1"/>
  </r>
  <r>
    <s v="ORD100287"/>
    <d v="2025-09-03T00:00:00"/>
    <x v="0"/>
    <s v="Ahmedabad"/>
    <x v="0"/>
    <s v="Consumer"/>
    <x v="1"/>
    <s v="Cabinet"/>
    <x v="278"/>
    <n v="1"/>
    <n v="4154.8"/>
    <n v="15"/>
    <x v="285"/>
    <n v="2295.3200000000002"/>
    <n v="1236.26"/>
    <x v="0"/>
    <s v="Cash"/>
    <x v="4"/>
    <x v="0"/>
  </r>
  <r>
    <s v="ORD100288"/>
    <d v="2025-06-06T00:00:00"/>
    <x v="3"/>
    <s v="Bhubaneswar"/>
    <x v="7"/>
    <s v="Corporate"/>
    <x v="1"/>
    <s v="Cabinet"/>
    <x v="279"/>
    <n v="9"/>
    <n v="2099.2800000000002"/>
    <n v="15"/>
    <x v="286"/>
    <n v="10992.34"/>
    <n v="5067.1499999999996"/>
    <x v="2"/>
    <s v="Cash"/>
    <x v="10"/>
    <x v="0"/>
  </r>
  <r>
    <s v="ORD100289"/>
    <d v="2025-05-08T00:00:00"/>
    <x v="1"/>
    <s v="Chandigarh"/>
    <x v="2"/>
    <s v="Small Business"/>
    <x v="2"/>
    <s v="Paper"/>
    <x v="280"/>
    <n v="13"/>
    <n v="1690.61"/>
    <n v="0"/>
    <x v="287"/>
    <n v="13599.48"/>
    <n v="8378.4500000000007"/>
    <x v="0"/>
    <s v="UPI"/>
    <x v="0"/>
    <x v="0"/>
  </r>
  <r>
    <s v="ORD100290"/>
    <d v="2025-05-02T00:00:00"/>
    <x v="0"/>
    <s v="Ahmedabad"/>
    <x v="4"/>
    <s v="Small Business"/>
    <x v="2"/>
    <s v="Paper"/>
    <x v="259"/>
    <n v="6"/>
    <n v="4684.8900000000003"/>
    <n v="15"/>
    <x v="288"/>
    <n v="16658.330000000002"/>
    <n v="7234.61"/>
    <x v="0"/>
    <s v="Net Banking"/>
    <x v="0"/>
    <x v="0"/>
  </r>
  <r>
    <s v="ORD100291"/>
    <d v="2025-12-02T00:00:00"/>
    <x v="2"/>
    <s v="Bengaluru"/>
    <x v="7"/>
    <s v="Small Business"/>
    <x v="2"/>
    <s v="Printer Ink"/>
    <x v="281"/>
    <n v="8"/>
    <n v="4070.82"/>
    <n v="15"/>
    <x v="289"/>
    <n v="16628.669999999998"/>
    <n v="11052.91"/>
    <x v="1"/>
    <s v="Card"/>
    <x v="11"/>
    <x v="0"/>
  </r>
  <r>
    <s v="ORD100292"/>
    <d v="2025-09-25T00:00:00"/>
    <x v="3"/>
    <s v="Kolkata"/>
    <x v="4"/>
    <s v="Corporate"/>
    <x v="0"/>
    <s v="Mouse"/>
    <x v="282"/>
    <n v="14"/>
    <n v="3511"/>
    <n v="5"/>
    <x v="290"/>
    <n v="25742.67"/>
    <n v="20953.63"/>
    <x v="2"/>
    <s v="Card"/>
    <x v="4"/>
    <x v="0"/>
  </r>
  <r>
    <s v="ORD100293"/>
    <d v="2025-07-10T00:00:00"/>
    <x v="3"/>
    <s v="Kolkata"/>
    <x v="2"/>
    <s v="Corporate"/>
    <x v="1"/>
    <s v="Bookshelf"/>
    <x v="283"/>
    <n v="14"/>
    <n v="3455.07"/>
    <n v="5"/>
    <x v="291"/>
    <n v="31248.44"/>
    <n v="14703.99"/>
    <x v="0"/>
    <s v="Card"/>
    <x v="5"/>
    <x v="0"/>
  </r>
  <r>
    <s v="ORD100294"/>
    <d v="2026-02-22T00:00:00"/>
    <x v="0"/>
    <s v="Ahmedabad"/>
    <x v="0"/>
    <s v="Consumer"/>
    <x v="2"/>
    <s v="Pens"/>
    <x v="284"/>
    <n v="14"/>
    <n v="979.64"/>
    <n v="0"/>
    <x v="292"/>
    <n v="8854.76"/>
    <n v="4860.2"/>
    <x v="0"/>
    <s v="Cash"/>
    <x v="2"/>
    <x v="1"/>
  </r>
  <r>
    <s v="ORD100295"/>
    <d v="2025-03-09T00:00:00"/>
    <x v="1"/>
    <s v="Chandigarh"/>
    <x v="6"/>
    <s v="Corporate"/>
    <x v="2"/>
    <s v="Folders"/>
    <x v="285"/>
    <n v="14"/>
    <n v="4285.1499999999996"/>
    <n v="20"/>
    <x v="293"/>
    <n v="31301.13"/>
    <n v="16692.55"/>
    <x v="2"/>
    <s v="Cash"/>
    <x v="3"/>
    <x v="0"/>
  </r>
  <r>
    <s v="ORD100296"/>
    <d v="2025-07-04T00:00:00"/>
    <x v="0"/>
    <s v="Mumbai"/>
    <x v="7"/>
    <s v="Small Business"/>
    <x v="0"/>
    <s v="Keyboard"/>
    <x v="286"/>
    <n v="2"/>
    <n v="3045.13"/>
    <n v="20"/>
    <x v="294"/>
    <n v="3283.23"/>
    <n v="1588.98"/>
    <x v="2"/>
    <s v="UPI"/>
    <x v="5"/>
    <x v="0"/>
  </r>
  <r>
    <s v="ORD100297"/>
    <d v="2025-12-07T00:00:00"/>
    <x v="0"/>
    <s v="Ahmedabad"/>
    <x v="1"/>
    <s v="Consumer"/>
    <x v="0"/>
    <s v="Laptop"/>
    <x v="287"/>
    <n v="8"/>
    <n v="1646.49"/>
    <n v="5"/>
    <x v="295"/>
    <n v="7118.17"/>
    <n v="5395.15"/>
    <x v="2"/>
    <s v="Net Banking"/>
    <x v="11"/>
    <x v="0"/>
  </r>
  <r>
    <s v="ORD100298"/>
    <d v="2026-05-18T00:00:00"/>
    <x v="3"/>
    <s v="Kolkata"/>
    <x v="1"/>
    <s v="Small Business"/>
    <x v="0"/>
    <s v="Headphones"/>
    <x v="288"/>
    <n v="13"/>
    <n v="2509.36"/>
    <n v="5"/>
    <x v="296"/>
    <n v="21844.41"/>
    <n v="9146.19"/>
    <x v="2"/>
    <s v="Net Banking"/>
    <x v="0"/>
    <x v="1"/>
  </r>
  <r>
    <s v="ORD100299"/>
    <d v="2025-09-17T00:00:00"/>
    <x v="0"/>
    <s v="Mumbai"/>
    <x v="3"/>
    <s v="Consumer"/>
    <x v="1"/>
    <s v="Table"/>
    <x v="289"/>
    <n v="4"/>
    <n v="1123.51"/>
    <n v="5"/>
    <x v="297"/>
    <n v="3042.54"/>
    <n v="1226.8"/>
    <x v="0"/>
    <s v="Net Banking"/>
    <x v="4"/>
    <x v="0"/>
  </r>
  <r>
    <s v="ORD100300"/>
    <d v="2025-10-18T00:00:00"/>
    <x v="2"/>
    <s v="Bengaluru"/>
    <x v="5"/>
    <s v="Small Business"/>
    <x v="0"/>
    <s v="Mouse"/>
    <x v="290"/>
    <n v="11"/>
    <n v="2489.8000000000002"/>
    <n v="20"/>
    <x v="298"/>
    <n v="16141.62"/>
    <n v="5768.62"/>
    <x v="0"/>
    <s v="Cash"/>
    <x v="1"/>
    <x v="0"/>
  </r>
  <r>
    <s v="ORD100301"/>
    <d v="2025-06-04T00:00:00"/>
    <x v="2"/>
    <s v="Chennai"/>
    <x v="2"/>
    <s v="Small Business"/>
    <x v="2"/>
    <s v="Folders"/>
    <x v="291"/>
    <n v="3"/>
    <n v="1500.34"/>
    <n v="15"/>
    <x v="299"/>
    <n v="2694.22"/>
    <n v="1131.6500000000001"/>
    <x v="0"/>
    <s v="UPI"/>
    <x v="10"/>
    <x v="0"/>
  </r>
  <r>
    <s v="ORD100302"/>
    <d v="2025-12-18T00:00:00"/>
    <x v="0"/>
    <s v="Ahmedabad"/>
    <x v="3"/>
    <s v="Consumer"/>
    <x v="2"/>
    <s v="Printer Ink"/>
    <x v="292"/>
    <n v="8"/>
    <n v="2709.67"/>
    <n v="20"/>
    <x v="300"/>
    <n v="9917.4599999999991"/>
    <n v="7424.43"/>
    <x v="0"/>
    <s v="Card"/>
    <x v="11"/>
    <x v="0"/>
  </r>
  <r>
    <s v="ORD100303"/>
    <d v="2026-03-27T00:00:00"/>
    <x v="3"/>
    <s v="Bhubaneswar"/>
    <x v="4"/>
    <s v="Corporate"/>
    <x v="1"/>
    <s v="Desk"/>
    <x v="293"/>
    <n v="12"/>
    <n v="2637.51"/>
    <n v="10"/>
    <x v="301"/>
    <n v="16751.68"/>
    <n v="11733.43"/>
    <x v="0"/>
    <s v="Card"/>
    <x v="3"/>
    <x v="1"/>
  </r>
  <r>
    <s v="ORD100304"/>
    <d v="2025-11-04T00:00:00"/>
    <x v="2"/>
    <s v="Chennai"/>
    <x v="5"/>
    <s v="Corporate"/>
    <x v="1"/>
    <s v="Bookshelf"/>
    <x v="294"/>
    <n v="10"/>
    <n v="279.14"/>
    <n v="20"/>
    <x v="302"/>
    <n v="1782.7"/>
    <n v="450.42"/>
    <x v="2"/>
    <s v="UPI"/>
    <x v="8"/>
    <x v="0"/>
  </r>
  <r>
    <s v="ORD100305"/>
    <d v="2026-05-31T00:00:00"/>
    <x v="1"/>
    <s v="Chandigarh"/>
    <x v="5"/>
    <s v="Small Business"/>
    <x v="0"/>
    <s v="Headphones"/>
    <x v="295"/>
    <n v="4"/>
    <n v="1041.0899999999999"/>
    <n v="15"/>
    <x v="303"/>
    <n v="2563.71"/>
    <n v="976"/>
    <x v="1"/>
    <s v="Card"/>
    <x v="0"/>
    <x v="1"/>
  </r>
  <r>
    <s v="ORD100306"/>
    <d v="2026-06-05T00:00:00"/>
    <x v="0"/>
    <s v="Ahmedabad"/>
    <x v="2"/>
    <s v="Corporate"/>
    <x v="0"/>
    <s v="Laptop"/>
    <x v="296"/>
    <n v="9"/>
    <n v="1372.24"/>
    <n v="0"/>
    <x v="304"/>
    <n v="9918.41"/>
    <n v="2431.75"/>
    <x v="2"/>
    <s v="UPI"/>
    <x v="10"/>
    <x v="1"/>
  </r>
  <r>
    <s v="ORD100307"/>
    <d v="2025-10-02T00:00:00"/>
    <x v="3"/>
    <s v="Kolkata"/>
    <x v="6"/>
    <s v="Small Business"/>
    <x v="2"/>
    <s v="Pens"/>
    <x v="297"/>
    <n v="6"/>
    <n v="2199.9299999999998"/>
    <n v="10"/>
    <x v="305"/>
    <n v="9018.18"/>
    <n v="2861.44"/>
    <x v="2"/>
    <s v="Net Banking"/>
    <x v="1"/>
    <x v="0"/>
  </r>
  <r>
    <s v="ORD100308"/>
    <d v="2025-11-11T00:00:00"/>
    <x v="3"/>
    <s v="Bhubaneswar"/>
    <x v="4"/>
    <s v="Consumer"/>
    <x v="0"/>
    <s v="Mouse"/>
    <x v="298"/>
    <n v="10"/>
    <n v="4422.6499999999996"/>
    <n v="5"/>
    <x v="306"/>
    <n v="33074.94"/>
    <n v="8940.23"/>
    <x v="1"/>
    <s v="Cash"/>
    <x v="8"/>
    <x v="0"/>
  </r>
  <r>
    <s v="ORD100309"/>
    <d v="2025-09-01T00:00:00"/>
    <x v="1"/>
    <s v="Chandigarh"/>
    <x v="1"/>
    <s v="Small Business"/>
    <x v="1"/>
    <s v="Table"/>
    <x v="299"/>
    <n v="13"/>
    <n v="4845.3900000000003"/>
    <n v="0"/>
    <x v="307"/>
    <n v="49793.14"/>
    <n v="13196.93"/>
    <x v="0"/>
    <s v="Net Banking"/>
    <x v="4"/>
    <x v="0"/>
  </r>
  <r>
    <s v="ORD100310"/>
    <d v="2025-10-15T00:00:00"/>
    <x v="1"/>
    <s v="Delhi"/>
    <x v="4"/>
    <s v="Consumer"/>
    <x v="2"/>
    <s v="Pens"/>
    <x v="300"/>
    <n v="14"/>
    <n v="2812.72"/>
    <n v="0"/>
    <x v="308"/>
    <n v="24265.18"/>
    <n v="15112.9"/>
    <x v="2"/>
    <s v="UPI"/>
    <x v="1"/>
    <x v="0"/>
  </r>
  <r>
    <s v="ORD100311"/>
    <d v="2025-06-22T00:00:00"/>
    <x v="3"/>
    <s v="Kolkata"/>
    <x v="7"/>
    <s v="Corporate"/>
    <x v="0"/>
    <s v="Monitor"/>
    <x v="301"/>
    <n v="7"/>
    <n v="4555.4399999999996"/>
    <n v="0"/>
    <x v="309"/>
    <n v="19811.8"/>
    <n v="12076.28"/>
    <x v="2"/>
    <s v="Card"/>
    <x v="10"/>
    <x v="0"/>
  </r>
  <r>
    <s v="ORD100312"/>
    <d v="2025-01-28T00:00:00"/>
    <x v="2"/>
    <s v="Bengaluru"/>
    <x v="4"/>
    <s v="Consumer"/>
    <x v="0"/>
    <s v="Keyboard"/>
    <x v="302"/>
    <n v="13"/>
    <n v="509.69"/>
    <n v="15"/>
    <x v="310"/>
    <n v="4485.1899999999996"/>
    <n v="1146.8800000000001"/>
    <x v="1"/>
    <s v="UPI"/>
    <x v="9"/>
    <x v="0"/>
  </r>
  <r>
    <s v="ORD100313"/>
    <d v="2025-05-01T00:00:00"/>
    <x v="3"/>
    <s v="Bhubaneswar"/>
    <x v="0"/>
    <s v="Small Business"/>
    <x v="0"/>
    <s v="Headphones"/>
    <x v="303"/>
    <n v="9"/>
    <n v="2361.2600000000002"/>
    <n v="0"/>
    <x v="311"/>
    <n v="15691.52"/>
    <n v="5559.82"/>
    <x v="2"/>
    <s v="Net Banking"/>
    <x v="0"/>
    <x v="0"/>
  </r>
  <r>
    <s v="ORD100314"/>
    <d v="2025-04-06T00:00:00"/>
    <x v="2"/>
    <s v="Chennai"/>
    <x v="7"/>
    <s v="Consumer"/>
    <x v="1"/>
    <s v="Desk"/>
    <x v="304"/>
    <n v="1"/>
    <n v="3769.8"/>
    <n v="10"/>
    <x v="312"/>
    <n v="2626.69"/>
    <n v="766.13"/>
    <x v="0"/>
    <s v="Net Banking"/>
    <x v="7"/>
    <x v="0"/>
  </r>
  <r>
    <s v="ORD100315"/>
    <d v="2025-02-20T00:00:00"/>
    <x v="2"/>
    <s v="Bengaluru"/>
    <x v="5"/>
    <s v="Consumer"/>
    <x v="0"/>
    <s v="Laptop"/>
    <x v="305"/>
    <n v="4"/>
    <n v="1256.76"/>
    <n v="0"/>
    <x v="313"/>
    <n v="3027.3"/>
    <n v="1999.74"/>
    <x v="2"/>
    <s v="Card"/>
    <x v="2"/>
    <x v="0"/>
  </r>
  <r>
    <s v="ORD100316"/>
    <d v="2025-10-09T00:00:00"/>
    <x v="0"/>
    <s v="Ahmedabad"/>
    <x v="7"/>
    <s v="Consumer"/>
    <x v="0"/>
    <s v="Headphones"/>
    <x v="306"/>
    <n v="5"/>
    <n v="2182.9899999999998"/>
    <n v="0"/>
    <x v="314"/>
    <n v="8297.2000000000007"/>
    <n v="2617.75"/>
    <x v="1"/>
    <s v="Net Banking"/>
    <x v="1"/>
    <x v="0"/>
  </r>
  <r>
    <s v="ORD100317"/>
    <d v="2025-07-08T00:00:00"/>
    <x v="3"/>
    <s v="Kolkata"/>
    <x v="4"/>
    <s v="Consumer"/>
    <x v="0"/>
    <s v="Headphones"/>
    <x v="307"/>
    <n v="11"/>
    <n v="2256.34"/>
    <n v="0"/>
    <x v="315"/>
    <n v="17937.02"/>
    <n v="6882.72"/>
    <x v="0"/>
    <s v="UPI"/>
    <x v="5"/>
    <x v="0"/>
  </r>
  <r>
    <s v="ORD100318"/>
    <d v="2025-02-10T00:00:00"/>
    <x v="0"/>
    <s v="Ahmedabad"/>
    <x v="0"/>
    <s v="Consumer"/>
    <x v="1"/>
    <s v="Chair"/>
    <x v="308"/>
    <n v="11"/>
    <n v="2346.25"/>
    <n v="5"/>
    <x v="316"/>
    <n v="18423.62"/>
    <n v="6094.69"/>
    <x v="1"/>
    <s v="UPI"/>
    <x v="2"/>
    <x v="0"/>
  </r>
  <r>
    <s v="ORD100319"/>
    <d v="2026-04-21T00:00:00"/>
    <x v="3"/>
    <s v="Bhubaneswar"/>
    <x v="7"/>
    <s v="Corporate"/>
    <x v="0"/>
    <s v="Laptop"/>
    <x v="309"/>
    <n v="12"/>
    <n v="4804.6099999999997"/>
    <n v="0"/>
    <x v="317"/>
    <n v="32216.57"/>
    <n v="25438.75"/>
    <x v="0"/>
    <s v="Cash"/>
    <x v="7"/>
    <x v="1"/>
  </r>
  <r>
    <s v="ORD100320"/>
    <d v="2025-06-10T00:00:00"/>
    <x v="2"/>
    <s v="Chennai"/>
    <x v="6"/>
    <s v="Small Business"/>
    <x v="1"/>
    <s v="Cabinet"/>
    <x v="310"/>
    <n v="4"/>
    <n v="3210.27"/>
    <n v="5"/>
    <x v="318"/>
    <n v="6951.94"/>
    <n v="5247.09"/>
    <x v="1"/>
    <s v="Net Banking"/>
    <x v="10"/>
    <x v="0"/>
  </r>
  <r>
    <s v="ORD100321"/>
    <d v="2025-10-14T00:00:00"/>
    <x v="2"/>
    <s v="Bengaluru"/>
    <x v="1"/>
    <s v="Corporate"/>
    <x v="1"/>
    <s v="Bookshelf"/>
    <x v="311"/>
    <n v="11"/>
    <n v="1880.55"/>
    <n v="10"/>
    <x v="319"/>
    <n v="10670.32"/>
    <n v="7947.12"/>
    <x v="2"/>
    <s v="Net Banking"/>
    <x v="1"/>
    <x v="0"/>
  </r>
  <r>
    <s v="ORD100322"/>
    <d v="2025-07-23T00:00:00"/>
    <x v="1"/>
    <s v="Delhi"/>
    <x v="0"/>
    <s v="Corporate"/>
    <x v="0"/>
    <s v="Mouse"/>
    <x v="312"/>
    <n v="8"/>
    <n v="1955.59"/>
    <n v="10"/>
    <x v="320"/>
    <n v="8849.07"/>
    <n v="5231.18"/>
    <x v="0"/>
    <s v="Net Banking"/>
    <x v="5"/>
    <x v="0"/>
  </r>
  <r>
    <s v="ORD100323"/>
    <d v="2025-05-13T00:00:00"/>
    <x v="1"/>
    <s v="Delhi"/>
    <x v="3"/>
    <s v="Small Business"/>
    <x v="0"/>
    <s v="Headphones"/>
    <x v="313"/>
    <n v="6"/>
    <n v="2200.34"/>
    <n v="10"/>
    <x v="321"/>
    <n v="8493.49"/>
    <n v="3388.35"/>
    <x v="2"/>
    <s v="UPI"/>
    <x v="0"/>
    <x v="0"/>
  </r>
  <r>
    <s v="ORD100324"/>
    <d v="2026-03-29T00:00:00"/>
    <x v="3"/>
    <s v="Bhubaneswar"/>
    <x v="5"/>
    <s v="Consumer"/>
    <x v="0"/>
    <s v="Keyboard"/>
    <x v="314"/>
    <n v="9"/>
    <n v="506.91"/>
    <n v="5"/>
    <x v="322"/>
    <n v="2561.4699999999998"/>
    <n v="1772.61"/>
    <x v="1"/>
    <s v="Cash"/>
    <x v="3"/>
    <x v="1"/>
  </r>
  <r>
    <s v="ORD100325"/>
    <d v="2025-09-25T00:00:00"/>
    <x v="3"/>
    <s v="Kolkata"/>
    <x v="7"/>
    <s v="Small Business"/>
    <x v="2"/>
    <s v="Folders"/>
    <x v="315"/>
    <n v="1"/>
    <n v="3341.11"/>
    <n v="10"/>
    <x v="323"/>
    <n v="2026.94"/>
    <n v="980.06"/>
    <x v="2"/>
    <s v="Card"/>
    <x v="4"/>
    <x v="0"/>
  </r>
  <r>
    <s v="ORD100326"/>
    <d v="2026-02-27T00:00:00"/>
    <x v="0"/>
    <s v="Ahmedabad"/>
    <x v="2"/>
    <s v="Consumer"/>
    <x v="1"/>
    <s v="Chair"/>
    <x v="316"/>
    <n v="7"/>
    <n v="2679.48"/>
    <n v="0"/>
    <x v="324"/>
    <n v="13619.2"/>
    <n v="5137.16"/>
    <x v="2"/>
    <s v="Cash"/>
    <x v="2"/>
    <x v="1"/>
  </r>
  <r>
    <s v="ORD100327"/>
    <d v="2026-01-14T00:00:00"/>
    <x v="3"/>
    <s v="Bhubaneswar"/>
    <x v="4"/>
    <s v="Consumer"/>
    <x v="0"/>
    <s v="Mouse"/>
    <x v="317"/>
    <n v="13"/>
    <n v="518.65"/>
    <n v="15"/>
    <x v="325"/>
    <n v="3157.28"/>
    <n v="2573.8000000000002"/>
    <x v="0"/>
    <s v="UPI"/>
    <x v="9"/>
    <x v="1"/>
  </r>
  <r>
    <s v="ORD100328"/>
    <d v="2025-12-03T00:00:00"/>
    <x v="3"/>
    <s v="Bhubaneswar"/>
    <x v="4"/>
    <s v="Corporate"/>
    <x v="2"/>
    <s v="Paper"/>
    <x v="318"/>
    <n v="7"/>
    <n v="3117.32"/>
    <n v="10"/>
    <x v="326"/>
    <n v="11905.04"/>
    <n v="7734.08"/>
    <x v="1"/>
    <s v="Cash"/>
    <x v="11"/>
    <x v="0"/>
  </r>
  <r>
    <s v="ORD100329"/>
    <d v="2025-09-21T00:00:00"/>
    <x v="0"/>
    <s v="Ahmedabad"/>
    <x v="2"/>
    <s v="Small Business"/>
    <x v="2"/>
    <s v="Printer Ink"/>
    <x v="319"/>
    <n v="13"/>
    <n v="611.36"/>
    <n v="0"/>
    <x v="327"/>
    <n v="4626.54"/>
    <n v="3321.14"/>
    <x v="1"/>
    <s v="UPI"/>
    <x v="4"/>
    <x v="0"/>
  </r>
  <r>
    <s v="ORD100330"/>
    <d v="2026-01-29T00:00:00"/>
    <x v="1"/>
    <s v="Chandigarh"/>
    <x v="1"/>
    <s v="Consumer"/>
    <x v="1"/>
    <s v="Bookshelf"/>
    <x v="320"/>
    <n v="14"/>
    <n v="2272.67"/>
    <n v="10"/>
    <x v="328"/>
    <n v="21965.42"/>
    <n v="6670.22"/>
    <x v="2"/>
    <s v="Net Banking"/>
    <x v="9"/>
    <x v="1"/>
  </r>
  <r>
    <s v="ORD100331"/>
    <d v="2026-04-24T00:00:00"/>
    <x v="3"/>
    <s v="Kolkata"/>
    <x v="5"/>
    <s v="Consumer"/>
    <x v="0"/>
    <s v="Laptop"/>
    <x v="321"/>
    <n v="8"/>
    <n v="4497.66"/>
    <n v="0"/>
    <x v="329"/>
    <n v="23262.62"/>
    <n v="12718.66"/>
    <x v="1"/>
    <s v="Net Banking"/>
    <x v="7"/>
    <x v="1"/>
  </r>
  <r>
    <s v="ORD100332"/>
    <d v="2025-02-23T00:00:00"/>
    <x v="3"/>
    <s v="Kolkata"/>
    <x v="1"/>
    <s v="Consumer"/>
    <x v="0"/>
    <s v="Keyboard"/>
    <x v="322"/>
    <n v="12"/>
    <n v="612.05999999999995"/>
    <n v="10"/>
    <x v="330"/>
    <n v="4170.8"/>
    <n v="2439.4499999999998"/>
    <x v="1"/>
    <s v="Net Banking"/>
    <x v="2"/>
    <x v="0"/>
  </r>
  <r>
    <s v="ORD100333"/>
    <d v="2025-12-20T00:00:00"/>
    <x v="3"/>
    <s v="Bhubaneswar"/>
    <x v="3"/>
    <s v="Corporate"/>
    <x v="1"/>
    <s v="Chair"/>
    <x v="323"/>
    <n v="5"/>
    <n v="2646.56"/>
    <n v="15"/>
    <x v="331"/>
    <n v="7607.39"/>
    <n v="3640.49"/>
    <x v="2"/>
    <s v="UPI"/>
    <x v="11"/>
    <x v="0"/>
  </r>
  <r>
    <s v="ORD100334"/>
    <d v="2025-11-02T00:00:00"/>
    <x v="2"/>
    <s v="Chennai"/>
    <x v="7"/>
    <s v="Consumer"/>
    <x v="0"/>
    <s v="Monitor"/>
    <x v="324"/>
    <n v="1"/>
    <n v="827.14"/>
    <n v="15"/>
    <x v="332"/>
    <n v="479.41"/>
    <n v="223.66"/>
    <x v="0"/>
    <s v="Net Banking"/>
    <x v="8"/>
    <x v="0"/>
  </r>
  <r>
    <s v="ORD100335"/>
    <d v="2025-08-05T00:00:00"/>
    <x v="1"/>
    <s v="Chandigarh"/>
    <x v="6"/>
    <s v="Corporate"/>
    <x v="1"/>
    <s v="Bookshelf"/>
    <x v="325"/>
    <n v="15"/>
    <n v="4997.2700000000004"/>
    <n v="10"/>
    <x v="333"/>
    <n v="51266.77"/>
    <n v="16196.38"/>
    <x v="2"/>
    <s v="Card"/>
    <x v="6"/>
    <x v="0"/>
  </r>
  <r>
    <s v="ORD100336"/>
    <d v="2026-01-22T00:00:00"/>
    <x v="3"/>
    <s v="Kolkata"/>
    <x v="7"/>
    <s v="Consumer"/>
    <x v="0"/>
    <s v="Headphones"/>
    <x v="326"/>
    <n v="13"/>
    <n v="4534.58"/>
    <n v="20"/>
    <x v="334"/>
    <n v="33910.910000000003"/>
    <n v="13248.72"/>
    <x v="1"/>
    <s v="Cash"/>
    <x v="9"/>
    <x v="1"/>
  </r>
  <r>
    <s v="ORD100337"/>
    <d v="2025-07-17T00:00:00"/>
    <x v="1"/>
    <s v="Delhi"/>
    <x v="5"/>
    <s v="Corporate"/>
    <x v="1"/>
    <s v="Desk"/>
    <x v="327"/>
    <n v="10"/>
    <n v="2194.5"/>
    <n v="0"/>
    <x v="335"/>
    <n v="12777.58"/>
    <n v="9167.42"/>
    <x v="2"/>
    <s v="Cash"/>
    <x v="5"/>
    <x v="0"/>
  </r>
  <r>
    <s v="ORD100338"/>
    <d v="2025-07-13T00:00:00"/>
    <x v="0"/>
    <s v="Ahmedabad"/>
    <x v="0"/>
    <s v="Small Business"/>
    <x v="2"/>
    <s v="Folders"/>
    <x v="328"/>
    <n v="7"/>
    <n v="1219.53"/>
    <n v="15"/>
    <x v="336"/>
    <n v="5044.21"/>
    <n v="2211.9899999999998"/>
    <x v="1"/>
    <s v="Card"/>
    <x v="5"/>
    <x v="0"/>
  </r>
  <r>
    <s v="ORD100339"/>
    <d v="2025-08-30T00:00:00"/>
    <x v="0"/>
    <s v="Ahmedabad"/>
    <x v="5"/>
    <s v="Corporate"/>
    <x v="2"/>
    <s v="Folders"/>
    <x v="329"/>
    <n v="7"/>
    <n v="1694.57"/>
    <n v="20"/>
    <x v="337"/>
    <n v="6953.81"/>
    <n v="2535.7800000000002"/>
    <x v="1"/>
    <s v="Cash"/>
    <x v="6"/>
    <x v="0"/>
  </r>
  <r>
    <s v="ORD100340"/>
    <d v="2025-02-10T00:00:00"/>
    <x v="1"/>
    <s v="Delhi"/>
    <x v="4"/>
    <s v="Corporate"/>
    <x v="2"/>
    <s v="Paper"/>
    <x v="330"/>
    <n v="1"/>
    <n v="575.41999999999996"/>
    <n v="5"/>
    <x v="338"/>
    <n v="387.81"/>
    <n v="158.84"/>
    <x v="1"/>
    <s v="Card"/>
    <x v="2"/>
    <x v="0"/>
  </r>
  <r>
    <s v="ORD100341"/>
    <d v="2026-06-08T00:00:00"/>
    <x v="3"/>
    <s v="Kolkata"/>
    <x v="0"/>
    <s v="Corporate"/>
    <x v="2"/>
    <s v="Pens"/>
    <x v="331"/>
    <n v="4"/>
    <n v="4915.4799999999996"/>
    <n v="15"/>
    <x v="339"/>
    <n v="13561.38"/>
    <n v="3151.25"/>
    <x v="1"/>
    <s v="Cash"/>
    <x v="10"/>
    <x v="1"/>
  </r>
  <r>
    <s v="ORD100342"/>
    <d v="2025-05-01T00:00:00"/>
    <x v="1"/>
    <s v="Delhi"/>
    <x v="3"/>
    <s v="Small Business"/>
    <x v="2"/>
    <s v="Paper"/>
    <x v="274"/>
    <n v="14"/>
    <n v="2559.54"/>
    <n v="15"/>
    <x v="340"/>
    <n v="20511.14"/>
    <n v="9947.39"/>
    <x v="2"/>
    <s v="Cash"/>
    <x v="0"/>
    <x v="0"/>
  </r>
  <r>
    <s v="ORD100343"/>
    <d v="2025-12-29T00:00:00"/>
    <x v="0"/>
    <s v="Ahmedabad"/>
    <x v="1"/>
    <s v="Small Business"/>
    <x v="1"/>
    <s v="Table"/>
    <x v="332"/>
    <n v="6"/>
    <n v="407.97"/>
    <n v="15"/>
    <x v="341"/>
    <n v="1487.75"/>
    <n v="592.9"/>
    <x v="0"/>
    <s v="Card"/>
    <x v="11"/>
    <x v="0"/>
  </r>
  <r>
    <s v="ORD100344"/>
    <d v="2025-06-06T00:00:00"/>
    <x v="3"/>
    <s v="Kolkata"/>
    <x v="7"/>
    <s v="Small Business"/>
    <x v="1"/>
    <s v="Bookshelf"/>
    <x v="333"/>
    <n v="2"/>
    <n v="2319.0100000000002"/>
    <n v="0"/>
    <x v="342"/>
    <n v="2648.51"/>
    <n v="1989.51"/>
    <x v="1"/>
    <s v="UPI"/>
    <x v="10"/>
    <x v="0"/>
  </r>
  <r>
    <s v="ORD100345"/>
    <d v="2026-03-25T00:00:00"/>
    <x v="1"/>
    <s v="Chandigarh"/>
    <x v="5"/>
    <s v="Small Business"/>
    <x v="2"/>
    <s v="Notebook"/>
    <x v="334"/>
    <n v="7"/>
    <n v="569.70000000000005"/>
    <n v="0"/>
    <x v="343"/>
    <n v="3146.55"/>
    <n v="841.35"/>
    <x v="2"/>
    <s v="UPI"/>
    <x v="3"/>
    <x v="1"/>
  </r>
  <r>
    <s v="ORD100346"/>
    <d v="2026-04-20T00:00:00"/>
    <x v="0"/>
    <s v="Ahmedabad"/>
    <x v="6"/>
    <s v="Corporate"/>
    <x v="1"/>
    <s v="Cabinet"/>
    <x v="335"/>
    <n v="5"/>
    <n v="4426.95"/>
    <n v="5"/>
    <x v="344"/>
    <n v="11803.57"/>
    <n v="9224.44"/>
    <x v="2"/>
    <s v="Card"/>
    <x v="7"/>
    <x v="1"/>
  </r>
  <r>
    <s v="ORD100347"/>
    <d v="2025-03-15T00:00:00"/>
    <x v="2"/>
    <s v="Bengaluru"/>
    <x v="3"/>
    <s v="Corporate"/>
    <x v="0"/>
    <s v="Keyboard"/>
    <x v="336"/>
    <n v="12"/>
    <n v="1203.9000000000001"/>
    <n v="20"/>
    <x v="345"/>
    <n v="9219.68"/>
    <n v="2337.7600000000002"/>
    <x v="1"/>
    <s v="Net Banking"/>
    <x v="3"/>
    <x v="0"/>
  </r>
  <r>
    <s v="ORD100348"/>
    <d v="2025-04-25T00:00:00"/>
    <x v="0"/>
    <s v="Mumbai"/>
    <x v="7"/>
    <s v="Small Business"/>
    <x v="2"/>
    <s v="Paper"/>
    <x v="337"/>
    <n v="14"/>
    <n v="3765.9"/>
    <n v="5"/>
    <x v="346"/>
    <n v="28143.67"/>
    <n v="21942.799999999999"/>
    <x v="0"/>
    <s v="Cash"/>
    <x v="7"/>
    <x v="0"/>
  </r>
  <r>
    <s v="ORD100349"/>
    <d v="2025-08-13T00:00:00"/>
    <x v="0"/>
    <s v="Ahmedabad"/>
    <x v="6"/>
    <s v="Consumer"/>
    <x v="1"/>
    <s v="Chair"/>
    <x v="338"/>
    <n v="14"/>
    <n v="375.28"/>
    <n v="5"/>
    <x v="347"/>
    <n v="2833.7"/>
    <n v="2157.52"/>
    <x v="1"/>
    <s v="UPI"/>
    <x v="6"/>
    <x v="0"/>
  </r>
  <r>
    <s v="ORD100350"/>
    <d v="2026-01-11T00:00:00"/>
    <x v="1"/>
    <s v="Delhi"/>
    <x v="2"/>
    <s v="Small Business"/>
    <x v="1"/>
    <s v="Chair"/>
    <x v="339"/>
    <n v="14"/>
    <n v="1785.81"/>
    <n v="20"/>
    <x v="348"/>
    <n v="15308.16"/>
    <n v="4692.91"/>
    <x v="2"/>
    <s v="UPI"/>
    <x v="9"/>
    <x v="1"/>
  </r>
  <r>
    <s v="ORD100351"/>
    <d v="2025-04-21T00:00:00"/>
    <x v="3"/>
    <s v="Bhubaneswar"/>
    <x v="0"/>
    <s v="Consumer"/>
    <x v="2"/>
    <s v="Pens"/>
    <x v="340"/>
    <n v="6"/>
    <n v="3670.7"/>
    <n v="0"/>
    <x v="349"/>
    <n v="14810.3"/>
    <n v="7213.9"/>
    <x v="2"/>
    <s v="Net Banking"/>
    <x v="7"/>
    <x v="0"/>
  </r>
  <r>
    <s v="ORD100352"/>
    <d v="2025-12-04T00:00:00"/>
    <x v="2"/>
    <s v="Bengaluru"/>
    <x v="0"/>
    <s v="Consumer"/>
    <x v="1"/>
    <s v="Chair"/>
    <x v="341"/>
    <n v="12"/>
    <n v="2300.5300000000002"/>
    <n v="15"/>
    <x v="350"/>
    <n v="19137.830000000002"/>
    <n v="4327.58"/>
    <x v="0"/>
    <s v="Card"/>
    <x v="11"/>
    <x v="0"/>
  </r>
  <r>
    <s v="ORD100353"/>
    <d v="2026-06-11T00:00:00"/>
    <x v="1"/>
    <s v="Chandigarh"/>
    <x v="2"/>
    <s v="Small Business"/>
    <x v="0"/>
    <s v="Laptop"/>
    <x v="342"/>
    <n v="5"/>
    <n v="1285.94"/>
    <n v="0"/>
    <x v="351"/>
    <n v="5090.03"/>
    <n v="1339.67"/>
    <x v="2"/>
    <s v="Card"/>
    <x v="10"/>
    <x v="1"/>
  </r>
  <r>
    <s v="ORD100354"/>
    <d v="2025-06-12T00:00:00"/>
    <x v="1"/>
    <s v="Delhi"/>
    <x v="5"/>
    <s v="Consumer"/>
    <x v="2"/>
    <s v="Folders"/>
    <x v="343"/>
    <n v="6"/>
    <n v="4994.17"/>
    <n v="20"/>
    <x v="352"/>
    <n v="14285.82"/>
    <n v="9686.2000000000007"/>
    <x v="2"/>
    <s v="Card"/>
    <x v="10"/>
    <x v="0"/>
  </r>
  <r>
    <s v="ORD100355"/>
    <d v="2025-06-17T00:00:00"/>
    <x v="0"/>
    <s v="Mumbai"/>
    <x v="5"/>
    <s v="Consumer"/>
    <x v="2"/>
    <s v="Pens"/>
    <x v="344"/>
    <n v="8"/>
    <n v="2759.74"/>
    <n v="15"/>
    <x v="353"/>
    <n v="12001.78"/>
    <n v="6764.45"/>
    <x v="2"/>
    <s v="Card"/>
    <x v="10"/>
    <x v="0"/>
  </r>
  <r>
    <s v="ORD100356"/>
    <d v="2026-05-26T00:00:00"/>
    <x v="2"/>
    <s v="Bengaluru"/>
    <x v="4"/>
    <s v="Corporate"/>
    <x v="2"/>
    <s v="Notebook"/>
    <x v="252"/>
    <n v="14"/>
    <n v="1235.6199999999999"/>
    <n v="15"/>
    <x v="354"/>
    <n v="10295.07"/>
    <n v="4408.8100000000004"/>
    <x v="1"/>
    <s v="Net Banking"/>
    <x v="0"/>
    <x v="1"/>
  </r>
  <r>
    <s v="ORD100357"/>
    <d v="2025-05-26T00:00:00"/>
    <x v="1"/>
    <s v="Delhi"/>
    <x v="0"/>
    <s v="Consumer"/>
    <x v="0"/>
    <s v="Headphones"/>
    <x v="345"/>
    <n v="2"/>
    <n v="2239.69"/>
    <n v="20"/>
    <x v="355"/>
    <n v="2385.41"/>
    <n v="1198.0899999999999"/>
    <x v="1"/>
    <s v="Net Banking"/>
    <x v="0"/>
    <x v="0"/>
  </r>
  <r>
    <s v="ORD100358"/>
    <d v="2026-06-07T00:00:00"/>
    <x v="3"/>
    <s v="Kolkata"/>
    <x v="4"/>
    <s v="Small Business"/>
    <x v="0"/>
    <s v="Monitor"/>
    <x v="346"/>
    <n v="5"/>
    <n v="3166.42"/>
    <n v="5"/>
    <x v="356"/>
    <n v="11828.02"/>
    <n v="3212.47"/>
    <x v="2"/>
    <s v="Net Banking"/>
    <x v="10"/>
    <x v="1"/>
  </r>
  <r>
    <s v="ORD100359"/>
    <d v="2025-02-12T00:00:00"/>
    <x v="3"/>
    <s v="Kolkata"/>
    <x v="5"/>
    <s v="Small Business"/>
    <x v="1"/>
    <s v="Cabinet"/>
    <x v="347"/>
    <n v="9"/>
    <n v="4916.95"/>
    <n v="0"/>
    <x v="357"/>
    <n v="27298.65"/>
    <n v="16953.900000000001"/>
    <x v="2"/>
    <s v="Cash"/>
    <x v="2"/>
    <x v="0"/>
  </r>
  <r>
    <s v="ORD100360"/>
    <d v="2025-11-18T00:00:00"/>
    <x v="0"/>
    <s v="Ahmedabad"/>
    <x v="6"/>
    <s v="Corporate"/>
    <x v="0"/>
    <s v="Laptop"/>
    <x v="348"/>
    <n v="9"/>
    <n v="3353.07"/>
    <n v="20"/>
    <x v="358"/>
    <n v="15346.76"/>
    <n v="8795.34"/>
    <x v="1"/>
    <s v="Cash"/>
    <x v="8"/>
    <x v="0"/>
  </r>
  <r>
    <s v="ORD100361"/>
    <d v="2026-04-29T00:00:00"/>
    <x v="2"/>
    <s v="Chennai"/>
    <x v="5"/>
    <s v="Small Business"/>
    <x v="2"/>
    <s v="Folders"/>
    <x v="349"/>
    <n v="8"/>
    <n v="4692.12"/>
    <n v="20"/>
    <x v="359"/>
    <n v="20012.03"/>
    <n v="10017.540000000001"/>
    <x v="2"/>
    <s v="Cash"/>
    <x v="7"/>
    <x v="1"/>
  </r>
  <r>
    <s v="ORD100362"/>
    <d v="2025-02-04T00:00:00"/>
    <x v="2"/>
    <s v="Bengaluru"/>
    <x v="4"/>
    <s v="Corporate"/>
    <x v="2"/>
    <s v="Paper"/>
    <x v="350"/>
    <n v="10"/>
    <n v="215.41"/>
    <n v="0"/>
    <x v="360"/>
    <n v="1555.47"/>
    <n v="598.63"/>
    <x v="2"/>
    <s v="UPI"/>
    <x v="2"/>
    <x v="0"/>
  </r>
  <r>
    <s v="ORD100363"/>
    <d v="2026-06-22T00:00:00"/>
    <x v="1"/>
    <s v="Delhi"/>
    <x v="2"/>
    <s v="Consumer"/>
    <x v="1"/>
    <s v="Desk"/>
    <x v="351"/>
    <n v="7"/>
    <n v="778.55"/>
    <n v="20"/>
    <x v="361"/>
    <n v="3525.9"/>
    <n v="833.98"/>
    <x v="0"/>
    <s v="Card"/>
    <x v="10"/>
    <x v="1"/>
  </r>
  <r>
    <s v="ORD100364"/>
    <d v="2025-07-26T00:00:00"/>
    <x v="0"/>
    <s v="Ahmedabad"/>
    <x v="3"/>
    <s v="Corporate"/>
    <x v="0"/>
    <s v="Monitor"/>
    <x v="352"/>
    <n v="15"/>
    <n v="1125.8599999999999"/>
    <n v="0"/>
    <x v="362"/>
    <n v="12500.67"/>
    <n v="4387.2299999999996"/>
    <x v="0"/>
    <s v="UPI"/>
    <x v="5"/>
    <x v="0"/>
  </r>
  <r>
    <s v="ORD100365"/>
    <d v="2025-03-25T00:00:00"/>
    <x v="0"/>
    <s v="Mumbai"/>
    <x v="1"/>
    <s v="Small Business"/>
    <x v="2"/>
    <s v="Folders"/>
    <x v="353"/>
    <n v="4"/>
    <n v="3471.62"/>
    <n v="15"/>
    <x v="363"/>
    <n v="6711.23"/>
    <n v="5092.28"/>
    <x v="0"/>
    <s v="Cash"/>
    <x v="3"/>
    <x v="0"/>
  </r>
  <r>
    <s v="ORD100366"/>
    <d v="2025-09-20T00:00:00"/>
    <x v="3"/>
    <s v="Bhubaneswar"/>
    <x v="6"/>
    <s v="Corporate"/>
    <x v="1"/>
    <s v="Table"/>
    <x v="354"/>
    <n v="7"/>
    <n v="720.6"/>
    <n v="0"/>
    <x v="364"/>
    <n v="3787.77"/>
    <n v="1256.43"/>
    <x v="0"/>
    <s v="Card"/>
    <x v="4"/>
    <x v="0"/>
  </r>
  <r>
    <s v="ORD100367"/>
    <d v="2026-04-14T00:00:00"/>
    <x v="0"/>
    <s v="Ahmedabad"/>
    <x v="7"/>
    <s v="Small Business"/>
    <x v="0"/>
    <s v="Mouse"/>
    <x v="355"/>
    <n v="10"/>
    <n v="1092.51"/>
    <n v="10"/>
    <x v="365"/>
    <n v="5972.36"/>
    <n v="3860.23"/>
    <x v="0"/>
    <s v="Cash"/>
    <x v="7"/>
    <x v="1"/>
  </r>
  <r>
    <s v="ORD100368"/>
    <d v="2025-11-22T00:00:00"/>
    <x v="2"/>
    <s v="Chennai"/>
    <x v="5"/>
    <s v="Corporate"/>
    <x v="2"/>
    <s v="Pens"/>
    <x v="356"/>
    <n v="14"/>
    <n v="657.54"/>
    <n v="10"/>
    <x v="366"/>
    <n v="6546.2"/>
    <n v="1738.8"/>
    <x v="0"/>
    <s v="Net Banking"/>
    <x v="8"/>
    <x v="0"/>
  </r>
  <r>
    <s v="ORD100369"/>
    <d v="2026-01-28T00:00:00"/>
    <x v="0"/>
    <s v="Mumbai"/>
    <x v="7"/>
    <s v="Small Business"/>
    <x v="0"/>
    <s v="Mouse"/>
    <x v="357"/>
    <n v="4"/>
    <n v="4722.33"/>
    <n v="5"/>
    <x v="367"/>
    <n v="12271.25"/>
    <n v="5673.6"/>
    <x v="0"/>
    <s v="Net Banking"/>
    <x v="9"/>
    <x v="1"/>
  </r>
  <r>
    <s v="ORD100370"/>
    <d v="2025-08-28T00:00:00"/>
    <x v="0"/>
    <s v="Ahmedabad"/>
    <x v="7"/>
    <s v="Small Business"/>
    <x v="1"/>
    <s v="Table"/>
    <x v="358"/>
    <n v="4"/>
    <n v="431.22"/>
    <n v="0"/>
    <x v="368"/>
    <n v="1155.9000000000001"/>
    <n v="568.98"/>
    <x v="2"/>
    <s v="UPI"/>
    <x v="6"/>
    <x v="0"/>
  </r>
  <r>
    <s v="ORD100371"/>
    <d v="2025-04-04T00:00:00"/>
    <x v="0"/>
    <s v="Ahmedabad"/>
    <x v="4"/>
    <s v="Small Business"/>
    <x v="1"/>
    <s v="Bookshelf"/>
    <x v="359"/>
    <n v="7"/>
    <n v="2326.0100000000002"/>
    <n v="0"/>
    <x v="369"/>
    <n v="9093.64"/>
    <n v="7188.43"/>
    <x v="1"/>
    <s v="Cash"/>
    <x v="7"/>
    <x v="0"/>
  </r>
  <r>
    <s v="ORD100372"/>
    <d v="2025-10-10T00:00:00"/>
    <x v="2"/>
    <s v="Bengaluru"/>
    <x v="0"/>
    <s v="Small Business"/>
    <x v="0"/>
    <s v="Mouse"/>
    <x v="360"/>
    <n v="8"/>
    <n v="4879.8"/>
    <n v="10"/>
    <x v="370"/>
    <n v="25601.9"/>
    <n v="9532.66"/>
    <x v="0"/>
    <s v="Net Banking"/>
    <x v="1"/>
    <x v="0"/>
  </r>
  <r>
    <s v="ORD100373"/>
    <d v="2025-09-15T00:00:00"/>
    <x v="0"/>
    <s v="Ahmedabad"/>
    <x v="0"/>
    <s v="Small Business"/>
    <x v="1"/>
    <s v="Cabinet"/>
    <x v="361"/>
    <n v="15"/>
    <n v="3689.27"/>
    <n v="15"/>
    <x v="371"/>
    <n v="36529.949999999997"/>
    <n v="10508.24"/>
    <x v="0"/>
    <s v="UPI"/>
    <x v="4"/>
    <x v="0"/>
  </r>
  <r>
    <s v="ORD100374"/>
    <d v="2026-03-19T00:00:00"/>
    <x v="3"/>
    <s v="Bhubaneswar"/>
    <x v="5"/>
    <s v="Corporate"/>
    <x v="2"/>
    <s v="Pens"/>
    <x v="362"/>
    <n v="3"/>
    <n v="2309"/>
    <n v="20"/>
    <x v="372"/>
    <n v="3483.31"/>
    <n v="2058.29"/>
    <x v="1"/>
    <s v="Net Banking"/>
    <x v="3"/>
    <x v="1"/>
  </r>
  <r>
    <s v="ORD100375"/>
    <d v="2025-05-09T00:00:00"/>
    <x v="2"/>
    <s v="Bengaluru"/>
    <x v="5"/>
    <s v="Consumer"/>
    <x v="2"/>
    <s v="Pens"/>
    <x v="363"/>
    <n v="10"/>
    <n v="1136.46"/>
    <n v="5"/>
    <x v="373"/>
    <n v="7824.12"/>
    <n v="2972.25"/>
    <x v="1"/>
    <s v="Card"/>
    <x v="0"/>
    <x v="0"/>
  </r>
  <r>
    <s v="ORD100376"/>
    <d v="2025-07-25T00:00:00"/>
    <x v="0"/>
    <s v="Ahmedabad"/>
    <x v="6"/>
    <s v="Small Business"/>
    <x v="0"/>
    <s v="Laptop"/>
    <x v="364"/>
    <n v="2"/>
    <n v="3607.74"/>
    <n v="10"/>
    <x v="374"/>
    <n v="3578.52"/>
    <n v="2915.41"/>
    <x v="2"/>
    <s v="Card"/>
    <x v="5"/>
    <x v="0"/>
  </r>
  <r>
    <s v="ORD100377"/>
    <d v="2026-05-23T00:00:00"/>
    <x v="2"/>
    <s v="Chennai"/>
    <x v="0"/>
    <s v="Corporate"/>
    <x v="0"/>
    <s v="Keyboard"/>
    <x v="365"/>
    <n v="2"/>
    <n v="4974.8999999999996"/>
    <n v="20"/>
    <x v="375"/>
    <n v="4793.91"/>
    <n v="3165.93"/>
    <x v="2"/>
    <s v="Net Banking"/>
    <x v="0"/>
    <x v="1"/>
  </r>
  <r>
    <s v="ORD100378"/>
    <d v="2025-03-11T00:00:00"/>
    <x v="1"/>
    <s v="Delhi"/>
    <x v="6"/>
    <s v="Consumer"/>
    <x v="1"/>
    <s v="Chair"/>
    <x v="366"/>
    <n v="9"/>
    <n v="1955.64"/>
    <n v="0"/>
    <x v="376"/>
    <n v="10562.48"/>
    <n v="7038.28"/>
    <x v="0"/>
    <s v="UPI"/>
    <x v="3"/>
    <x v="0"/>
  </r>
  <r>
    <s v="ORD100379"/>
    <d v="2025-10-19T00:00:00"/>
    <x v="1"/>
    <s v="Chandigarh"/>
    <x v="7"/>
    <s v="Small Business"/>
    <x v="1"/>
    <s v="Chair"/>
    <x v="367"/>
    <n v="15"/>
    <n v="2507.81"/>
    <n v="20"/>
    <x v="377"/>
    <n v="22004.66"/>
    <n v="8089.06"/>
    <x v="2"/>
    <s v="Cash"/>
    <x v="1"/>
    <x v="0"/>
  </r>
  <r>
    <s v="ORD100380"/>
    <d v="2025-06-29T00:00:00"/>
    <x v="3"/>
    <s v="Bhubaneswar"/>
    <x v="2"/>
    <s v="Small Business"/>
    <x v="2"/>
    <s v="Notebook"/>
    <x v="368"/>
    <n v="7"/>
    <n v="3040.12"/>
    <n v="20"/>
    <x v="378"/>
    <n v="11060.35"/>
    <n v="5964.32"/>
    <x v="1"/>
    <s v="Cash"/>
    <x v="10"/>
    <x v="0"/>
  </r>
  <r>
    <s v="ORD100381"/>
    <d v="2025-03-04T00:00:00"/>
    <x v="3"/>
    <s v="Bhubaneswar"/>
    <x v="0"/>
    <s v="Corporate"/>
    <x v="1"/>
    <s v="Cabinet"/>
    <x v="369"/>
    <n v="13"/>
    <n v="4249.09"/>
    <n v="15"/>
    <x v="379"/>
    <n v="34741.56"/>
    <n v="12210.88"/>
    <x v="0"/>
    <s v="UPI"/>
    <x v="3"/>
    <x v="0"/>
  </r>
  <r>
    <s v="ORD100382"/>
    <d v="2025-10-12T00:00:00"/>
    <x v="3"/>
    <s v="Kolkata"/>
    <x v="2"/>
    <s v="Small Business"/>
    <x v="0"/>
    <s v="Mouse"/>
    <x v="370"/>
    <n v="15"/>
    <n v="2662.86"/>
    <n v="10"/>
    <x v="380"/>
    <n v="23584"/>
    <n v="12364.61"/>
    <x v="2"/>
    <s v="Cash"/>
    <x v="1"/>
    <x v="0"/>
  </r>
  <r>
    <s v="ORD100383"/>
    <d v="2025-09-12T00:00:00"/>
    <x v="0"/>
    <s v="Mumbai"/>
    <x v="6"/>
    <s v="Small Business"/>
    <x v="1"/>
    <s v="Chair"/>
    <x v="371"/>
    <n v="4"/>
    <n v="855.89"/>
    <n v="0"/>
    <x v="381"/>
    <n v="2728.03"/>
    <n v="695.53"/>
    <x v="2"/>
    <s v="Net Banking"/>
    <x v="4"/>
    <x v="0"/>
  </r>
  <r>
    <s v="ORD100384"/>
    <d v="2025-04-24T00:00:00"/>
    <x v="2"/>
    <s v="Bengaluru"/>
    <x v="5"/>
    <s v="Small Business"/>
    <x v="0"/>
    <s v="Mouse"/>
    <x v="372"/>
    <n v="13"/>
    <n v="814.67"/>
    <n v="5"/>
    <x v="382"/>
    <n v="6852.45"/>
    <n v="3208.72"/>
    <x v="2"/>
    <s v="Cash"/>
    <x v="7"/>
    <x v="0"/>
  </r>
  <r>
    <s v="ORD100385"/>
    <d v="2025-01-09T00:00:00"/>
    <x v="3"/>
    <s v="Kolkata"/>
    <x v="0"/>
    <s v="Corporate"/>
    <x v="2"/>
    <s v="Paper"/>
    <x v="92"/>
    <n v="1"/>
    <n v="2488.16"/>
    <n v="0"/>
    <x v="383"/>
    <n v="1979.68"/>
    <n v="508.48"/>
    <x v="1"/>
    <s v="Net Banking"/>
    <x v="9"/>
    <x v="0"/>
  </r>
  <r>
    <s v="ORD100386"/>
    <d v="2025-05-16T00:00:00"/>
    <x v="1"/>
    <s v="Delhi"/>
    <x v="5"/>
    <s v="Consumer"/>
    <x v="2"/>
    <s v="Paper"/>
    <x v="373"/>
    <n v="1"/>
    <n v="868.08"/>
    <n v="0"/>
    <x v="384"/>
    <n v="692.17"/>
    <n v="175.91"/>
    <x v="0"/>
    <s v="Net Banking"/>
    <x v="0"/>
    <x v="0"/>
  </r>
  <r>
    <s v="ORD100387"/>
    <d v="2025-01-29T00:00:00"/>
    <x v="2"/>
    <s v="Chennai"/>
    <x v="4"/>
    <s v="Small Business"/>
    <x v="1"/>
    <s v="Table"/>
    <x v="374"/>
    <n v="9"/>
    <n v="3647.25"/>
    <n v="15"/>
    <x v="385"/>
    <n v="21061.03"/>
    <n v="6840.43"/>
    <x v="2"/>
    <s v="Card"/>
    <x v="9"/>
    <x v="0"/>
  </r>
  <r>
    <s v="ORD100388"/>
    <d v="2025-07-04T00:00:00"/>
    <x v="2"/>
    <s v="Chennai"/>
    <x v="5"/>
    <s v="Corporate"/>
    <x v="2"/>
    <s v="Notebook"/>
    <x v="375"/>
    <n v="5"/>
    <n v="4930.74"/>
    <n v="20"/>
    <x v="386"/>
    <n v="11231.15"/>
    <n v="8491.81"/>
    <x v="0"/>
    <s v="Net Banking"/>
    <x v="5"/>
    <x v="0"/>
  </r>
  <r>
    <s v="ORD100389"/>
    <d v="2025-10-20T00:00:00"/>
    <x v="1"/>
    <s v="Delhi"/>
    <x v="5"/>
    <s v="Consumer"/>
    <x v="2"/>
    <s v="Notebook"/>
    <x v="376"/>
    <n v="14"/>
    <n v="1003.42"/>
    <n v="0"/>
    <x v="387"/>
    <n v="11446.16"/>
    <n v="2601.7199999999998"/>
    <x v="2"/>
    <s v="Card"/>
    <x v="1"/>
    <x v="0"/>
  </r>
  <r>
    <s v="ORD100390"/>
    <d v="2025-10-15T00:00:00"/>
    <x v="1"/>
    <s v="Delhi"/>
    <x v="4"/>
    <s v="Small Business"/>
    <x v="2"/>
    <s v="Pens"/>
    <x v="377"/>
    <n v="3"/>
    <n v="4151.28"/>
    <n v="5"/>
    <x v="388"/>
    <n v="7099"/>
    <n v="4732.1499999999996"/>
    <x v="0"/>
    <s v="Card"/>
    <x v="1"/>
    <x v="0"/>
  </r>
  <r>
    <s v="ORD100391"/>
    <d v="2026-04-23T00:00:00"/>
    <x v="2"/>
    <s v="Chennai"/>
    <x v="5"/>
    <s v="Corporate"/>
    <x v="2"/>
    <s v="Notebook"/>
    <x v="378"/>
    <n v="2"/>
    <n v="1462.65"/>
    <n v="5"/>
    <x v="389"/>
    <n v="2139.38"/>
    <n v="639.65"/>
    <x v="0"/>
    <s v="Card"/>
    <x v="7"/>
    <x v="1"/>
  </r>
  <r>
    <s v="ORD100392"/>
    <d v="2025-07-14T00:00:00"/>
    <x v="3"/>
    <s v="Bhubaneswar"/>
    <x v="2"/>
    <s v="Small Business"/>
    <x v="2"/>
    <s v="Paper"/>
    <x v="379"/>
    <n v="9"/>
    <n v="235.1"/>
    <n v="10"/>
    <x v="390"/>
    <n v="1253.94"/>
    <n v="650.37"/>
    <x v="0"/>
    <s v="Card"/>
    <x v="5"/>
    <x v="0"/>
  </r>
  <r>
    <s v="ORD100393"/>
    <d v="2026-01-28T00:00:00"/>
    <x v="0"/>
    <s v="Mumbai"/>
    <x v="4"/>
    <s v="Corporate"/>
    <x v="1"/>
    <s v="Chair"/>
    <x v="380"/>
    <n v="6"/>
    <n v="975.63"/>
    <n v="20"/>
    <x v="391"/>
    <n v="2610.19"/>
    <n v="2072.83"/>
    <x v="0"/>
    <s v="Net Banking"/>
    <x v="9"/>
    <x v="1"/>
  </r>
  <r>
    <s v="ORD100394"/>
    <d v="2025-05-21T00:00:00"/>
    <x v="2"/>
    <s v="Chennai"/>
    <x v="5"/>
    <s v="Corporate"/>
    <x v="1"/>
    <s v="Table"/>
    <x v="381"/>
    <n v="12"/>
    <n v="4131.1000000000004"/>
    <n v="20"/>
    <x v="392"/>
    <n v="23221.599999999999"/>
    <n v="16436.96"/>
    <x v="2"/>
    <s v="Cash"/>
    <x v="0"/>
    <x v="0"/>
  </r>
  <r>
    <s v="ORD100395"/>
    <d v="2026-06-17T00:00:00"/>
    <x v="0"/>
    <s v="Mumbai"/>
    <x v="1"/>
    <s v="Small Business"/>
    <x v="2"/>
    <s v="Paper"/>
    <x v="382"/>
    <n v="12"/>
    <n v="2205.58"/>
    <n v="20"/>
    <x v="393"/>
    <n v="13734.98"/>
    <n v="7438.59"/>
    <x v="0"/>
    <s v="UPI"/>
    <x v="10"/>
    <x v="1"/>
  </r>
  <r>
    <s v="ORD100396"/>
    <d v="2025-05-12T00:00:00"/>
    <x v="0"/>
    <s v="Mumbai"/>
    <x v="0"/>
    <s v="Corporate"/>
    <x v="0"/>
    <s v="Monitor"/>
    <x v="383"/>
    <n v="13"/>
    <n v="2252.58"/>
    <n v="10"/>
    <x v="394"/>
    <n v="19861.55"/>
    <n v="6493.64"/>
    <x v="0"/>
    <s v="Card"/>
    <x v="0"/>
    <x v="0"/>
  </r>
  <r>
    <s v="ORD100397"/>
    <d v="2025-07-12T00:00:00"/>
    <x v="2"/>
    <s v="Chennai"/>
    <x v="4"/>
    <s v="Consumer"/>
    <x v="1"/>
    <s v="Bookshelf"/>
    <x v="384"/>
    <n v="14"/>
    <n v="4481.07"/>
    <n v="20"/>
    <x v="395"/>
    <n v="30257.57"/>
    <n v="19930.41"/>
    <x v="2"/>
    <s v="Net Banking"/>
    <x v="5"/>
    <x v="0"/>
  </r>
  <r>
    <s v="ORD100398"/>
    <d v="2025-03-05T00:00:00"/>
    <x v="1"/>
    <s v="Chandigarh"/>
    <x v="0"/>
    <s v="Small Business"/>
    <x v="2"/>
    <s v="Notebook"/>
    <x v="385"/>
    <n v="11"/>
    <n v="3378.14"/>
    <n v="0"/>
    <x v="396"/>
    <n v="28208.43"/>
    <n v="8951.11"/>
    <x v="0"/>
    <s v="UPI"/>
    <x v="3"/>
    <x v="0"/>
  </r>
  <r>
    <s v="ORD100399"/>
    <d v="2025-08-06T00:00:00"/>
    <x v="0"/>
    <s v="Ahmedabad"/>
    <x v="1"/>
    <s v="Consumer"/>
    <x v="0"/>
    <s v="Laptop"/>
    <x v="386"/>
    <n v="5"/>
    <n v="2809.5"/>
    <n v="20"/>
    <x v="397"/>
    <n v="7906.12"/>
    <n v="3331.88"/>
    <x v="1"/>
    <s v="Net Banking"/>
    <x v="6"/>
    <x v="0"/>
  </r>
  <r>
    <s v="ORD100400"/>
    <d v="2026-06-26T00:00:00"/>
    <x v="2"/>
    <s v="Bengaluru"/>
    <x v="5"/>
    <s v="Corporate"/>
    <x v="0"/>
    <s v="Laptop"/>
    <x v="387"/>
    <n v="11"/>
    <n v="3433.26"/>
    <n v="20"/>
    <x v="398"/>
    <n v="19560.38"/>
    <n v="10652.31"/>
    <x v="2"/>
    <s v="Cash"/>
    <x v="10"/>
    <x v="1"/>
  </r>
  <r>
    <s v="ORD100401"/>
    <d v="2025-12-06T00:00:00"/>
    <x v="0"/>
    <s v="Ahmedabad"/>
    <x v="7"/>
    <s v="Corporate"/>
    <x v="2"/>
    <s v="Pens"/>
    <x v="388"/>
    <n v="1"/>
    <n v="3837.1"/>
    <n v="10"/>
    <x v="399"/>
    <n v="2269.62"/>
    <n v="1183.77"/>
    <x v="0"/>
    <s v="Cash"/>
    <x v="11"/>
    <x v="0"/>
  </r>
  <r>
    <s v="ORD100402"/>
    <d v="2026-02-11T00:00:00"/>
    <x v="3"/>
    <s v="Bhubaneswar"/>
    <x v="3"/>
    <s v="Small Business"/>
    <x v="1"/>
    <s v="Cabinet"/>
    <x v="389"/>
    <n v="6"/>
    <n v="434.07"/>
    <n v="10"/>
    <x v="400"/>
    <n v="1384.15"/>
    <n v="959.83"/>
    <x v="2"/>
    <s v="Net Banking"/>
    <x v="2"/>
    <x v="1"/>
  </r>
  <r>
    <s v="ORD100403"/>
    <d v="2025-07-03T00:00:00"/>
    <x v="2"/>
    <s v="Chennai"/>
    <x v="6"/>
    <s v="Corporate"/>
    <x v="0"/>
    <s v="Mouse"/>
    <x v="390"/>
    <n v="10"/>
    <n v="2062.3000000000002"/>
    <n v="20"/>
    <x v="401"/>
    <n v="9300.2199999999993"/>
    <n v="7198.18"/>
    <x v="0"/>
    <s v="UPI"/>
    <x v="5"/>
    <x v="0"/>
  </r>
  <r>
    <s v="ORD100404"/>
    <d v="2025-03-14T00:00:00"/>
    <x v="2"/>
    <s v="Chennai"/>
    <x v="3"/>
    <s v="Corporate"/>
    <x v="1"/>
    <s v="Chair"/>
    <x v="391"/>
    <n v="5"/>
    <n v="2740.47"/>
    <n v="5"/>
    <x v="402"/>
    <n v="9928.07"/>
    <n v="3089.16"/>
    <x v="1"/>
    <s v="Card"/>
    <x v="3"/>
    <x v="0"/>
  </r>
  <r>
    <s v="ORD100405"/>
    <d v="2026-02-05T00:00:00"/>
    <x v="1"/>
    <s v="Delhi"/>
    <x v="4"/>
    <s v="Consumer"/>
    <x v="2"/>
    <s v="Folders"/>
    <x v="392"/>
    <n v="7"/>
    <n v="4656.8100000000004"/>
    <n v="20"/>
    <x v="403"/>
    <n v="14853.31"/>
    <n v="11224.83"/>
    <x v="1"/>
    <s v="Net Banking"/>
    <x v="2"/>
    <x v="1"/>
  </r>
  <r>
    <s v="ORD100406"/>
    <d v="2025-11-13T00:00:00"/>
    <x v="3"/>
    <s v="Kolkata"/>
    <x v="5"/>
    <s v="Consumer"/>
    <x v="2"/>
    <s v="Paper"/>
    <x v="393"/>
    <n v="14"/>
    <n v="1385.74"/>
    <n v="5"/>
    <x v="404"/>
    <n v="14676.15"/>
    <n v="3754.19"/>
    <x v="1"/>
    <s v="UPI"/>
    <x v="8"/>
    <x v="0"/>
  </r>
  <r>
    <s v="ORD100407"/>
    <d v="2026-05-21T00:00:00"/>
    <x v="0"/>
    <s v="Mumbai"/>
    <x v="2"/>
    <s v="Consumer"/>
    <x v="2"/>
    <s v="Folders"/>
    <x v="185"/>
    <n v="7"/>
    <n v="3072.15"/>
    <n v="15"/>
    <x v="405"/>
    <n v="13835.37"/>
    <n v="4443.92"/>
    <x v="0"/>
    <s v="Net Banking"/>
    <x v="0"/>
    <x v="1"/>
  </r>
  <r>
    <s v="ORD100408"/>
    <d v="2025-09-22T00:00:00"/>
    <x v="1"/>
    <s v="Delhi"/>
    <x v="6"/>
    <s v="Corporate"/>
    <x v="1"/>
    <s v="Chair"/>
    <x v="394"/>
    <n v="15"/>
    <n v="1365.63"/>
    <n v="10"/>
    <x v="406"/>
    <n v="12024.87"/>
    <n v="6411.14"/>
    <x v="2"/>
    <s v="Cash"/>
    <x v="4"/>
    <x v="0"/>
  </r>
  <r>
    <s v="ORD100409"/>
    <d v="2025-07-23T00:00:00"/>
    <x v="1"/>
    <s v="Delhi"/>
    <x v="0"/>
    <s v="Small Business"/>
    <x v="1"/>
    <s v="Bookshelf"/>
    <x v="395"/>
    <n v="11"/>
    <n v="2864.04"/>
    <n v="15"/>
    <x v="407"/>
    <n v="16257.97"/>
    <n v="10520.8"/>
    <x v="2"/>
    <s v="Net Banking"/>
    <x v="5"/>
    <x v="0"/>
  </r>
  <r>
    <s v="ORD100410"/>
    <d v="2025-04-24T00:00:00"/>
    <x v="2"/>
    <s v="Chennai"/>
    <x v="5"/>
    <s v="Corporate"/>
    <x v="1"/>
    <s v="Cabinet"/>
    <x v="396"/>
    <n v="7"/>
    <n v="4744.82"/>
    <n v="0"/>
    <x v="408"/>
    <n v="20681.689999999999"/>
    <n v="12532.05"/>
    <x v="1"/>
    <s v="Card"/>
    <x v="7"/>
    <x v="0"/>
  </r>
  <r>
    <s v="ORD100411"/>
    <d v="2025-08-14T00:00:00"/>
    <x v="2"/>
    <s v="Chennai"/>
    <x v="0"/>
    <s v="Consumer"/>
    <x v="0"/>
    <s v="Keyboard"/>
    <x v="397"/>
    <n v="11"/>
    <n v="203.18"/>
    <n v="10"/>
    <x v="409"/>
    <n v="1202.3399999999999"/>
    <n v="809.14"/>
    <x v="1"/>
    <s v="Cash"/>
    <x v="6"/>
    <x v="0"/>
  </r>
  <r>
    <s v="ORD100412"/>
    <d v="2026-02-24T00:00:00"/>
    <x v="0"/>
    <s v="Ahmedabad"/>
    <x v="0"/>
    <s v="Corporate"/>
    <x v="1"/>
    <s v="Bookshelf"/>
    <x v="398"/>
    <n v="14"/>
    <n v="3664.62"/>
    <n v="5"/>
    <x v="410"/>
    <n v="29908.11"/>
    <n v="18831.34"/>
    <x v="0"/>
    <s v="Card"/>
    <x v="2"/>
    <x v="1"/>
  </r>
  <r>
    <s v="ORD100413"/>
    <d v="2025-10-28T00:00:00"/>
    <x v="1"/>
    <s v="Chandigarh"/>
    <x v="6"/>
    <s v="Small Business"/>
    <x v="0"/>
    <s v="Keyboard"/>
    <x v="399"/>
    <n v="14"/>
    <n v="2218.81"/>
    <n v="0"/>
    <x v="411"/>
    <n v="21651.29"/>
    <n v="9412.0499999999993"/>
    <x v="1"/>
    <s v="Cash"/>
    <x v="1"/>
    <x v="0"/>
  </r>
  <r>
    <s v="ORD100414"/>
    <d v="2025-01-18T00:00:00"/>
    <x v="3"/>
    <s v="Bhubaneswar"/>
    <x v="7"/>
    <s v="Consumer"/>
    <x v="0"/>
    <s v="Mouse"/>
    <x v="400"/>
    <n v="7"/>
    <n v="3178.2"/>
    <n v="5"/>
    <x v="412"/>
    <n v="12873.23"/>
    <n v="8261.7999999999993"/>
    <x v="2"/>
    <s v="UPI"/>
    <x v="9"/>
    <x v="0"/>
  </r>
  <r>
    <s v="ORD100415"/>
    <d v="2025-01-29T00:00:00"/>
    <x v="1"/>
    <s v="Delhi"/>
    <x v="4"/>
    <s v="Consumer"/>
    <x v="0"/>
    <s v="Mouse"/>
    <x v="401"/>
    <n v="3"/>
    <n v="4280.49"/>
    <n v="15"/>
    <x v="413"/>
    <n v="7429.99"/>
    <n v="3485.26"/>
    <x v="1"/>
    <s v="Net Banking"/>
    <x v="9"/>
    <x v="0"/>
  </r>
  <r>
    <s v="ORD100416"/>
    <d v="2025-09-01T00:00:00"/>
    <x v="2"/>
    <s v="Bengaluru"/>
    <x v="5"/>
    <s v="Small Business"/>
    <x v="1"/>
    <s v="Table"/>
    <x v="402"/>
    <n v="15"/>
    <n v="4841.09"/>
    <n v="20"/>
    <x v="414"/>
    <n v="43627.22"/>
    <n v="14465.86"/>
    <x v="0"/>
    <s v="Cash"/>
    <x v="4"/>
    <x v="0"/>
  </r>
  <r>
    <s v="ORD100417"/>
    <d v="2025-01-06T00:00:00"/>
    <x v="2"/>
    <s v="Chennai"/>
    <x v="7"/>
    <s v="Corporate"/>
    <x v="2"/>
    <s v="Printer Ink"/>
    <x v="403"/>
    <n v="1"/>
    <n v="1119.3900000000001"/>
    <n v="5"/>
    <x v="415"/>
    <n v="615.46"/>
    <n v="447.96"/>
    <x v="1"/>
    <s v="Net Banking"/>
    <x v="9"/>
    <x v="0"/>
  </r>
  <r>
    <s v="ORD100418"/>
    <d v="2025-04-26T00:00:00"/>
    <x v="3"/>
    <s v="Kolkata"/>
    <x v="3"/>
    <s v="Corporate"/>
    <x v="1"/>
    <s v="Desk"/>
    <x v="404"/>
    <n v="2"/>
    <n v="1822.22"/>
    <n v="10"/>
    <x v="416"/>
    <n v="2547.46"/>
    <n v="732.54"/>
    <x v="0"/>
    <s v="Cash"/>
    <x v="7"/>
    <x v="0"/>
  </r>
  <r>
    <s v="ORD100419"/>
    <d v="2026-03-14T00:00:00"/>
    <x v="3"/>
    <s v="Bhubaneswar"/>
    <x v="4"/>
    <s v="Consumer"/>
    <x v="0"/>
    <s v="Mouse"/>
    <x v="405"/>
    <n v="10"/>
    <n v="2893.68"/>
    <n v="0"/>
    <x v="417"/>
    <n v="18864.37"/>
    <n v="10072.43"/>
    <x v="1"/>
    <s v="Card"/>
    <x v="3"/>
    <x v="1"/>
  </r>
  <r>
    <s v="ORD100420"/>
    <d v="2025-11-29T00:00:00"/>
    <x v="1"/>
    <s v="Chandigarh"/>
    <x v="0"/>
    <s v="Consumer"/>
    <x v="2"/>
    <s v="Notebook"/>
    <x v="406"/>
    <n v="1"/>
    <n v="4661.03"/>
    <n v="10"/>
    <x v="418"/>
    <n v="2541.23"/>
    <n v="1653.7"/>
    <x v="2"/>
    <s v="UPI"/>
    <x v="8"/>
    <x v="0"/>
  </r>
  <r>
    <s v="ORD100421"/>
    <d v="2025-04-16T00:00:00"/>
    <x v="3"/>
    <s v="Kolkata"/>
    <x v="0"/>
    <s v="Corporate"/>
    <x v="0"/>
    <s v="Keyboard"/>
    <x v="407"/>
    <n v="12"/>
    <n v="4902.26"/>
    <n v="20"/>
    <x v="419"/>
    <n v="32397.75"/>
    <n v="14663.95"/>
    <x v="0"/>
    <s v="UPI"/>
    <x v="7"/>
    <x v="0"/>
  </r>
  <r>
    <s v="ORD100422"/>
    <d v="2026-05-07T00:00:00"/>
    <x v="3"/>
    <s v="Bhubaneswar"/>
    <x v="7"/>
    <s v="Consumer"/>
    <x v="1"/>
    <s v="Chair"/>
    <x v="408"/>
    <n v="7"/>
    <n v="885.12"/>
    <n v="20"/>
    <x v="420"/>
    <n v="2951.39"/>
    <n v="2005.28"/>
    <x v="1"/>
    <s v="Net Banking"/>
    <x v="0"/>
    <x v="1"/>
  </r>
  <r>
    <s v="ORD100423"/>
    <d v="2025-07-05T00:00:00"/>
    <x v="1"/>
    <s v="Delhi"/>
    <x v="4"/>
    <s v="Small Business"/>
    <x v="2"/>
    <s v="Paper"/>
    <x v="409"/>
    <n v="4"/>
    <n v="1974.95"/>
    <n v="10"/>
    <x v="421"/>
    <n v="4650.17"/>
    <n v="2459.65"/>
    <x v="2"/>
    <s v="Cash"/>
    <x v="5"/>
    <x v="0"/>
  </r>
  <r>
    <s v="ORD100424"/>
    <d v="2026-03-28T00:00:00"/>
    <x v="3"/>
    <s v="Kolkata"/>
    <x v="5"/>
    <s v="Small Business"/>
    <x v="0"/>
    <s v="Mouse"/>
    <x v="410"/>
    <n v="4"/>
    <n v="1011.11"/>
    <n v="0"/>
    <x v="422"/>
    <n v="3287.83"/>
    <n v="756.61"/>
    <x v="0"/>
    <s v="Card"/>
    <x v="3"/>
    <x v="1"/>
  </r>
  <r>
    <s v="ORD100425"/>
    <d v="2026-04-09T00:00:00"/>
    <x v="0"/>
    <s v="Mumbai"/>
    <x v="4"/>
    <s v="Small Business"/>
    <x v="0"/>
    <s v="Mouse"/>
    <x v="411"/>
    <n v="10"/>
    <n v="3816.94"/>
    <n v="20"/>
    <x v="423"/>
    <n v="18726.66"/>
    <n v="11808.86"/>
    <x v="2"/>
    <s v="Cash"/>
    <x v="7"/>
    <x v="1"/>
  </r>
  <r>
    <s v="ORD100426"/>
    <d v="2025-06-14T00:00:00"/>
    <x v="1"/>
    <s v="Delhi"/>
    <x v="2"/>
    <s v="Small Business"/>
    <x v="0"/>
    <s v="Mouse"/>
    <x v="412"/>
    <n v="7"/>
    <n v="2935.5"/>
    <n v="20"/>
    <x v="424"/>
    <n v="10241.69"/>
    <n v="6197.11"/>
    <x v="0"/>
    <s v="Cash"/>
    <x v="10"/>
    <x v="0"/>
  </r>
  <r>
    <s v="ORD100427"/>
    <d v="2025-04-30T00:00:00"/>
    <x v="1"/>
    <s v="Chandigarh"/>
    <x v="4"/>
    <s v="Corporate"/>
    <x v="1"/>
    <s v="Table"/>
    <x v="413"/>
    <n v="12"/>
    <n v="3477.2"/>
    <n v="20"/>
    <x v="425"/>
    <n v="22795.06"/>
    <n v="10586.06"/>
    <x v="0"/>
    <s v="UPI"/>
    <x v="7"/>
    <x v="0"/>
  </r>
  <r>
    <s v="ORD100428"/>
    <d v="2025-04-12T00:00:00"/>
    <x v="3"/>
    <s v="Bhubaneswar"/>
    <x v="5"/>
    <s v="Small Business"/>
    <x v="2"/>
    <s v="Folders"/>
    <x v="414"/>
    <n v="9"/>
    <n v="2343.65"/>
    <n v="0"/>
    <x v="426"/>
    <n v="16711.93"/>
    <n v="4380.92"/>
    <x v="2"/>
    <s v="Card"/>
    <x v="7"/>
    <x v="0"/>
  </r>
  <r>
    <s v="ORD100429"/>
    <d v="2025-04-20T00:00:00"/>
    <x v="0"/>
    <s v="Ahmedabad"/>
    <x v="3"/>
    <s v="Corporate"/>
    <x v="0"/>
    <s v="Headphones"/>
    <x v="415"/>
    <n v="8"/>
    <n v="1595.47"/>
    <n v="15"/>
    <x v="427"/>
    <n v="6985.57"/>
    <n v="3863.63"/>
    <x v="1"/>
    <s v="Cash"/>
    <x v="7"/>
    <x v="0"/>
  </r>
  <r>
    <s v="ORD100430"/>
    <d v="2025-03-16T00:00:00"/>
    <x v="3"/>
    <s v="Bhubaneswar"/>
    <x v="4"/>
    <s v="Corporate"/>
    <x v="1"/>
    <s v="Desk"/>
    <x v="416"/>
    <n v="8"/>
    <n v="2433.41"/>
    <n v="15"/>
    <x v="428"/>
    <n v="13149.22"/>
    <n v="3397.97"/>
    <x v="0"/>
    <s v="Net Banking"/>
    <x v="3"/>
    <x v="0"/>
  </r>
  <r>
    <s v="ORD100431"/>
    <d v="2026-04-10T00:00:00"/>
    <x v="0"/>
    <s v="Mumbai"/>
    <x v="1"/>
    <s v="Consumer"/>
    <x v="0"/>
    <s v="Keyboard"/>
    <x v="417"/>
    <n v="4"/>
    <n v="1022.61"/>
    <n v="10"/>
    <x v="429"/>
    <n v="2194.41"/>
    <n v="1486.99"/>
    <x v="2"/>
    <s v="UPI"/>
    <x v="7"/>
    <x v="1"/>
  </r>
  <r>
    <s v="ORD100432"/>
    <d v="2025-04-16T00:00:00"/>
    <x v="0"/>
    <s v="Mumbai"/>
    <x v="6"/>
    <s v="Corporate"/>
    <x v="0"/>
    <s v="Keyboard"/>
    <x v="418"/>
    <n v="9"/>
    <n v="2861.14"/>
    <n v="15"/>
    <x v="430"/>
    <n v="12163.44"/>
    <n v="9724.2800000000007"/>
    <x v="1"/>
    <s v="Cash"/>
    <x v="7"/>
    <x v="0"/>
  </r>
  <r>
    <s v="ORD100433"/>
    <d v="2025-01-23T00:00:00"/>
    <x v="3"/>
    <s v="Kolkata"/>
    <x v="5"/>
    <s v="Small Business"/>
    <x v="0"/>
    <s v="Keyboard"/>
    <x v="419"/>
    <n v="5"/>
    <n v="845.32"/>
    <n v="5"/>
    <x v="431"/>
    <n v="2362.6799999999998"/>
    <n v="1652.59"/>
    <x v="2"/>
    <s v="Net Banking"/>
    <x v="9"/>
    <x v="0"/>
  </r>
  <r>
    <s v="ORD100434"/>
    <d v="2026-03-05T00:00:00"/>
    <x v="2"/>
    <s v="Bengaluru"/>
    <x v="4"/>
    <s v="Corporate"/>
    <x v="2"/>
    <s v="Paper"/>
    <x v="420"/>
    <n v="7"/>
    <n v="4285.16"/>
    <n v="5"/>
    <x v="432"/>
    <n v="15827.19"/>
    <n v="12669.12"/>
    <x v="2"/>
    <s v="Cash"/>
    <x v="3"/>
    <x v="1"/>
  </r>
  <r>
    <s v="ORD100435"/>
    <d v="2025-12-26T00:00:00"/>
    <x v="0"/>
    <s v="Mumbai"/>
    <x v="0"/>
    <s v="Small Business"/>
    <x v="2"/>
    <s v="Paper"/>
    <x v="421"/>
    <n v="7"/>
    <n v="1834.72"/>
    <n v="10"/>
    <x v="433"/>
    <n v="7960.48"/>
    <n v="3598.26"/>
    <x v="1"/>
    <s v="Cash"/>
    <x v="11"/>
    <x v="0"/>
  </r>
  <r>
    <s v="ORD100436"/>
    <d v="2025-04-26T00:00:00"/>
    <x v="3"/>
    <s v="Kolkata"/>
    <x v="4"/>
    <s v="Small Business"/>
    <x v="1"/>
    <s v="Bookshelf"/>
    <x v="422"/>
    <n v="5"/>
    <n v="2640.99"/>
    <n v="10"/>
    <x v="434"/>
    <n v="8077.36"/>
    <n v="3807.09"/>
    <x v="0"/>
    <s v="Card"/>
    <x v="7"/>
    <x v="0"/>
  </r>
  <r>
    <s v="ORD100437"/>
    <d v="2025-06-12T00:00:00"/>
    <x v="2"/>
    <s v="Bengaluru"/>
    <x v="7"/>
    <s v="Small Business"/>
    <x v="1"/>
    <s v="Chair"/>
    <x v="423"/>
    <n v="13"/>
    <n v="3904.81"/>
    <n v="20"/>
    <x v="435"/>
    <n v="28056.69"/>
    <n v="12553.33"/>
    <x v="0"/>
    <s v="Card"/>
    <x v="10"/>
    <x v="0"/>
  </r>
  <r>
    <s v="ORD100438"/>
    <d v="2025-09-10T00:00:00"/>
    <x v="3"/>
    <s v="Kolkata"/>
    <x v="4"/>
    <s v="Consumer"/>
    <x v="0"/>
    <s v="Headphones"/>
    <x v="424"/>
    <n v="4"/>
    <n v="1783.71"/>
    <n v="0"/>
    <x v="436"/>
    <n v="3946.07"/>
    <n v="3188.77"/>
    <x v="2"/>
    <s v="Card"/>
    <x v="4"/>
    <x v="0"/>
  </r>
  <r>
    <s v="ORD100439"/>
    <d v="2025-01-17T00:00:00"/>
    <x v="0"/>
    <s v="Ahmedabad"/>
    <x v="3"/>
    <s v="Small Business"/>
    <x v="0"/>
    <s v="Keyboard"/>
    <x v="425"/>
    <n v="2"/>
    <n v="3284.92"/>
    <n v="10"/>
    <x v="437"/>
    <n v="3989.19"/>
    <n v="1923.67"/>
    <x v="2"/>
    <s v="Net Banking"/>
    <x v="9"/>
    <x v="0"/>
  </r>
  <r>
    <s v="ORD100440"/>
    <d v="2025-09-14T00:00:00"/>
    <x v="0"/>
    <s v="Ahmedabad"/>
    <x v="2"/>
    <s v="Consumer"/>
    <x v="1"/>
    <s v="Chair"/>
    <x v="426"/>
    <n v="6"/>
    <n v="4356.29"/>
    <n v="10"/>
    <x v="438"/>
    <n v="18749.02"/>
    <n v="4774.95"/>
    <x v="0"/>
    <s v="UPI"/>
    <x v="4"/>
    <x v="0"/>
  </r>
  <r>
    <s v="ORD100441"/>
    <d v="2025-01-29T00:00:00"/>
    <x v="1"/>
    <s v="Chandigarh"/>
    <x v="3"/>
    <s v="Consumer"/>
    <x v="1"/>
    <s v="Bookshelf"/>
    <x v="427"/>
    <n v="8"/>
    <n v="914.43"/>
    <n v="20"/>
    <x v="439"/>
    <n v="3992.78"/>
    <n v="1859.57"/>
    <x v="1"/>
    <s v="Net Banking"/>
    <x v="9"/>
    <x v="0"/>
  </r>
  <r>
    <s v="ORD100442"/>
    <d v="2026-04-14T00:00:00"/>
    <x v="0"/>
    <s v="Mumbai"/>
    <x v="4"/>
    <s v="Small Business"/>
    <x v="2"/>
    <s v="Pens"/>
    <x v="428"/>
    <n v="9"/>
    <n v="4854.53"/>
    <n v="0"/>
    <x v="440"/>
    <n v="26566.51"/>
    <n v="17124.259999999998"/>
    <x v="2"/>
    <s v="Net Banking"/>
    <x v="7"/>
    <x v="1"/>
  </r>
  <r>
    <s v="ORD100443"/>
    <d v="2025-03-28T00:00:00"/>
    <x v="3"/>
    <s v="Bhubaneswar"/>
    <x v="6"/>
    <s v="Small Business"/>
    <x v="1"/>
    <s v="Desk"/>
    <x v="429"/>
    <n v="1"/>
    <n v="3579.7"/>
    <n v="5"/>
    <x v="441"/>
    <n v="2214.0500000000002"/>
    <n v="1186.6600000000001"/>
    <x v="1"/>
    <s v="Net Banking"/>
    <x v="3"/>
    <x v="0"/>
  </r>
  <r>
    <s v="ORD100444"/>
    <d v="2026-04-30T00:00:00"/>
    <x v="1"/>
    <s v="Chandigarh"/>
    <x v="6"/>
    <s v="Consumer"/>
    <x v="1"/>
    <s v="Cabinet"/>
    <x v="430"/>
    <n v="3"/>
    <n v="4747.24"/>
    <n v="0"/>
    <x v="442"/>
    <n v="8330.52"/>
    <n v="5911.2"/>
    <x v="2"/>
    <s v="Card"/>
    <x v="7"/>
    <x v="1"/>
  </r>
  <r>
    <s v="ORD100445"/>
    <d v="2026-04-14T00:00:00"/>
    <x v="3"/>
    <s v="Kolkata"/>
    <x v="7"/>
    <s v="Consumer"/>
    <x v="1"/>
    <s v="Chair"/>
    <x v="431"/>
    <n v="12"/>
    <n v="4076.79"/>
    <n v="15"/>
    <x v="443"/>
    <n v="27891.83"/>
    <n v="13691.43"/>
    <x v="0"/>
    <s v="Card"/>
    <x v="7"/>
    <x v="1"/>
  </r>
  <r>
    <s v="ORD100446"/>
    <d v="2025-12-20T00:00:00"/>
    <x v="1"/>
    <s v="Delhi"/>
    <x v="3"/>
    <s v="Consumer"/>
    <x v="2"/>
    <s v="Notebook"/>
    <x v="83"/>
    <n v="1"/>
    <n v="4535.7299999999996"/>
    <n v="20"/>
    <x v="444"/>
    <n v="2254.63"/>
    <n v="1373.95"/>
    <x v="0"/>
    <s v="Cash"/>
    <x v="11"/>
    <x v="0"/>
  </r>
  <r>
    <s v="ORD100447"/>
    <d v="2026-06-25T00:00:00"/>
    <x v="0"/>
    <s v="Mumbai"/>
    <x v="0"/>
    <s v="Small Business"/>
    <x v="1"/>
    <s v="Bookshelf"/>
    <x v="432"/>
    <n v="3"/>
    <n v="3558.25"/>
    <n v="10"/>
    <x v="445"/>
    <n v="7365.77"/>
    <n v="2241.5"/>
    <x v="0"/>
    <s v="UPI"/>
    <x v="10"/>
    <x v="1"/>
  </r>
  <r>
    <s v="ORD100448"/>
    <d v="2025-08-18T00:00:00"/>
    <x v="2"/>
    <s v="Bengaluru"/>
    <x v="6"/>
    <s v="Corporate"/>
    <x v="0"/>
    <s v="Laptop"/>
    <x v="433"/>
    <n v="7"/>
    <n v="4584.01"/>
    <n v="20"/>
    <x v="446"/>
    <n v="17884.29"/>
    <n v="7786.17"/>
    <x v="2"/>
    <s v="Card"/>
    <x v="6"/>
    <x v="0"/>
  </r>
  <r>
    <s v="ORD100449"/>
    <d v="2025-01-25T00:00:00"/>
    <x v="0"/>
    <s v="Mumbai"/>
    <x v="6"/>
    <s v="Small Business"/>
    <x v="2"/>
    <s v="Folders"/>
    <x v="434"/>
    <n v="3"/>
    <n v="402.34"/>
    <n v="5"/>
    <x v="447"/>
    <n v="910.83"/>
    <n v="235.84"/>
    <x v="0"/>
    <s v="Net Banking"/>
    <x v="9"/>
    <x v="0"/>
  </r>
  <r>
    <s v="ORD100450"/>
    <d v="2026-06-21T00:00:00"/>
    <x v="2"/>
    <s v="Chennai"/>
    <x v="4"/>
    <s v="Corporate"/>
    <x v="1"/>
    <s v="Desk"/>
    <x v="435"/>
    <n v="12"/>
    <n v="1008.19"/>
    <n v="20"/>
    <x v="448"/>
    <n v="7659.52"/>
    <n v="2019.1"/>
    <x v="1"/>
    <s v="UPI"/>
    <x v="10"/>
    <x v="1"/>
  </r>
  <r>
    <s v="ORD100451"/>
    <d v="2026-02-25T00:00:00"/>
    <x v="0"/>
    <s v="Mumbai"/>
    <x v="7"/>
    <s v="Small Business"/>
    <x v="1"/>
    <s v="Desk"/>
    <x v="436"/>
    <n v="8"/>
    <n v="1245.48"/>
    <n v="0"/>
    <x v="449"/>
    <n v="5664.16"/>
    <n v="4299.68"/>
    <x v="0"/>
    <s v="Net Banking"/>
    <x v="2"/>
    <x v="1"/>
  </r>
  <r>
    <s v="ORD100452"/>
    <d v="2025-01-02T00:00:00"/>
    <x v="1"/>
    <s v="Chandigarh"/>
    <x v="6"/>
    <s v="Small Business"/>
    <x v="0"/>
    <s v="Laptop"/>
    <x v="437"/>
    <n v="5"/>
    <n v="3910.46"/>
    <n v="10"/>
    <x v="450"/>
    <n v="13077.53"/>
    <n v="4519.54"/>
    <x v="2"/>
    <s v="Cash"/>
    <x v="9"/>
    <x v="0"/>
  </r>
  <r>
    <s v="ORD100453"/>
    <d v="2025-06-01T00:00:00"/>
    <x v="2"/>
    <s v="Chennai"/>
    <x v="6"/>
    <s v="Small Business"/>
    <x v="2"/>
    <s v="Pens"/>
    <x v="438"/>
    <n v="15"/>
    <n v="2500.34"/>
    <n v="0"/>
    <x v="451"/>
    <n v="24195.919999999998"/>
    <n v="13309.18"/>
    <x v="0"/>
    <s v="Cash"/>
    <x v="10"/>
    <x v="0"/>
  </r>
  <r>
    <s v="ORD100454"/>
    <d v="2026-03-08T00:00:00"/>
    <x v="2"/>
    <s v="Chennai"/>
    <x v="6"/>
    <s v="Small Business"/>
    <x v="0"/>
    <s v="Mouse"/>
    <x v="439"/>
    <n v="14"/>
    <n v="1647.46"/>
    <n v="20"/>
    <x v="452"/>
    <n v="13777.13"/>
    <n v="4674.42"/>
    <x v="1"/>
    <s v="UPI"/>
    <x v="3"/>
    <x v="1"/>
  </r>
  <r>
    <s v="ORD100455"/>
    <d v="2025-06-12T00:00:00"/>
    <x v="3"/>
    <s v="Bhubaneswar"/>
    <x v="6"/>
    <s v="Corporate"/>
    <x v="0"/>
    <s v="Mouse"/>
    <x v="440"/>
    <n v="6"/>
    <n v="2189.11"/>
    <n v="5"/>
    <x v="453"/>
    <n v="7096.48"/>
    <n v="5381.45"/>
    <x v="1"/>
    <s v="UPI"/>
    <x v="10"/>
    <x v="0"/>
  </r>
  <r>
    <s v="ORD100456"/>
    <d v="2025-02-07T00:00:00"/>
    <x v="0"/>
    <s v="Mumbai"/>
    <x v="2"/>
    <s v="Consumer"/>
    <x v="0"/>
    <s v="Headphones"/>
    <x v="441"/>
    <n v="12"/>
    <n v="717.51"/>
    <n v="20"/>
    <x v="454"/>
    <n v="4990.57"/>
    <n v="1897.53"/>
    <x v="0"/>
    <s v="UPI"/>
    <x v="2"/>
    <x v="0"/>
  </r>
  <r>
    <s v="ORD100457"/>
    <d v="2025-12-31T00:00:00"/>
    <x v="2"/>
    <s v="Chennai"/>
    <x v="7"/>
    <s v="Consumer"/>
    <x v="2"/>
    <s v="Pens"/>
    <x v="442"/>
    <n v="14"/>
    <n v="1204.32"/>
    <n v="5"/>
    <x v="455"/>
    <n v="9316.6299999999992"/>
    <n v="6700.83"/>
    <x v="1"/>
    <s v="Net Banking"/>
    <x v="11"/>
    <x v="0"/>
  </r>
  <r>
    <s v="ORD100458"/>
    <d v="2025-01-24T00:00:00"/>
    <x v="0"/>
    <s v="Mumbai"/>
    <x v="1"/>
    <s v="Consumer"/>
    <x v="1"/>
    <s v="Desk"/>
    <x v="443"/>
    <n v="8"/>
    <n v="469.56"/>
    <n v="0"/>
    <x v="456"/>
    <n v="2839.66"/>
    <n v="916.82"/>
    <x v="2"/>
    <s v="Net Banking"/>
    <x v="9"/>
    <x v="0"/>
  </r>
  <r>
    <s v="ORD100459"/>
    <d v="2026-04-11T00:00:00"/>
    <x v="2"/>
    <s v="Chennai"/>
    <x v="1"/>
    <s v="Corporate"/>
    <x v="0"/>
    <s v="Keyboard"/>
    <x v="444"/>
    <n v="11"/>
    <n v="3341.82"/>
    <n v="0"/>
    <x v="457"/>
    <n v="29251.27"/>
    <n v="7508.75"/>
    <x v="2"/>
    <s v="Cash"/>
    <x v="7"/>
    <x v="1"/>
  </r>
  <r>
    <s v="ORD100460"/>
    <d v="2025-02-10T00:00:00"/>
    <x v="3"/>
    <s v="Bhubaneswar"/>
    <x v="4"/>
    <s v="Consumer"/>
    <x v="2"/>
    <s v="Notebook"/>
    <x v="445"/>
    <n v="1"/>
    <n v="4839.21"/>
    <n v="10"/>
    <x v="458"/>
    <n v="2941.1"/>
    <n v="1414.19"/>
    <x v="0"/>
    <s v="Card"/>
    <x v="2"/>
    <x v="0"/>
  </r>
  <r>
    <s v="ORD100461"/>
    <d v="2025-12-06T00:00:00"/>
    <x v="1"/>
    <s v="Chandigarh"/>
    <x v="4"/>
    <s v="Corporate"/>
    <x v="0"/>
    <s v="Headphones"/>
    <x v="446"/>
    <n v="3"/>
    <n v="3030.34"/>
    <n v="0"/>
    <x v="459"/>
    <n v="5206.55"/>
    <n v="3884.47"/>
    <x v="0"/>
    <s v="UPI"/>
    <x v="11"/>
    <x v="0"/>
  </r>
  <r>
    <s v="ORD100462"/>
    <d v="2025-12-18T00:00:00"/>
    <x v="0"/>
    <s v="Ahmedabad"/>
    <x v="1"/>
    <s v="Corporate"/>
    <x v="1"/>
    <s v="Chair"/>
    <x v="447"/>
    <n v="9"/>
    <n v="1696.26"/>
    <n v="5"/>
    <x v="460"/>
    <n v="8731.89"/>
    <n v="5771.13"/>
    <x v="0"/>
    <s v="Card"/>
    <x v="11"/>
    <x v="0"/>
  </r>
  <r>
    <s v="ORD100463"/>
    <d v="2025-04-24T00:00:00"/>
    <x v="0"/>
    <s v="Ahmedabad"/>
    <x v="3"/>
    <s v="Consumer"/>
    <x v="1"/>
    <s v="Table"/>
    <x v="448"/>
    <n v="9"/>
    <n v="2684.31"/>
    <n v="5"/>
    <x v="461"/>
    <n v="13255.78"/>
    <n v="9695.07"/>
    <x v="0"/>
    <s v="UPI"/>
    <x v="7"/>
    <x v="0"/>
  </r>
  <r>
    <s v="ORD100464"/>
    <d v="2025-10-21T00:00:00"/>
    <x v="1"/>
    <s v="Delhi"/>
    <x v="3"/>
    <s v="Small Business"/>
    <x v="2"/>
    <s v="Folders"/>
    <x v="449"/>
    <n v="12"/>
    <n v="4528.62"/>
    <n v="10"/>
    <x v="462"/>
    <n v="35776.769999999997"/>
    <n v="13132.33"/>
    <x v="2"/>
    <s v="Card"/>
    <x v="1"/>
    <x v="0"/>
  </r>
  <r>
    <s v="ORD100465"/>
    <d v="2026-04-03T00:00:00"/>
    <x v="0"/>
    <s v="Mumbai"/>
    <x v="5"/>
    <s v="Corporate"/>
    <x v="0"/>
    <s v="Laptop"/>
    <x v="450"/>
    <n v="9"/>
    <n v="3075.09"/>
    <n v="20"/>
    <x v="463"/>
    <n v="13824.35"/>
    <n v="8316.2999999999993"/>
    <x v="0"/>
    <s v="Card"/>
    <x v="7"/>
    <x v="1"/>
  </r>
  <r>
    <s v="ORD100466"/>
    <d v="2025-03-14T00:00:00"/>
    <x v="0"/>
    <s v="Ahmedabad"/>
    <x v="5"/>
    <s v="Corporate"/>
    <x v="2"/>
    <s v="Printer Ink"/>
    <x v="451"/>
    <n v="12"/>
    <n v="3300.62"/>
    <n v="10"/>
    <x v="464"/>
    <n v="27651.66"/>
    <n v="7995.04"/>
    <x v="1"/>
    <s v="Net Banking"/>
    <x v="3"/>
    <x v="0"/>
  </r>
  <r>
    <s v="ORD100467"/>
    <d v="2025-10-28T00:00:00"/>
    <x v="1"/>
    <s v="Delhi"/>
    <x v="6"/>
    <s v="Small Business"/>
    <x v="2"/>
    <s v="Printer Ink"/>
    <x v="452"/>
    <n v="10"/>
    <n v="2507.33"/>
    <n v="10"/>
    <x v="465"/>
    <n v="17773.259999999998"/>
    <n v="4792.71"/>
    <x v="2"/>
    <s v="Cash"/>
    <x v="1"/>
    <x v="0"/>
  </r>
  <r>
    <s v="ORD100468"/>
    <d v="2026-02-06T00:00:00"/>
    <x v="2"/>
    <s v="Bengaluru"/>
    <x v="2"/>
    <s v="Small Business"/>
    <x v="2"/>
    <s v="Folders"/>
    <x v="453"/>
    <n v="14"/>
    <n v="4893.26"/>
    <n v="15"/>
    <x v="466"/>
    <n v="43388.14"/>
    <n v="14841.65"/>
    <x v="2"/>
    <s v="Cash"/>
    <x v="2"/>
    <x v="1"/>
  </r>
  <r>
    <s v="ORD100469"/>
    <d v="2026-03-01T00:00:00"/>
    <x v="3"/>
    <s v="Bhubaneswar"/>
    <x v="5"/>
    <s v="Consumer"/>
    <x v="1"/>
    <s v="Chair"/>
    <x v="454"/>
    <n v="13"/>
    <n v="4351.42"/>
    <n v="10"/>
    <x v="467"/>
    <n v="39334.22"/>
    <n v="11577.39"/>
    <x v="0"/>
    <s v="UPI"/>
    <x v="3"/>
    <x v="1"/>
  </r>
  <r>
    <s v="ORD100470"/>
    <d v="2025-09-12T00:00:00"/>
    <x v="3"/>
    <s v="Bhubaneswar"/>
    <x v="1"/>
    <s v="Consumer"/>
    <x v="2"/>
    <s v="Folders"/>
    <x v="455"/>
    <n v="6"/>
    <n v="259.58999999999997"/>
    <n v="0"/>
    <x v="468"/>
    <n v="1259.1300000000001"/>
    <n v="298.41000000000003"/>
    <x v="2"/>
    <s v="Card"/>
    <x v="4"/>
    <x v="0"/>
  </r>
  <r>
    <s v="ORD100471"/>
    <d v="2025-02-17T00:00:00"/>
    <x v="3"/>
    <s v="Bhubaneswar"/>
    <x v="3"/>
    <s v="Corporate"/>
    <x v="0"/>
    <s v="Keyboard"/>
    <x v="456"/>
    <n v="5"/>
    <n v="1531.95"/>
    <n v="0"/>
    <x v="469"/>
    <n v="4812.32"/>
    <n v="2847.43"/>
    <x v="2"/>
    <s v="Card"/>
    <x v="2"/>
    <x v="0"/>
  </r>
  <r>
    <s v="ORD100472"/>
    <d v="2025-07-02T00:00:00"/>
    <x v="0"/>
    <s v="Mumbai"/>
    <x v="1"/>
    <s v="Corporate"/>
    <x v="2"/>
    <s v="Folders"/>
    <x v="457"/>
    <n v="7"/>
    <n v="2473.04"/>
    <n v="20"/>
    <x v="470"/>
    <n v="10573.59"/>
    <n v="3275.43"/>
    <x v="2"/>
    <s v="Cash"/>
    <x v="5"/>
    <x v="0"/>
  </r>
  <r>
    <s v="ORD100473"/>
    <d v="2025-09-07T00:00:00"/>
    <x v="3"/>
    <s v="Bhubaneswar"/>
    <x v="3"/>
    <s v="Small Business"/>
    <x v="1"/>
    <s v="Desk"/>
    <x v="458"/>
    <n v="10"/>
    <n v="1165.8499999999999"/>
    <n v="15"/>
    <x v="471"/>
    <n v="5520.28"/>
    <n v="4389.45"/>
    <x v="2"/>
    <s v="Cash"/>
    <x v="4"/>
    <x v="0"/>
  </r>
  <r>
    <s v="ORD100474"/>
    <d v="2026-02-04T00:00:00"/>
    <x v="1"/>
    <s v="Delhi"/>
    <x v="2"/>
    <s v="Corporate"/>
    <x v="1"/>
    <s v="Bookshelf"/>
    <x v="459"/>
    <n v="13"/>
    <n v="1319.97"/>
    <n v="5"/>
    <x v="472"/>
    <n v="9418.36"/>
    <n v="6883.27"/>
    <x v="1"/>
    <s v="UPI"/>
    <x v="2"/>
    <x v="1"/>
  </r>
  <r>
    <s v="ORD100475"/>
    <d v="2026-03-14T00:00:00"/>
    <x v="1"/>
    <s v="Delhi"/>
    <x v="3"/>
    <s v="Small Business"/>
    <x v="1"/>
    <s v="Table"/>
    <x v="460"/>
    <n v="11"/>
    <n v="2587.27"/>
    <n v="0"/>
    <x v="473"/>
    <n v="18515.57"/>
    <n v="9944.4"/>
    <x v="0"/>
    <s v="Card"/>
    <x v="3"/>
    <x v="1"/>
  </r>
  <r>
    <s v="ORD100476"/>
    <d v="2025-01-26T00:00:00"/>
    <x v="2"/>
    <s v="Bengaluru"/>
    <x v="2"/>
    <s v="Corporate"/>
    <x v="2"/>
    <s v="Printer Ink"/>
    <x v="461"/>
    <n v="11"/>
    <n v="3339.74"/>
    <n v="20"/>
    <x v="474"/>
    <n v="22680.95"/>
    <n v="6708.76"/>
    <x v="0"/>
    <s v="Cash"/>
    <x v="9"/>
    <x v="0"/>
  </r>
  <r>
    <s v="ORD100477"/>
    <d v="2026-06-15T00:00:00"/>
    <x v="1"/>
    <s v="Delhi"/>
    <x v="1"/>
    <s v="Small Business"/>
    <x v="1"/>
    <s v="Table"/>
    <x v="462"/>
    <n v="13"/>
    <n v="2272.52"/>
    <n v="10"/>
    <x v="475"/>
    <n v="17363"/>
    <n v="9225.48"/>
    <x v="0"/>
    <s v="Cash"/>
    <x v="10"/>
    <x v="1"/>
  </r>
  <r>
    <s v="ORD100478"/>
    <d v="2025-02-07T00:00:00"/>
    <x v="3"/>
    <s v="Bhubaneswar"/>
    <x v="2"/>
    <s v="Small Business"/>
    <x v="0"/>
    <s v="Keyboard"/>
    <x v="463"/>
    <n v="2"/>
    <n v="517.76"/>
    <n v="0"/>
    <x v="476"/>
    <n v="682.88"/>
    <n v="352.64"/>
    <x v="1"/>
    <s v="UPI"/>
    <x v="2"/>
    <x v="0"/>
  </r>
  <r>
    <s v="ORD100479"/>
    <d v="2025-10-15T00:00:00"/>
    <x v="0"/>
    <s v="Ahmedabad"/>
    <x v="3"/>
    <s v="Small Business"/>
    <x v="1"/>
    <s v="Bookshelf"/>
    <x v="464"/>
    <n v="2"/>
    <n v="2011.08"/>
    <n v="5"/>
    <x v="477"/>
    <n v="2197.39"/>
    <n v="1623.66"/>
    <x v="0"/>
    <s v="Net Banking"/>
    <x v="1"/>
    <x v="0"/>
  </r>
  <r>
    <s v="ORD100480"/>
    <d v="2025-02-07T00:00:00"/>
    <x v="3"/>
    <s v="Bhubaneswar"/>
    <x v="4"/>
    <s v="Consumer"/>
    <x v="0"/>
    <s v="Monitor"/>
    <x v="465"/>
    <n v="7"/>
    <n v="2812"/>
    <n v="0"/>
    <x v="478"/>
    <n v="11938.74"/>
    <n v="7745.26"/>
    <x v="1"/>
    <s v="Net Banking"/>
    <x v="2"/>
    <x v="0"/>
  </r>
  <r>
    <s v="ORD100481"/>
    <d v="2025-12-24T00:00:00"/>
    <x v="2"/>
    <s v="Chennai"/>
    <x v="2"/>
    <s v="Corporate"/>
    <x v="2"/>
    <s v="Printer Ink"/>
    <x v="466"/>
    <n v="1"/>
    <n v="2266.38"/>
    <n v="5"/>
    <x v="479"/>
    <n v="1678.05"/>
    <n v="475.01"/>
    <x v="0"/>
    <s v="UPI"/>
    <x v="11"/>
    <x v="0"/>
  </r>
  <r>
    <s v="ORD100482"/>
    <d v="2026-02-15T00:00:00"/>
    <x v="0"/>
    <s v="Mumbai"/>
    <x v="6"/>
    <s v="Consumer"/>
    <x v="1"/>
    <s v="Cabinet"/>
    <x v="467"/>
    <n v="4"/>
    <n v="4941.53"/>
    <n v="15"/>
    <x v="480"/>
    <n v="10085.9"/>
    <n v="6715.3"/>
    <x v="1"/>
    <s v="Cash"/>
    <x v="2"/>
    <x v="1"/>
  </r>
  <r>
    <s v="ORD100483"/>
    <d v="2026-01-08T00:00:00"/>
    <x v="0"/>
    <s v="Ahmedabad"/>
    <x v="5"/>
    <s v="Corporate"/>
    <x v="2"/>
    <s v="Printer Ink"/>
    <x v="468"/>
    <n v="4"/>
    <n v="1637.24"/>
    <n v="20"/>
    <x v="481"/>
    <n v="3018.64"/>
    <n v="2220.5300000000002"/>
    <x v="0"/>
    <s v="Net Banking"/>
    <x v="9"/>
    <x v="1"/>
  </r>
  <r>
    <s v="ORD100484"/>
    <d v="2026-01-02T00:00:00"/>
    <x v="1"/>
    <s v="Chandigarh"/>
    <x v="6"/>
    <s v="Corporate"/>
    <x v="0"/>
    <s v="Keyboard"/>
    <x v="469"/>
    <n v="8"/>
    <n v="1875.46"/>
    <n v="20"/>
    <x v="482"/>
    <n v="7351.02"/>
    <n v="4651.92"/>
    <x v="2"/>
    <s v="UPI"/>
    <x v="9"/>
    <x v="1"/>
  </r>
  <r>
    <s v="ORD100485"/>
    <d v="2026-02-05T00:00:00"/>
    <x v="0"/>
    <s v="Ahmedabad"/>
    <x v="0"/>
    <s v="Small Business"/>
    <x v="0"/>
    <s v="Keyboard"/>
    <x v="444"/>
    <n v="12"/>
    <n v="4900.76"/>
    <n v="20"/>
    <x v="483"/>
    <n v="37638.11"/>
    <n v="9409.19"/>
    <x v="1"/>
    <s v="UPI"/>
    <x v="2"/>
    <x v="1"/>
  </r>
  <r>
    <s v="ORD100486"/>
    <d v="2025-03-03T00:00:00"/>
    <x v="3"/>
    <s v="Bhubaneswar"/>
    <x v="3"/>
    <s v="Small Business"/>
    <x v="0"/>
    <s v="Monitor"/>
    <x v="470"/>
    <n v="1"/>
    <n v="330.52"/>
    <n v="0"/>
    <x v="484"/>
    <n v="254.74"/>
    <n v="75.78"/>
    <x v="2"/>
    <s v="Net Banking"/>
    <x v="3"/>
    <x v="0"/>
  </r>
  <r>
    <s v="ORD100487"/>
    <d v="2026-04-17T00:00:00"/>
    <x v="2"/>
    <s v="Bengaluru"/>
    <x v="3"/>
    <s v="Small Business"/>
    <x v="0"/>
    <s v="Keyboard"/>
    <x v="471"/>
    <n v="12"/>
    <n v="4048.84"/>
    <n v="5"/>
    <x v="485"/>
    <n v="32111.48"/>
    <n v="14045.3"/>
    <x v="0"/>
    <s v="Card"/>
    <x v="7"/>
    <x v="1"/>
  </r>
  <r>
    <s v="ORD100488"/>
    <d v="2025-04-13T00:00:00"/>
    <x v="3"/>
    <s v="Bhubaneswar"/>
    <x v="4"/>
    <s v="Consumer"/>
    <x v="0"/>
    <s v="Keyboard"/>
    <x v="472"/>
    <n v="8"/>
    <n v="2976.71"/>
    <n v="20"/>
    <x v="486"/>
    <n v="14893.71"/>
    <n v="4157.2299999999996"/>
    <x v="2"/>
    <s v="Card"/>
    <x v="7"/>
    <x v="0"/>
  </r>
  <r>
    <s v="ORD100489"/>
    <d v="2026-01-07T00:00:00"/>
    <x v="1"/>
    <s v="Chandigarh"/>
    <x v="3"/>
    <s v="Corporate"/>
    <x v="0"/>
    <s v="Laptop"/>
    <x v="473"/>
    <n v="10"/>
    <n v="4855.1000000000004"/>
    <n v="20"/>
    <x v="487"/>
    <n v="30376.36"/>
    <n v="8464.44"/>
    <x v="0"/>
    <s v="Card"/>
    <x v="9"/>
    <x v="1"/>
  </r>
  <r>
    <s v="ORD100490"/>
    <d v="2026-04-13T00:00:00"/>
    <x v="2"/>
    <s v="Bengaluru"/>
    <x v="4"/>
    <s v="Corporate"/>
    <x v="2"/>
    <s v="Paper"/>
    <x v="474"/>
    <n v="1"/>
    <n v="4366.71"/>
    <n v="0"/>
    <x v="488"/>
    <n v="2638.36"/>
    <n v="1728.35"/>
    <x v="1"/>
    <s v="Net Banking"/>
    <x v="7"/>
    <x v="1"/>
  </r>
  <r>
    <s v="ORD100491"/>
    <d v="2025-12-25T00:00:00"/>
    <x v="0"/>
    <s v="Mumbai"/>
    <x v="1"/>
    <s v="Consumer"/>
    <x v="2"/>
    <s v="Paper"/>
    <x v="475"/>
    <n v="11"/>
    <n v="2596.33"/>
    <n v="15"/>
    <x v="489"/>
    <n v="19410.099999999999"/>
    <n v="4865.59"/>
    <x v="0"/>
    <s v="Card"/>
    <x v="11"/>
    <x v="0"/>
  </r>
  <r>
    <s v="ORD100492"/>
    <d v="2025-05-19T00:00:00"/>
    <x v="2"/>
    <s v="Bengaluru"/>
    <x v="5"/>
    <s v="Consumer"/>
    <x v="1"/>
    <s v="Desk"/>
    <x v="476"/>
    <n v="11"/>
    <n v="3115.47"/>
    <n v="0"/>
    <x v="490"/>
    <n v="25273.06"/>
    <n v="8997.11"/>
    <x v="2"/>
    <s v="Net Banking"/>
    <x v="0"/>
    <x v="0"/>
  </r>
  <r>
    <s v="ORD100493"/>
    <d v="2025-08-14T00:00:00"/>
    <x v="2"/>
    <s v="Chennai"/>
    <x v="5"/>
    <s v="Consumer"/>
    <x v="1"/>
    <s v="Cabinet"/>
    <x v="477"/>
    <n v="11"/>
    <n v="332.21"/>
    <n v="5"/>
    <x v="491"/>
    <n v="2178.27"/>
    <n v="1293.32"/>
    <x v="2"/>
    <s v="Card"/>
    <x v="6"/>
    <x v="0"/>
  </r>
  <r>
    <s v="ORD100494"/>
    <d v="2026-02-07T00:00:00"/>
    <x v="1"/>
    <s v="Delhi"/>
    <x v="2"/>
    <s v="Small Business"/>
    <x v="2"/>
    <s v="Pens"/>
    <x v="478"/>
    <n v="1"/>
    <n v="3348.96"/>
    <n v="15"/>
    <x v="492"/>
    <n v="2002.44"/>
    <n v="844.18"/>
    <x v="2"/>
    <s v="Net Banking"/>
    <x v="2"/>
    <x v="1"/>
  </r>
  <r>
    <s v="ORD100495"/>
    <d v="2026-02-12T00:00:00"/>
    <x v="3"/>
    <s v="Bhubaneswar"/>
    <x v="3"/>
    <s v="Consumer"/>
    <x v="1"/>
    <s v="Cabinet"/>
    <x v="479"/>
    <n v="6"/>
    <n v="329.3"/>
    <n v="10"/>
    <x v="493"/>
    <n v="1239.04"/>
    <n v="539.17999999999995"/>
    <x v="1"/>
    <s v="Cash"/>
    <x v="2"/>
    <x v="1"/>
  </r>
  <r>
    <s v="ORD100496"/>
    <d v="2025-04-24T00:00:00"/>
    <x v="3"/>
    <s v="Kolkata"/>
    <x v="6"/>
    <s v="Consumer"/>
    <x v="2"/>
    <s v="Folders"/>
    <x v="480"/>
    <n v="14"/>
    <n v="3968.35"/>
    <n v="10"/>
    <x v="494"/>
    <n v="37636.99"/>
    <n v="12364.22"/>
    <x v="0"/>
    <s v="Card"/>
    <x v="7"/>
    <x v="0"/>
  </r>
  <r>
    <s v="ORD100497"/>
    <d v="2025-09-09T00:00:00"/>
    <x v="1"/>
    <s v="Chandigarh"/>
    <x v="2"/>
    <s v="Corporate"/>
    <x v="1"/>
    <s v="Table"/>
    <x v="481"/>
    <n v="2"/>
    <n v="4675.66"/>
    <n v="20"/>
    <x v="495"/>
    <n v="5665.66"/>
    <n v="1815.4"/>
    <x v="0"/>
    <s v="UPI"/>
    <x v="4"/>
    <x v="0"/>
  </r>
  <r>
    <s v="ORD100498"/>
    <d v="2025-12-13T00:00:00"/>
    <x v="3"/>
    <s v="Bhubaneswar"/>
    <x v="3"/>
    <s v="Consumer"/>
    <x v="0"/>
    <s v="Keyboard"/>
    <x v="482"/>
    <n v="13"/>
    <n v="1472.84"/>
    <n v="15"/>
    <x v="496"/>
    <n v="10383.68"/>
    <n v="5891.2"/>
    <x v="1"/>
    <s v="Net Banking"/>
    <x v="11"/>
    <x v="0"/>
  </r>
  <r>
    <s v="ORD100499"/>
    <d v="2025-02-09T00:00:00"/>
    <x v="1"/>
    <s v="Delhi"/>
    <x v="3"/>
    <s v="Corporate"/>
    <x v="2"/>
    <s v="Folders"/>
    <x v="483"/>
    <n v="15"/>
    <n v="726.59"/>
    <n v="20"/>
    <x v="497"/>
    <n v="6190.14"/>
    <n v="2528.94"/>
    <x v="0"/>
    <s v="Card"/>
    <x v="2"/>
    <x v="0"/>
  </r>
  <r>
    <s v="ORD100500"/>
    <d v="2026-02-26T00:00:00"/>
    <x v="1"/>
    <s v="Delhi"/>
    <x v="7"/>
    <s v="Corporate"/>
    <x v="0"/>
    <s v="Monitor"/>
    <x v="484"/>
    <n v="3"/>
    <n v="3391.59"/>
    <n v="15"/>
    <x v="498"/>
    <n v="6797.13"/>
    <n v="1851.42"/>
    <x v="2"/>
    <s v="UPI"/>
    <x v="2"/>
    <x v="1"/>
  </r>
  <r>
    <s v="ORD100501"/>
    <d v="2025-03-03T00:00:00"/>
    <x v="0"/>
    <s v="Mumbai"/>
    <x v="3"/>
    <s v="Corporate"/>
    <x v="2"/>
    <s v="Printer Ink"/>
    <x v="485"/>
    <n v="1"/>
    <n v="4377.57"/>
    <n v="0"/>
    <x v="499"/>
    <n v="3196.03"/>
    <n v="1181.54"/>
    <x v="0"/>
    <s v="Net Banking"/>
    <x v="3"/>
    <x v="0"/>
  </r>
  <r>
    <s v="ORD100502"/>
    <d v="2026-03-24T00:00:00"/>
    <x v="2"/>
    <s v="Bengaluru"/>
    <x v="5"/>
    <s v="Small Business"/>
    <x v="1"/>
    <s v="Bookshelf"/>
    <x v="486"/>
    <n v="13"/>
    <n v="2459.94"/>
    <n v="0"/>
    <x v="500"/>
    <n v="20948.060000000001"/>
    <n v="11031.16"/>
    <x v="1"/>
    <s v="Card"/>
    <x v="3"/>
    <x v="1"/>
  </r>
  <r>
    <s v="ORD100503"/>
    <d v="2025-01-05T00:00:00"/>
    <x v="0"/>
    <s v="Mumbai"/>
    <x v="2"/>
    <s v="Corporate"/>
    <x v="0"/>
    <s v="Mouse"/>
    <x v="487"/>
    <n v="9"/>
    <n v="4191.16"/>
    <n v="0"/>
    <x v="501"/>
    <n v="27300.12"/>
    <n v="10420.32"/>
    <x v="1"/>
    <s v="Net Banking"/>
    <x v="9"/>
    <x v="0"/>
  </r>
  <r>
    <s v="ORD100504"/>
    <d v="2025-04-22T00:00:00"/>
    <x v="1"/>
    <s v="Delhi"/>
    <x v="6"/>
    <s v="Small Business"/>
    <x v="1"/>
    <s v="Cabinet"/>
    <x v="488"/>
    <n v="7"/>
    <n v="4390.59"/>
    <n v="5"/>
    <x v="502"/>
    <n v="19896.82"/>
    <n v="9300.6"/>
    <x v="2"/>
    <s v="Card"/>
    <x v="7"/>
    <x v="0"/>
  </r>
  <r>
    <s v="ORD100505"/>
    <d v="2026-02-20T00:00:00"/>
    <x v="0"/>
    <s v="Ahmedabad"/>
    <x v="7"/>
    <s v="Corporate"/>
    <x v="2"/>
    <s v="Folders"/>
    <x v="489"/>
    <n v="7"/>
    <n v="2977.62"/>
    <n v="15"/>
    <x v="503"/>
    <n v="13466.86"/>
    <n v="4249.9799999999996"/>
    <x v="1"/>
    <s v="Net Banking"/>
    <x v="2"/>
    <x v="1"/>
  </r>
  <r>
    <s v="ORD100506"/>
    <d v="2026-03-12T00:00:00"/>
    <x v="0"/>
    <s v="Ahmedabad"/>
    <x v="4"/>
    <s v="Consumer"/>
    <x v="2"/>
    <s v="Printer Ink"/>
    <x v="490"/>
    <n v="2"/>
    <n v="2162.0700000000002"/>
    <n v="15"/>
    <x v="504"/>
    <n v="2416.6"/>
    <n v="1258.92"/>
    <x v="2"/>
    <s v="UPI"/>
    <x v="3"/>
    <x v="1"/>
  </r>
  <r>
    <s v="ORD100507"/>
    <d v="2025-10-10T00:00:00"/>
    <x v="2"/>
    <s v="Bengaluru"/>
    <x v="2"/>
    <s v="Corporate"/>
    <x v="2"/>
    <s v="Folders"/>
    <x v="491"/>
    <n v="5"/>
    <n v="593.47"/>
    <n v="20"/>
    <x v="505"/>
    <n v="1523.38"/>
    <n v="850.5"/>
    <x v="1"/>
    <s v="Card"/>
    <x v="1"/>
    <x v="0"/>
  </r>
  <r>
    <s v="ORD100508"/>
    <d v="2026-05-20T00:00:00"/>
    <x v="3"/>
    <s v="Bhubaneswar"/>
    <x v="1"/>
    <s v="Small Business"/>
    <x v="2"/>
    <s v="Folders"/>
    <x v="492"/>
    <n v="3"/>
    <n v="3120.5"/>
    <n v="5"/>
    <x v="506"/>
    <n v="5801.61"/>
    <n v="3091.81"/>
    <x v="0"/>
    <s v="Card"/>
    <x v="0"/>
    <x v="1"/>
  </r>
  <r>
    <s v="ORD100509"/>
    <d v="2025-01-23T00:00:00"/>
    <x v="3"/>
    <s v="Kolkata"/>
    <x v="3"/>
    <s v="Consumer"/>
    <x v="1"/>
    <s v="Cabinet"/>
    <x v="493"/>
    <n v="4"/>
    <n v="4819.82"/>
    <n v="20"/>
    <x v="507"/>
    <n v="8716.2199999999993"/>
    <n v="6707.2"/>
    <x v="0"/>
    <s v="UPI"/>
    <x v="9"/>
    <x v="0"/>
  </r>
  <r>
    <s v="ORD100510"/>
    <d v="2025-12-15T00:00:00"/>
    <x v="1"/>
    <s v="Chandigarh"/>
    <x v="2"/>
    <s v="Corporate"/>
    <x v="0"/>
    <s v="Laptop"/>
    <x v="494"/>
    <n v="11"/>
    <n v="663.69"/>
    <n v="0"/>
    <x v="508"/>
    <n v="4015.62"/>
    <n v="3284.97"/>
    <x v="1"/>
    <s v="UPI"/>
    <x v="11"/>
    <x v="0"/>
  </r>
  <r>
    <s v="ORD100511"/>
    <d v="2025-12-14T00:00:00"/>
    <x v="1"/>
    <s v="Chandigarh"/>
    <x v="2"/>
    <s v="Corporate"/>
    <x v="0"/>
    <s v="Monitor"/>
    <x v="495"/>
    <n v="1"/>
    <n v="2695.22"/>
    <n v="0"/>
    <x v="509"/>
    <n v="1581.35"/>
    <n v="1113.8699999999999"/>
    <x v="1"/>
    <s v="Cash"/>
    <x v="11"/>
    <x v="0"/>
  </r>
  <r>
    <s v="ORD100512"/>
    <d v="2026-02-28T00:00:00"/>
    <x v="1"/>
    <s v="Delhi"/>
    <x v="3"/>
    <s v="Corporate"/>
    <x v="0"/>
    <s v="Keyboard"/>
    <x v="496"/>
    <n v="8"/>
    <n v="4921.0200000000004"/>
    <n v="0"/>
    <x v="510"/>
    <n v="21769.61"/>
    <n v="17598.55"/>
    <x v="2"/>
    <s v="Card"/>
    <x v="2"/>
    <x v="1"/>
  </r>
  <r>
    <s v="ORD100513"/>
    <d v="2026-04-12T00:00:00"/>
    <x v="3"/>
    <s v="Kolkata"/>
    <x v="7"/>
    <s v="Consumer"/>
    <x v="0"/>
    <s v="Monitor"/>
    <x v="497"/>
    <n v="10"/>
    <n v="4186.7700000000004"/>
    <n v="0"/>
    <x v="511"/>
    <n v="32985.949999999997"/>
    <n v="8881.75"/>
    <x v="1"/>
    <s v="Card"/>
    <x v="7"/>
    <x v="1"/>
  </r>
  <r>
    <s v="ORD100514"/>
    <d v="2025-11-03T00:00:00"/>
    <x v="3"/>
    <s v="Kolkata"/>
    <x v="7"/>
    <s v="Small Business"/>
    <x v="1"/>
    <s v="Cabinet"/>
    <x v="244"/>
    <n v="5"/>
    <n v="1494.98"/>
    <n v="20"/>
    <x v="512"/>
    <n v="3881.45"/>
    <n v="2098.4699999999998"/>
    <x v="0"/>
    <s v="Card"/>
    <x v="8"/>
    <x v="0"/>
  </r>
  <r>
    <s v="ORD100515"/>
    <d v="2026-05-14T00:00:00"/>
    <x v="2"/>
    <s v="Chennai"/>
    <x v="0"/>
    <s v="Corporate"/>
    <x v="1"/>
    <s v="Desk"/>
    <x v="498"/>
    <n v="3"/>
    <n v="1054.0899999999999"/>
    <n v="20"/>
    <x v="513"/>
    <n v="1831.83"/>
    <n v="697.99"/>
    <x v="1"/>
    <s v="Card"/>
    <x v="0"/>
    <x v="1"/>
  </r>
  <r>
    <s v="ORD100516"/>
    <d v="2025-02-27T00:00:00"/>
    <x v="0"/>
    <s v="Mumbai"/>
    <x v="4"/>
    <s v="Consumer"/>
    <x v="0"/>
    <s v="Laptop"/>
    <x v="499"/>
    <n v="12"/>
    <n v="376.24"/>
    <n v="0"/>
    <x v="514"/>
    <n v="3517.56"/>
    <n v="997.32"/>
    <x v="2"/>
    <s v="Net Banking"/>
    <x v="2"/>
    <x v="0"/>
  </r>
  <r>
    <s v="ORD100517"/>
    <d v="2026-03-17T00:00:00"/>
    <x v="1"/>
    <s v="Chandigarh"/>
    <x v="4"/>
    <s v="Small Business"/>
    <x v="0"/>
    <s v="Headphones"/>
    <x v="500"/>
    <n v="12"/>
    <n v="1440.45"/>
    <n v="20"/>
    <x v="515"/>
    <n v="7910.99"/>
    <n v="5917.33"/>
    <x v="2"/>
    <s v="Net Banking"/>
    <x v="3"/>
    <x v="1"/>
  </r>
  <r>
    <s v="ORD100518"/>
    <d v="2025-04-20T00:00:00"/>
    <x v="1"/>
    <s v="Chandigarh"/>
    <x v="3"/>
    <s v="Corporate"/>
    <x v="1"/>
    <s v="Table"/>
    <x v="501"/>
    <n v="14"/>
    <n v="370.02"/>
    <n v="0"/>
    <x v="516"/>
    <n v="2909.05"/>
    <n v="2271.23"/>
    <x v="0"/>
    <s v="Cash"/>
    <x v="7"/>
    <x v="0"/>
  </r>
  <r>
    <s v="ORD100519"/>
    <d v="2025-04-08T00:00:00"/>
    <x v="1"/>
    <s v="Delhi"/>
    <x v="4"/>
    <s v="Consumer"/>
    <x v="2"/>
    <s v="Paper"/>
    <x v="502"/>
    <n v="8"/>
    <n v="1817.22"/>
    <n v="20"/>
    <x v="517"/>
    <n v="8694.68"/>
    <n v="2935.53"/>
    <x v="0"/>
    <s v="Cash"/>
    <x v="7"/>
    <x v="0"/>
  </r>
  <r>
    <s v="ORD100520"/>
    <d v="2025-12-10T00:00:00"/>
    <x v="3"/>
    <s v="Kolkata"/>
    <x v="0"/>
    <s v="Corporate"/>
    <x v="1"/>
    <s v="Table"/>
    <x v="503"/>
    <n v="2"/>
    <n v="2746.65"/>
    <n v="15"/>
    <x v="518"/>
    <n v="3629.4"/>
    <n v="1039.9100000000001"/>
    <x v="0"/>
    <s v="Net Banking"/>
    <x v="11"/>
    <x v="0"/>
  </r>
  <r>
    <s v="ORD100521"/>
    <d v="2025-07-11T00:00:00"/>
    <x v="2"/>
    <s v="Chennai"/>
    <x v="1"/>
    <s v="Small Business"/>
    <x v="0"/>
    <s v="Laptop"/>
    <x v="504"/>
    <n v="8"/>
    <n v="2983.82"/>
    <n v="20"/>
    <x v="519"/>
    <n v="15006.67"/>
    <n v="4089.78"/>
    <x v="0"/>
    <s v="Cash"/>
    <x v="5"/>
    <x v="0"/>
  </r>
  <r>
    <s v="ORD100522"/>
    <d v="2025-12-18T00:00:00"/>
    <x v="0"/>
    <s v="Ahmedabad"/>
    <x v="4"/>
    <s v="Small Business"/>
    <x v="2"/>
    <s v="Pens"/>
    <x v="505"/>
    <n v="14"/>
    <n v="602.59"/>
    <n v="15"/>
    <x v="520"/>
    <n v="4065.63"/>
    <n v="3105.19"/>
    <x v="0"/>
    <s v="Cash"/>
    <x v="11"/>
    <x v="0"/>
  </r>
  <r>
    <s v="ORD100523"/>
    <d v="2025-04-16T00:00:00"/>
    <x v="3"/>
    <s v="Bhubaneswar"/>
    <x v="3"/>
    <s v="Small Business"/>
    <x v="2"/>
    <s v="Folders"/>
    <x v="506"/>
    <n v="6"/>
    <n v="4499.67"/>
    <n v="10"/>
    <x v="521"/>
    <n v="19798.64"/>
    <n v="4499.58"/>
    <x v="1"/>
    <s v="UPI"/>
    <x v="7"/>
    <x v="0"/>
  </r>
  <r>
    <s v="ORD100524"/>
    <d v="2025-09-03T00:00:00"/>
    <x v="3"/>
    <s v="Bhubaneswar"/>
    <x v="7"/>
    <s v="Small Business"/>
    <x v="2"/>
    <s v="Paper"/>
    <x v="507"/>
    <n v="11"/>
    <n v="1801.26"/>
    <n v="0"/>
    <x v="522"/>
    <n v="13708.89"/>
    <n v="6104.97"/>
    <x v="2"/>
    <s v="Cash"/>
    <x v="4"/>
    <x v="0"/>
  </r>
  <r>
    <s v="ORD100525"/>
    <d v="2025-09-21T00:00:00"/>
    <x v="1"/>
    <s v="Delhi"/>
    <x v="5"/>
    <s v="Small Business"/>
    <x v="0"/>
    <s v="Laptop"/>
    <x v="508"/>
    <n v="4"/>
    <n v="1939.54"/>
    <n v="15"/>
    <x v="523"/>
    <n v="3980.17"/>
    <n v="2614.27"/>
    <x v="0"/>
    <s v="Net Banking"/>
    <x v="4"/>
    <x v="0"/>
  </r>
  <r>
    <s v="ORD100526"/>
    <d v="2025-11-24T00:00:00"/>
    <x v="0"/>
    <s v="Ahmedabad"/>
    <x v="1"/>
    <s v="Small Business"/>
    <x v="1"/>
    <s v="Table"/>
    <x v="509"/>
    <n v="15"/>
    <n v="277.14"/>
    <n v="5"/>
    <x v="524"/>
    <n v="3176.76"/>
    <n v="772.48"/>
    <x v="2"/>
    <s v="UPI"/>
    <x v="8"/>
    <x v="0"/>
  </r>
  <r>
    <s v="ORD100527"/>
    <d v="2025-06-25T00:00:00"/>
    <x v="1"/>
    <s v="Chandigarh"/>
    <x v="6"/>
    <s v="Corporate"/>
    <x v="1"/>
    <s v="Table"/>
    <x v="510"/>
    <n v="14"/>
    <n v="1384.63"/>
    <n v="20"/>
    <x v="525"/>
    <n v="9878"/>
    <n v="5629.86"/>
    <x v="1"/>
    <s v="UPI"/>
    <x v="10"/>
    <x v="0"/>
  </r>
  <r>
    <s v="ORD100528"/>
    <d v="2025-08-13T00:00:00"/>
    <x v="3"/>
    <s v="Kolkata"/>
    <x v="1"/>
    <s v="Consumer"/>
    <x v="2"/>
    <s v="Pens"/>
    <x v="511"/>
    <n v="10"/>
    <n v="1250.6300000000001"/>
    <n v="20"/>
    <x v="526"/>
    <n v="7134.09"/>
    <n v="2870.95"/>
    <x v="2"/>
    <s v="Cash"/>
    <x v="6"/>
    <x v="0"/>
  </r>
  <r>
    <s v="ORD100529"/>
    <d v="2026-02-19T00:00:00"/>
    <x v="2"/>
    <s v="Bengaluru"/>
    <x v="2"/>
    <s v="Corporate"/>
    <x v="2"/>
    <s v="Printer Ink"/>
    <x v="512"/>
    <n v="9"/>
    <n v="2233.1999999999998"/>
    <n v="15"/>
    <x v="527"/>
    <n v="11966.36"/>
    <n v="5117.62"/>
    <x v="0"/>
    <s v="Cash"/>
    <x v="2"/>
    <x v="1"/>
  </r>
  <r>
    <s v="ORD100530"/>
    <d v="2026-05-01T00:00:00"/>
    <x v="2"/>
    <s v="Bengaluru"/>
    <x v="2"/>
    <s v="Small Business"/>
    <x v="0"/>
    <s v="Monitor"/>
    <x v="513"/>
    <n v="5"/>
    <n v="319.8"/>
    <n v="15"/>
    <x v="528"/>
    <n v="775.82"/>
    <n v="583.33000000000004"/>
    <x v="1"/>
    <s v="Card"/>
    <x v="0"/>
    <x v="1"/>
  </r>
  <r>
    <s v="ORD100531"/>
    <d v="2025-10-29T00:00:00"/>
    <x v="1"/>
    <s v="Delhi"/>
    <x v="2"/>
    <s v="Corporate"/>
    <x v="2"/>
    <s v="Pens"/>
    <x v="514"/>
    <n v="14"/>
    <n v="1421.4"/>
    <n v="10"/>
    <x v="529"/>
    <n v="11894.67"/>
    <n v="6014.97"/>
    <x v="2"/>
    <s v="Net Banking"/>
    <x v="1"/>
    <x v="0"/>
  </r>
  <r>
    <s v="ORD100532"/>
    <d v="2026-01-16T00:00:00"/>
    <x v="3"/>
    <s v="Bhubaneswar"/>
    <x v="3"/>
    <s v="Consumer"/>
    <x v="0"/>
    <s v="Laptop"/>
    <x v="515"/>
    <n v="13"/>
    <n v="2601.71"/>
    <n v="10"/>
    <x v="530"/>
    <n v="23215.57"/>
    <n v="7224.44"/>
    <x v="1"/>
    <s v="Cash"/>
    <x v="9"/>
    <x v="1"/>
  </r>
  <r>
    <s v="ORD100533"/>
    <d v="2026-06-16T00:00:00"/>
    <x v="1"/>
    <s v="Chandigarh"/>
    <x v="5"/>
    <s v="Corporate"/>
    <x v="0"/>
    <s v="Mouse"/>
    <x v="516"/>
    <n v="1"/>
    <n v="3839.89"/>
    <n v="5"/>
    <x v="531"/>
    <n v="2008.47"/>
    <n v="1639.43"/>
    <x v="2"/>
    <s v="Net Banking"/>
    <x v="10"/>
    <x v="1"/>
  </r>
  <r>
    <s v="ORD100534"/>
    <d v="2025-08-19T00:00:00"/>
    <x v="3"/>
    <s v="Kolkata"/>
    <x v="7"/>
    <s v="Consumer"/>
    <x v="1"/>
    <s v="Table"/>
    <x v="517"/>
    <n v="7"/>
    <n v="686.88"/>
    <n v="5"/>
    <x v="532"/>
    <n v="2821.73"/>
    <n v="1746.02"/>
    <x v="2"/>
    <s v="Cash"/>
    <x v="6"/>
    <x v="0"/>
  </r>
  <r>
    <s v="ORD100535"/>
    <d v="2025-10-23T00:00:00"/>
    <x v="0"/>
    <s v="Ahmedabad"/>
    <x v="0"/>
    <s v="Corporate"/>
    <x v="2"/>
    <s v="Notebook"/>
    <x v="518"/>
    <n v="6"/>
    <n v="4273.1899999999996"/>
    <n v="15"/>
    <x v="533"/>
    <n v="13437.89"/>
    <n v="8355.3799999999992"/>
    <x v="1"/>
    <s v="Card"/>
    <x v="1"/>
    <x v="0"/>
  </r>
  <r>
    <s v="ORD100536"/>
    <d v="2025-04-17T00:00:00"/>
    <x v="2"/>
    <s v="Bengaluru"/>
    <x v="5"/>
    <s v="Small Business"/>
    <x v="1"/>
    <s v="Table"/>
    <x v="519"/>
    <n v="3"/>
    <n v="1587.88"/>
    <n v="20"/>
    <x v="534"/>
    <n v="2723.57"/>
    <n v="1087.3399999999999"/>
    <x v="2"/>
    <s v="Card"/>
    <x v="7"/>
    <x v="0"/>
  </r>
  <r>
    <s v="ORD100537"/>
    <d v="2025-01-08T00:00:00"/>
    <x v="2"/>
    <s v="Chennai"/>
    <x v="6"/>
    <s v="Corporate"/>
    <x v="2"/>
    <s v="Folders"/>
    <x v="520"/>
    <n v="12"/>
    <n v="1048.71"/>
    <n v="10"/>
    <x v="535"/>
    <n v="9219.19"/>
    <n v="2106.88"/>
    <x v="2"/>
    <s v="UPI"/>
    <x v="9"/>
    <x v="0"/>
  </r>
  <r>
    <s v="ORD100538"/>
    <d v="2025-01-10T00:00:00"/>
    <x v="0"/>
    <s v="Mumbai"/>
    <x v="7"/>
    <s v="Corporate"/>
    <x v="0"/>
    <s v="Keyboard"/>
    <x v="521"/>
    <n v="14"/>
    <n v="2287.9499999999998"/>
    <n v="0"/>
    <x v="536"/>
    <n v="26108.53"/>
    <n v="5922.77"/>
    <x v="0"/>
    <s v="Card"/>
    <x v="9"/>
    <x v="0"/>
  </r>
  <r>
    <s v="ORD100539"/>
    <d v="2025-08-24T00:00:00"/>
    <x v="1"/>
    <s v="Delhi"/>
    <x v="0"/>
    <s v="Corporate"/>
    <x v="2"/>
    <s v="Notebook"/>
    <x v="522"/>
    <n v="10"/>
    <n v="3261.08"/>
    <n v="0"/>
    <x v="537"/>
    <n v="23546.35"/>
    <n v="9064.4500000000007"/>
    <x v="1"/>
    <s v="UPI"/>
    <x v="6"/>
    <x v="0"/>
  </r>
  <r>
    <s v="ORD100540"/>
    <d v="2025-01-20T00:00:00"/>
    <x v="0"/>
    <s v="Mumbai"/>
    <x v="6"/>
    <s v="Small Business"/>
    <x v="0"/>
    <s v="Laptop"/>
    <x v="523"/>
    <n v="2"/>
    <n v="1526.1"/>
    <n v="0"/>
    <x v="538"/>
    <n v="1864.46"/>
    <n v="1187.74"/>
    <x v="0"/>
    <s v="Cash"/>
    <x v="9"/>
    <x v="0"/>
  </r>
  <r>
    <s v="ORD100541"/>
    <d v="2025-11-15T00:00:00"/>
    <x v="1"/>
    <s v="Delhi"/>
    <x v="7"/>
    <s v="Consumer"/>
    <x v="2"/>
    <s v="Printer Ink"/>
    <x v="524"/>
    <n v="6"/>
    <n v="2447.25"/>
    <n v="10"/>
    <x v="539"/>
    <n v="8458.56"/>
    <n v="4756.59"/>
    <x v="1"/>
    <s v="Card"/>
    <x v="8"/>
    <x v="0"/>
  </r>
  <r>
    <s v="ORD100542"/>
    <d v="2025-04-04T00:00:00"/>
    <x v="2"/>
    <s v="Bengaluru"/>
    <x v="6"/>
    <s v="Corporate"/>
    <x v="0"/>
    <s v="Headphones"/>
    <x v="525"/>
    <n v="10"/>
    <n v="2725.49"/>
    <n v="0"/>
    <x v="540"/>
    <n v="17455.55"/>
    <n v="9799.35"/>
    <x v="0"/>
    <s v="UPI"/>
    <x v="7"/>
    <x v="0"/>
  </r>
  <r>
    <s v="ORD100543"/>
    <d v="2025-11-15T00:00:00"/>
    <x v="3"/>
    <s v="Bhubaneswar"/>
    <x v="4"/>
    <s v="Corporate"/>
    <x v="1"/>
    <s v="Bookshelf"/>
    <x v="526"/>
    <n v="8"/>
    <n v="3650.86"/>
    <n v="15"/>
    <x v="541"/>
    <n v="19017.86"/>
    <n v="5807.99"/>
    <x v="1"/>
    <s v="Card"/>
    <x v="8"/>
    <x v="0"/>
  </r>
  <r>
    <s v="ORD100544"/>
    <d v="2025-12-31T00:00:00"/>
    <x v="2"/>
    <s v="Chennai"/>
    <x v="2"/>
    <s v="Corporate"/>
    <x v="1"/>
    <s v="Chair"/>
    <x v="527"/>
    <n v="15"/>
    <n v="1564.11"/>
    <n v="0"/>
    <x v="542"/>
    <n v="13881.79"/>
    <n v="9579.86"/>
    <x v="0"/>
    <s v="Cash"/>
    <x v="11"/>
    <x v="0"/>
  </r>
  <r>
    <s v="ORD100545"/>
    <d v="2025-10-03T00:00:00"/>
    <x v="3"/>
    <s v="Bhubaneswar"/>
    <x v="3"/>
    <s v="Consumer"/>
    <x v="0"/>
    <s v="Monitor"/>
    <x v="528"/>
    <n v="10"/>
    <n v="517.16"/>
    <n v="0"/>
    <x v="543"/>
    <n v="4138.12"/>
    <n v="1033.48"/>
    <x v="1"/>
    <s v="Net Banking"/>
    <x v="1"/>
    <x v="0"/>
  </r>
  <r>
    <s v="ORD100546"/>
    <d v="2025-07-21T00:00:00"/>
    <x v="2"/>
    <s v="Bengaluru"/>
    <x v="2"/>
    <s v="Small Business"/>
    <x v="2"/>
    <s v="Pens"/>
    <x v="529"/>
    <n v="8"/>
    <n v="2817.15"/>
    <n v="20"/>
    <x v="544"/>
    <n v="11285.77"/>
    <n v="6743.99"/>
    <x v="0"/>
    <s v="Cash"/>
    <x v="5"/>
    <x v="0"/>
  </r>
  <r>
    <s v="ORD100547"/>
    <d v="2025-02-07T00:00:00"/>
    <x v="2"/>
    <s v="Bengaluru"/>
    <x v="6"/>
    <s v="Consumer"/>
    <x v="2"/>
    <s v="Pens"/>
    <x v="530"/>
    <n v="12"/>
    <n v="310.95"/>
    <n v="15"/>
    <x v="545"/>
    <n v="2390.88"/>
    <n v="780.81"/>
    <x v="0"/>
    <s v="Card"/>
    <x v="2"/>
    <x v="0"/>
  </r>
  <r>
    <s v="ORD100548"/>
    <d v="2025-02-20T00:00:00"/>
    <x v="3"/>
    <s v="Bhubaneswar"/>
    <x v="2"/>
    <s v="Corporate"/>
    <x v="1"/>
    <s v="Chair"/>
    <x v="531"/>
    <n v="8"/>
    <n v="4616.58"/>
    <n v="0"/>
    <x v="546"/>
    <n v="21904.93"/>
    <n v="15027.71"/>
    <x v="2"/>
    <s v="Net Banking"/>
    <x v="2"/>
    <x v="0"/>
  </r>
  <r>
    <s v="ORD100549"/>
    <d v="2025-01-24T00:00:00"/>
    <x v="3"/>
    <s v="Bhubaneswar"/>
    <x v="5"/>
    <s v="Corporate"/>
    <x v="0"/>
    <s v="Mouse"/>
    <x v="532"/>
    <n v="5"/>
    <n v="4546.04"/>
    <n v="20"/>
    <x v="547"/>
    <n v="10159.209999999999"/>
    <n v="8024.95"/>
    <x v="2"/>
    <s v="UPI"/>
    <x v="9"/>
    <x v="0"/>
  </r>
  <r>
    <s v="ORD100550"/>
    <d v="2025-04-06T00:00:00"/>
    <x v="0"/>
    <s v="Ahmedabad"/>
    <x v="1"/>
    <s v="Corporate"/>
    <x v="2"/>
    <s v="Paper"/>
    <x v="533"/>
    <n v="4"/>
    <n v="2496.6999999999998"/>
    <n v="10"/>
    <x v="548"/>
    <n v="5220.8500000000004"/>
    <n v="3767.27"/>
    <x v="2"/>
    <s v="UPI"/>
    <x v="7"/>
    <x v="0"/>
  </r>
  <r>
    <s v="ORD100551"/>
    <d v="2025-03-20T00:00:00"/>
    <x v="2"/>
    <s v="Chennai"/>
    <x v="7"/>
    <s v="Corporate"/>
    <x v="2"/>
    <s v="Pens"/>
    <x v="534"/>
    <n v="4"/>
    <n v="3057.92"/>
    <n v="5"/>
    <x v="549"/>
    <n v="6462.33"/>
    <n v="5157.7700000000004"/>
    <x v="1"/>
    <s v="Card"/>
    <x v="3"/>
    <x v="0"/>
  </r>
  <r>
    <s v="ORD100552"/>
    <d v="2025-10-18T00:00:00"/>
    <x v="1"/>
    <s v="Chandigarh"/>
    <x v="3"/>
    <s v="Corporate"/>
    <x v="1"/>
    <s v="Desk"/>
    <x v="535"/>
    <n v="5"/>
    <n v="3620.19"/>
    <n v="10"/>
    <x v="550"/>
    <n v="9264.18"/>
    <n v="7026.68"/>
    <x v="2"/>
    <s v="Cash"/>
    <x v="1"/>
    <x v="0"/>
  </r>
  <r>
    <s v="ORD100553"/>
    <d v="2026-06-13T00:00:00"/>
    <x v="1"/>
    <s v="Chandigarh"/>
    <x v="0"/>
    <s v="Small Business"/>
    <x v="1"/>
    <s v="Chair"/>
    <x v="536"/>
    <n v="4"/>
    <n v="1909.95"/>
    <n v="10"/>
    <x v="551"/>
    <n v="5233.3100000000004"/>
    <n v="1642.51"/>
    <x v="2"/>
    <s v="UPI"/>
    <x v="10"/>
    <x v="1"/>
  </r>
  <r>
    <s v="ORD100554"/>
    <d v="2025-11-25T00:00:00"/>
    <x v="3"/>
    <s v="Bhubaneswar"/>
    <x v="7"/>
    <s v="Small Business"/>
    <x v="2"/>
    <s v="Paper"/>
    <x v="537"/>
    <n v="15"/>
    <n v="2091.11"/>
    <n v="20"/>
    <x v="552"/>
    <n v="18770.009999999998"/>
    <n v="6323.31"/>
    <x v="2"/>
    <s v="Cash"/>
    <x v="8"/>
    <x v="0"/>
  </r>
  <r>
    <s v="ORD100555"/>
    <d v="2025-03-13T00:00:00"/>
    <x v="3"/>
    <s v="Bhubaneswar"/>
    <x v="5"/>
    <s v="Consumer"/>
    <x v="1"/>
    <s v="Desk"/>
    <x v="538"/>
    <n v="4"/>
    <n v="3277.44"/>
    <n v="5"/>
    <x v="553"/>
    <n v="8496.83"/>
    <n v="3957.44"/>
    <x v="2"/>
    <s v="Card"/>
    <x v="3"/>
    <x v="0"/>
  </r>
  <r>
    <s v="ORD100556"/>
    <d v="2025-06-17T00:00:00"/>
    <x v="0"/>
    <s v="Mumbai"/>
    <x v="4"/>
    <s v="Small Business"/>
    <x v="1"/>
    <s v="Bookshelf"/>
    <x v="539"/>
    <n v="8"/>
    <n v="1018.18"/>
    <n v="15"/>
    <x v="554"/>
    <n v="4793.6000000000004"/>
    <n v="2130.02"/>
    <x v="0"/>
    <s v="UPI"/>
    <x v="10"/>
    <x v="0"/>
  </r>
  <r>
    <s v="ORD100557"/>
    <d v="2025-06-09T00:00:00"/>
    <x v="3"/>
    <s v="Kolkata"/>
    <x v="4"/>
    <s v="Consumer"/>
    <x v="0"/>
    <s v="Monitor"/>
    <x v="540"/>
    <n v="12"/>
    <n v="2809.73"/>
    <n v="10"/>
    <x v="555"/>
    <n v="18680.72"/>
    <n v="11664.36"/>
    <x v="1"/>
    <s v="UPI"/>
    <x v="10"/>
    <x v="0"/>
  </r>
  <r>
    <s v="ORD100558"/>
    <d v="2025-12-26T00:00:00"/>
    <x v="3"/>
    <s v="Bhubaneswar"/>
    <x v="7"/>
    <s v="Small Business"/>
    <x v="1"/>
    <s v="Cabinet"/>
    <x v="541"/>
    <n v="13"/>
    <n v="3905.35"/>
    <n v="0"/>
    <x v="556"/>
    <n v="29547.43"/>
    <n v="21222.12"/>
    <x v="1"/>
    <s v="Card"/>
    <x v="11"/>
    <x v="0"/>
  </r>
  <r>
    <s v="ORD100559"/>
    <d v="2025-11-06T00:00:00"/>
    <x v="3"/>
    <s v="Kolkata"/>
    <x v="1"/>
    <s v="Consumer"/>
    <x v="2"/>
    <s v="Notebook"/>
    <x v="542"/>
    <n v="11"/>
    <n v="1490.27"/>
    <n v="5"/>
    <x v="557"/>
    <n v="9553.1299999999992"/>
    <n v="6020.19"/>
    <x v="2"/>
    <s v="Net Banking"/>
    <x v="8"/>
    <x v="0"/>
  </r>
  <r>
    <s v="ORD100560"/>
    <d v="2026-05-22T00:00:00"/>
    <x v="0"/>
    <s v="Mumbai"/>
    <x v="4"/>
    <s v="Corporate"/>
    <x v="2"/>
    <s v="Printer Ink"/>
    <x v="543"/>
    <n v="15"/>
    <n v="4315.8599999999997"/>
    <n v="10"/>
    <x v="558"/>
    <n v="37481.86"/>
    <n v="20782.25"/>
    <x v="0"/>
    <s v="Card"/>
    <x v="0"/>
    <x v="1"/>
  </r>
  <r>
    <s v="ORD100561"/>
    <d v="2025-12-12T00:00:00"/>
    <x v="0"/>
    <s v="Mumbai"/>
    <x v="0"/>
    <s v="Consumer"/>
    <x v="1"/>
    <s v="Bookshelf"/>
    <x v="544"/>
    <n v="1"/>
    <n v="3028.46"/>
    <n v="0"/>
    <x v="559"/>
    <n v="1679.58"/>
    <n v="1348.88"/>
    <x v="0"/>
    <s v="Card"/>
    <x v="11"/>
    <x v="0"/>
  </r>
  <r>
    <s v="ORD100562"/>
    <d v="2025-02-11T00:00:00"/>
    <x v="3"/>
    <s v="Kolkata"/>
    <x v="7"/>
    <s v="Corporate"/>
    <x v="2"/>
    <s v="Notebook"/>
    <x v="545"/>
    <n v="11"/>
    <n v="2211.58"/>
    <n v="20"/>
    <x v="560"/>
    <n v="14721.47"/>
    <n v="4740.43"/>
    <x v="0"/>
    <s v="UPI"/>
    <x v="2"/>
    <x v="0"/>
  </r>
  <r>
    <s v="ORD100563"/>
    <d v="2026-01-04T00:00:00"/>
    <x v="2"/>
    <s v="Chennai"/>
    <x v="4"/>
    <s v="Corporate"/>
    <x v="0"/>
    <s v="Keyboard"/>
    <x v="546"/>
    <n v="5"/>
    <n v="1723.27"/>
    <n v="15"/>
    <x v="561"/>
    <n v="4311.29"/>
    <n v="3012.61"/>
    <x v="2"/>
    <s v="Card"/>
    <x v="9"/>
    <x v="1"/>
  </r>
  <r>
    <s v="ORD100564"/>
    <d v="2025-08-16T00:00:00"/>
    <x v="1"/>
    <s v="Delhi"/>
    <x v="4"/>
    <s v="Small Business"/>
    <x v="1"/>
    <s v="Table"/>
    <x v="547"/>
    <n v="3"/>
    <n v="1375.02"/>
    <n v="20"/>
    <x v="562"/>
    <n v="2553.9699999999998"/>
    <n v="746.08"/>
    <x v="1"/>
    <s v="Net Banking"/>
    <x v="6"/>
    <x v="0"/>
  </r>
  <r>
    <s v="ORD100565"/>
    <d v="2026-03-20T00:00:00"/>
    <x v="2"/>
    <s v="Bengaluru"/>
    <x v="5"/>
    <s v="Consumer"/>
    <x v="2"/>
    <s v="Pens"/>
    <x v="548"/>
    <n v="3"/>
    <n v="4699.3500000000004"/>
    <n v="15"/>
    <x v="563"/>
    <n v="7477.64"/>
    <n v="4505.7"/>
    <x v="0"/>
    <s v="Net Banking"/>
    <x v="3"/>
    <x v="1"/>
  </r>
  <r>
    <s v="ORD100566"/>
    <d v="2025-04-29T00:00:00"/>
    <x v="0"/>
    <s v="Mumbai"/>
    <x v="7"/>
    <s v="Consumer"/>
    <x v="1"/>
    <s v="Table"/>
    <x v="549"/>
    <n v="6"/>
    <n v="519.87"/>
    <n v="20"/>
    <x v="564"/>
    <n v="1998.98"/>
    <n v="496.4"/>
    <x v="2"/>
    <s v="Net Banking"/>
    <x v="7"/>
    <x v="0"/>
  </r>
  <r>
    <s v="ORD100567"/>
    <d v="2026-06-30T00:00:00"/>
    <x v="1"/>
    <s v="Chandigarh"/>
    <x v="0"/>
    <s v="Corporate"/>
    <x v="0"/>
    <s v="Laptop"/>
    <x v="550"/>
    <n v="9"/>
    <n v="3551.77"/>
    <n v="15"/>
    <x v="565"/>
    <n v="21956.16"/>
    <n v="5214.88"/>
    <x v="1"/>
    <s v="UPI"/>
    <x v="10"/>
    <x v="1"/>
  </r>
  <r>
    <s v="ORD100568"/>
    <d v="2025-07-06T00:00:00"/>
    <x v="2"/>
    <s v="Chennai"/>
    <x v="3"/>
    <s v="Consumer"/>
    <x v="0"/>
    <s v="Mouse"/>
    <x v="551"/>
    <n v="7"/>
    <n v="2588.41"/>
    <n v="15"/>
    <x v="566"/>
    <n v="12068.67"/>
    <n v="3332.37"/>
    <x v="2"/>
    <s v="Net Banking"/>
    <x v="5"/>
    <x v="0"/>
  </r>
  <r>
    <s v="ORD100569"/>
    <d v="2026-01-18T00:00:00"/>
    <x v="0"/>
    <s v="Ahmedabad"/>
    <x v="5"/>
    <s v="Small Business"/>
    <x v="0"/>
    <s v="Laptop"/>
    <x v="552"/>
    <n v="8"/>
    <n v="3612.76"/>
    <n v="15"/>
    <x v="567"/>
    <n v="15657.97"/>
    <n v="8908.7999999999993"/>
    <x v="1"/>
    <s v="Cash"/>
    <x v="9"/>
    <x v="1"/>
  </r>
  <r>
    <s v="ORD100570"/>
    <d v="2025-10-28T00:00:00"/>
    <x v="0"/>
    <s v="Mumbai"/>
    <x v="3"/>
    <s v="Corporate"/>
    <x v="1"/>
    <s v="Bookshelf"/>
    <x v="553"/>
    <n v="4"/>
    <n v="822.78"/>
    <n v="20"/>
    <x v="568"/>
    <n v="1525.58"/>
    <n v="1107.32"/>
    <x v="1"/>
    <s v="Cash"/>
    <x v="1"/>
    <x v="0"/>
  </r>
  <r>
    <s v="ORD100571"/>
    <d v="2025-09-02T00:00:00"/>
    <x v="3"/>
    <s v="Bhubaneswar"/>
    <x v="4"/>
    <s v="Small Business"/>
    <x v="0"/>
    <s v="Headphones"/>
    <x v="554"/>
    <n v="8"/>
    <n v="4742.8"/>
    <n v="15"/>
    <x v="569"/>
    <n v="24546.97"/>
    <n v="7704.07"/>
    <x v="2"/>
    <s v="Card"/>
    <x v="4"/>
    <x v="0"/>
  </r>
  <r>
    <s v="ORD100572"/>
    <d v="2025-12-31T00:00:00"/>
    <x v="2"/>
    <s v="Chennai"/>
    <x v="4"/>
    <s v="Corporate"/>
    <x v="1"/>
    <s v="Cabinet"/>
    <x v="555"/>
    <n v="12"/>
    <n v="3477.69"/>
    <n v="15"/>
    <x v="570"/>
    <n v="20973.11"/>
    <n v="14499.33"/>
    <x v="1"/>
    <s v="UPI"/>
    <x v="11"/>
    <x v="0"/>
  </r>
  <r>
    <s v="ORD100573"/>
    <d v="2026-03-15T00:00:00"/>
    <x v="1"/>
    <s v="Delhi"/>
    <x v="1"/>
    <s v="Small Business"/>
    <x v="1"/>
    <s v="Bookshelf"/>
    <x v="556"/>
    <n v="13"/>
    <n v="4276.16"/>
    <n v="20"/>
    <x v="571"/>
    <n v="31372.05"/>
    <n v="13100.01"/>
    <x v="2"/>
    <s v="Net Banking"/>
    <x v="3"/>
    <x v="1"/>
  </r>
  <r>
    <s v="ORD100574"/>
    <d v="2025-10-09T00:00:00"/>
    <x v="2"/>
    <s v="Chennai"/>
    <x v="0"/>
    <s v="Small Business"/>
    <x v="2"/>
    <s v="Printer Ink"/>
    <x v="557"/>
    <n v="3"/>
    <n v="4160.55"/>
    <n v="20"/>
    <x v="572"/>
    <n v="7455.24"/>
    <n v="2530.08"/>
    <x v="1"/>
    <s v="Cash"/>
    <x v="1"/>
    <x v="0"/>
  </r>
  <r>
    <s v="ORD100575"/>
    <d v="2026-03-15T00:00:00"/>
    <x v="3"/>
    <s v="Bhubaneswar"/>
    <x v="2"/>
    <s v="Corporate"/>
    <x v="1"/>
    <s v="Table"/>
    <x v="13"/>
    <n v="1"/>
    <n v="3693.58"/>
    <n v="10"/>
    <x v="573"/>
    <n v="2051.77"/>
    <n v="1272.45"/>
    <x v="2"/>
    <s v="Net Banking"/>
    <x v="3"/>
    <x v="1"/>
  </r>
  <r>
    <s v="ORD100576"/>
    <d v="2026-04-19T00:00:00"/>
    <x v="0"/>
    <s v="Ahmedabad"/>
    <x v="0"/>
    <s v="Corporate"/>
    <x v="1"/>
    <s v="Chair"/>
    <x v="558"/>
    <n v="15"/>
    <n v="3251.79"/>
    <n v="10"/>
    <x v="574"/>
    <n v="27292.06"/>
    <n v="16607.11"/>
    <x v="0"/>
    <s v="Card"/>
    <x v="7"/>
    <x v="1"/>
  </r>
  <r>
    <s v="ORD100577"/>
    <d v="2026-06-05T00:00:00"/>
    <x v="3"/>
    <s v="Kolkata"/>
    <x v="3"/>
    <s v="Corporate"/>
    <x v="2"/>
    <s v="Pens"/>
    <x v="559"/>
    <n v="3"/>
    <n v="1886.34"/>
    <n v="20"/>
    <x v="575"/>
    <n v="3094.79"/>
    <n v="1432.43"/>
    <x v="2"/>
    <s v="Cash"/>
    <x v="10"/>
    <x v="1"/>
  </r>
  <r>
    <s v="ORD100578"/>
    <d v="2025-09-14T00:00:00"/>
    <x v="3"/>
    <s v="Kolkata"/>
    <x v="5"/>
    <s v="Corporate"/>
    <x v="0"/>
    <s v="Monitor"/>
    <x v="560"/>
    <n v="10"/>
    <n v="4066.21"/>
    <n v="0"/>
    <x v="576"/>
    <n v="22712.83"/>
    <n v="17949.27"/>
    <x v="2"/>
    <s v="UPI"/>
    <x v="4"/>
    <x v="0"/>
  </r>
  <r>
    <s v="ORD100579"/>
    <d v="2025-01-01T00:00:00"/>
    <x v="3"/>
    <s v="Bhubaneswar"/>
    <x v="5"/>
    <s v="Corporate"/>
    <x v="2"/>
    <s v="Pens"/>
    <x v="561"/>
    <n v="15"/>
    <n v="2482.91"/>
    <n v="15"/>
    <x v="577"/>
    <n v="20666.169999999998"/>
    <n v="10990.93"/>
    <x v="2"/>
    <s v="Net Banking"/>
    <x v="9"/>
    <x v="0"/>
  </r>
  <r>
    <s v="ORD100580"/>
    <d v="2025-12-13T00:00:00"/>
    <x v="2"/>
    <s v="Bengaluru"/>
    <x v="1"/>
    <s v="Consumer"/>
    <x v="0"/>
    <s v="Laptop"/>
    <x v="562"/>
    <n v="5"/>
    <n v="371.74"/>
    <n v="5"/>
    <x v="578"/>
    <n v="1084.56"/>
    <n v="681.2"/>
    <x v="1"/>
    <s v="Card"/>
    <x v="11"/>
    <x v="0"/>
  </r>
  <r>
    <s v="ORD100581"/>
    <d v="2025-05-17T00:00:00"/>
    <x v="3"/>
    <s v="Kolkata"/>
    <x v="2"/>
    <s v="Corporate"/>
    <x v="0"/>
    <s v="Laptop"/>
    <x v="563"/>
    <n v="7"/>
    <n v="407.62"/>
    <n v="5"/>
    <x v="579"/>
    <n v="1615"/>
    <n v="1095.67"/>
    <x v="2"/>
    <s v="Cash"/>
    <x v="0"/>
    <x v="0"/>
  </r>
  <r>
    <s v="ORD100582"/>
    <d v="2025-07-18T00:00:00"/>
    <x v="3"/>
    <s v="Kolkata"/>
    <x v="4"/>
    <s v="Consumer"/>
    <x v="1"/>
    <s v="Bookshelf"/>
    <x v="564"/>
    <n v="6"/>
    <n v="3808"/>
    <n v="15"/>
    <x v="580"/>
    <n v="11004.32"/>
    <n v="8416.48"/>
    <x v="2"/>
    <s v="Net Banking"/>
    <x v="5"/>
    <x v="0"/>
  </r>
  <r>
    <s v="ORD100583"/>
    <d v="2025-08-16T00:00:00"/>
    <x v="0"/>
    <s v="Ahmedabad"/>
    <x v="1"/>
    <s v="Consumer"/>
    <x v="1"/>
    <s v="Cabinet"/>
    <x v="565"/>
    <n v="4"/>
    <n v="1275.0899999999999"/>
    <n v="5"/>
    <x v="581"/>
    <n v="3538.89"/>
    <n v="1306.45"/>
    <x v="0"/>
    <s v="Net Banking"/>
    <x v="6"/>
    <x v="0"/>
  </r>
  <r>
    <s v="ORD100584"/>
    <d v="2025-08-25T00:00:00"/>
    <x v="1"/>
    <s v="Chandigarh"/>
    <x v="0"/>
    <s v="Corporate"/>
    <x v="2"/>
    <s v="Paper"/>
    <x v="566"/>
    <n v="3"/>
    <n v="1597.7"/>
    <n v="5"/>
    <x v="582"/>
    <n v="2585.77"/>
    <n v="1967.67"/>
    <x v="2"/>
    <s v="Card"/>
    <x v="6"/>
    <x v="0"/>
  </r>
  <r>
    <s v="ORD100585"/>
    <d v="2025-08-22T00:00:00"/>
    <x v="3"/>
    <s v="Kolkata"/>
    <x v="2"/>
    <s v="Small Business"/>
    <x v="1"/>
    <s v="Chair"/>
    <x v="567"/>
    <n v="3"/>
    <n v="4034.23"/>
    <n v="0"/>
    <x v="583"/>
    <n v="9422.15"/>
    <n v="2680.54"/>
    <x v="2"/>
    <s v="Card"/>
    <x v="6"/>
    <x v="0"/>
  </r>
  <r>
    <s v="ORD100586"/>
    <d v="2025-12-18T00:00:00"/>
    <x v="0"/>
    <s v="Ahmedabad"/>
    <x v="4"/>
    <s v="Consumer"/>
    <x v="1"/>
    <s v="Cabinet"/>
    <x v="568"/>
    <n v="7"/>
    <n v="1644.52"/>
    <n v="15"/>
    <x v="584"/>
    <n v="6898.24"/>
    <n v="2886.65"/>
    <x v="1"/>
    <s v="Cash"/>
    <x v="11"/>
    <x v="0"/>
  </r>
  <r>
    <s v="ORD100587"/>
    <d v="2026-03-24T00:00:00"/>
    <x v="2"/>
    <s v="Bengaluru"/>
    <x v="6"/>
    <s v="Consumer"/>
    <x v="2"/>
    <s v="Printer Ink"/>
    <x v="569"/>
    <n v="15"/>
    <n v="4446.4399999999996"/>
    <n v="5"/>
    <x v="585"/>
    <n v="39953.96"/>
    <n v="23407.81"/>
    <x v="1"/>
    <s v="Cash"/>
    <x v="3"/>
    <x v="1"/>
  </r>
  <r>
    <s v="ORD100588"/>
    <d v="2026-05-27T00:00:00"/>
    <x v="1"/>
    <s v="Chandigarh"/>
    <x v="2"/>
    <s v="Small Business"/>
    <x v="0"/>
    <s v="Keyboard"/>
    <x v="570"/>
    <n v="13"/>
    <n v="4730.75"/>
    <n v="15"/>
    <x v="586"/>
    <n v="37583.31"/>
    <n v="14691.48"/>
    <x v="1"/>
    <s v="Net Banking"/>
    <x v="0"/>
    <x v="1"/>
  </r>
  <r>
    <s v="ORD100589"/>
    <d v="2026-03-04T00:00:00"/>
    <x v="0"/>
    <s v="Mumbai"/>
    <x v="5"/>
    <s v="Consumer"/>
    <x v="1"/>
    <s v="Chair"/>
    <x v="571"/>
    <n v="14"/>
    <n v="3585.11"/>
    <n v="10"/>
    <x v="587"/>
    <n v="34495.5"/>
    <n v="10676.89"/>
    <x v="2"/>
    <s v="UPI"/>
    <x v="3"/>
    <x v="1"/>
  </r>
  <r>
    <s v="ORD100590"/>
    <d v="2025-08-20T00:00:00"/>
    <x v="2"/>
    <s v="Bengaluru"/>
    <x v="2"/>
    <s v="Small Business"/>
    <x v="0"/>
    <s v="Monitor"/>
    <x v="572"/>
    <n v="12"/>
    <n v="921.73"/>
    <n v="0"/>
    <x v="588"/>
    <n v="8393.98"/>
    <n v="2666.78"/>
    <x v="2"/>
    <s v="Cash"/>
    <x v="6"/>
    <x v="0"/>
  </r>
  <r>
    <s v="ORD100591"/>
    <d v="2025-09-12T00:00:00"/>
    <x v="3"/>
    <s v="Kolkata"/>
    <x v="0"/>
    <s v="Consumer"/>
    <x v="0"/>
    <s v="Keyboard"/>
    <x v="573"/>
    <n v="11"/>
    <n v="1578.5"/>
    <n v="0"/>
    <x v="589"/>
    <n v="10847.63"/>
    <n v="6515.87"/>
    <x v="0"/>
    <s v="Net Banking"/>
    <x v="4"/>
    <x v="0"/>
  </r>
  <r>
    <s v="ORD100592"/>
    <d v="2026-03-05T00:00:00"/>
    <x v="3"/>
    <s v="Kolkata"/>
    <x v="4"/>
    <s v="Small Business"/>
    <x v="0"/>
    <s v="Mouse"/>
    <x v="574"/>
    <n v="15"/>
    <n v="1919.77"/>
    <n v="20"/>
    <x v="590"/>
    <n v="14868.56"/>
    <n v="8168.68"/>
    <x v="2"/>
    <s v="UPI"/>
    <x v="3"/>
    <x v="1"/>
  </r>
  <r>
    <s v="ORD100593"/>
    <d v="2026-01-09T00:00:00"/>
    <x v="2"/>
    <s v="Bengaluru"/>
    <x v="7"/>
    <s v="Small Business"/>
    <x v="0"/>
    <s v="Mouse"/>
    <x v="575"/>
    <n v="14"/>
    <n v="4140.03"/>
    <n v="10"/>
    <x v="591"/>
    <n v="40888.69"/>
    <n v="11275.69"/>
    <x v="0"/>
    <s v="Card"/>
    <x v="9"/>
    <x v="1"/>
  </r>
  <r>
    <s v="ORD100594"/>
    <d v="2025-02-01T00:00:00"/>
    <x v="1"/>
    <s v="Chandigarh"/>
    <x v="7"/>
    <s v="Corporate"/>
    <x v="2"/>
    <s v="Paper"/>
    <x v="576"/>
    <n v="9"/>
    <n v="4982.3100000000004"/>
    <n v="0"/>
    <x v="592"/>
    <n v="33591.410000000003"/>
    <n v="11249.38"/>
    <x v="0"/>
    <s v="Net Banking"/>
    <x v="2"/>
    <x v="0"/>
  </r>
  <r>
    <s v="ORD100595"/>
    <d v="2026-06-28T00:00:00"/>
    <x v="3"/>
    <s v="Bhubaneswar"/>
    <x v="2"/>
    <s v="Consumer"/>
    <x v="2"/>
    <s v="Notebook"/>
    <x v="577"/>
    <n v="1"/>
    <n v="706.01"/>
    <n v="5"/>
    <x v="593"/>
    <n v="384.53"/>
    <n v="286.18"/>
    <x v="1"/>
    <s v="UPI"/>
    <x v="10"/>
    <x v="1"/>
  </r>
  <r>
    <s v="ORD100596"/>
    <d v="2025-08-24T00:00:00"/>
    <x v="2"/>
    <s v="Bengaluru"/>
    <x v="1"/>
    <s v="Corporate"/>
    <x v="1"/>
    <s v="Bookshelf"/>
    <x v="578"/>
    <n v="4"/>
    <n v="900.4"/>
    <n v="10"/>
    <x v="594"/>
    <n v="2232.44"/>
    <n v="1009"/>
    <x v="2"/>
    <s v="UPI"/>
    <x v="6"/>
    <x v="0"/>
  </r>
  <r>
    <s v="ORD100597"/>
    <d v="2025-02-23T00:00:00"/>
    <x v="1"/>
    <s v="Chandigarh"/>
    <x v="2"/>
    <s v="Small Business"/>
    <x v="1"/>
    <s v="Desk"/>
    <x v="579"/>
    <n v="13"/>
    <n v="559.86"/>
    <n v="0"/>
    <x v="595"/>
    <n v="4847.4399999999996"/>
    <n v="2430.7399999999998"/>
    <x v="1"/>
    <s v="UPI"/>
    <x v="2"/>
    <x v="0"/>
  </r>
  <r>
    <s v="ORD100598"/>
    <d v="2026-01-04T00:00:00"/>
    <x v="1"/>
    <s v="Delhi"/>
    <x v="3"/>
    <s v="Corporate"/>
    <x v="0"/>
    <s v="Keyboard"/>
    <x v="580"/>
    <n v="11"/>
    <n v="4985.49"/>
    <n v="20"/>
    <x v="596"/>
    <n v="29196.73"/>
    <n v="14675.58"/>
    <x v="0"/>
    <s v="Net Banking"/>
    <x v="9"/>
    <x v="1"/>
  </r>
  <r>
    <s v="ORD100599"/>
    <d v="2026-06-29T00:00:00"/>
    <x v="1"/>
    <s v="Delhi"/>
    <x v="2"/>
    <s v="Corporate"/>
    <x v="0"/>
    <s v="Monitor"/>
    <x v="581"/>
    <n v="8"/>
    <n v="248.85"/>
    <n v="0"/>
    <x v="597"/>
    <n v="1611.61"/>
    <n v="379.19"/>
    <x v="0"/>
    <s v="Net Banking"/>
    <x v="10"/>
    <x v="1"/>
  </r>
  <r>
    <s v="ORD100600"/>
    <d v="2025-09-20T00:00:00"/>
    <x v="2"/>
    <s v="Chennai"/>
    <x v="2"/>
    <s v="Corporate"/>
    <x v="1"/>
    <s v="Table"/>
    <x v="582"/>
    <n v="15"/>
    <n v="2253.36"/>
    <n v="5"/>
    <x v="598"/>
    <n v="24383.53"/>
    <n v="7726.85"/>
    <x v="1"/>
    <s v="Net Banking"/>
    <x v="4"/>
    <x v="0"/>
  </r>
  <r>
    <s v="ORD100601"/>
    <d v="2026-01-09T00:00:00"/>
    <x v="3"/>
    <s v="Bhubaneswar"/>
    <x v="0"/>
    <s v="Corporate"/>
    <x v="2"/>
    <s v="Folders"/>
    <x v="583"/>
    <n v="1"/>
    <n v="3955.97"/>
    <n v="0"/>
    <x v="599"/>
    <n v="3236.12"/>
    <n v="719.85"/>
    <x v="0"/>
    <s v="Card"/>
    <x v="9"/>
    <x v="1"/>
  </r>
  <r>
    <s v="ORD100602"/>
    <d v="2025-02-11T00:00:00"/>
    <x v="2"/>
    <s v="Bengaluru"/>
    <x v="0"/>
    <s v="Corporate"/>
    <x v="2"/>
    <s v="Printer Ink"/>
    <x v="584"/>
    <n v="3"/>
    <n v="3239.74"/>
    <n v="0"/>
    <x v="600"/>
    <n v="6310.18"/>
    <n v="3409.04"/>
    <x v="2"/>
    <s v="Net Banking"/>
    <x v="2"/>
    <x v="0"/>
  </r>
  <r>
    <s v="ORD100603"/>
    <d v="2025-09-06T00:00:00"/>
    <x v="1"/>
    <s v="Chandigarh"/>
    <x v="3"/>
    <s v="Consumer"/>
    <x v="0"/>
    <s v="Headphones"/>
    <x v="585"/>
    <n v="6"/>
    <n v="2696.91"/>
    <n v="20"/>
    <x v="601"/>
    <n v="7360.9"/>
    <n v="5584.27"/>
    <x v="1"/>
    <s v="Cash"/>
    <x v="4"/>
    <x v="0"/>
  </r>
  <r>
    <s v="ORD100604"/>
    <d v="2025-01-13T00:00:00"/>
    <x v="2"/>
    <s v="Chennai"/>
    <x v="5"/>
    <s v="Corporate"/>
    <x v="1"/>
    <s v="Cabinet"/>
    <x v="586"/>
    <n v="14"/>
    <n v="3288.99"/>
    <n v="0"/>
    <x v="602"/>
    <n v="25423.33"/>
    <n v="20622.53"/>
    <x v="1"/>
    <s v="UPI"/>
    <x v="9"/>
    <x v="0"/>
  </r>
  <r>
    <s v="ORD100605"/>
    <d v="2026-04-28T00:00:00"/>
    <x v="1"/>
    <s v="Delhi"/>
    <x v="5"/>
    <s v="Consumer"/>
    <x v="1"/>
    <s v="Cabinet"/>
    <x v="587"/>
    <n v="15"/>
    <n v="4284.8500000000004"/>
    <n v="20"/>
    <x v="603"/>
    <n v="30726.21"/>
    <n v="20691.990000000002"/>
    <x v="1"/>
    <s v="Net Banking"/>
    <x v="7"/>
    <x v="1"/>
  </r>
  <r>
    <s v="ORD100606"/>
    <d v="2025-04-19T00:00:00"/>
    <x v="1"/>
    <s v="Chandigarh"/>
    <x v="3"/>
    <s v="Consumer"/>
    <x v="0"/>
    <s v="Mouse"/>
    <x v="588"/>
    <n v="14"/>
    <n v="1270.3499999999999"/>
    <n v="15"/>
    <x v="604"/>
    <n v="9886.5300000000007"/>
    <n v="5230.63"/>
    <x v="1"/>
    <s v="Cash"/>
    <x v="7"/>
    <x v="0"/>
  </r>
  <r>
    <s v="ORD100607"/>
    <d v="2025-01-24T00:00:00"/>
    <x v="1"/>
    <s v="Chandigarh"/>
    <x v="4"/>
    <s v="Small Business"/>
    <x v="1"/>
    <s v="Bookshelf"/>
    <x v="589"/>
    <n v="3"/>
    <n v="1758.43"/>
    <n v="5"/>
    <x v="605"/>
    <n v="3423.1"/>
    <n v="1588.43"/>
    <x v="2"/>
    <s v="Card"/>
    <x v="9"/>
    <x v="0"/>
  </r>
  <r>
    <s v="ORD100608"/>
    <d v="2026-03-06T00:00:00"/>
    <x v="2"/>
    <s v="Chennai"/>
    <x v="4"/>
    <s v="Small Business"/>
    <x v="1"/>
    <s v="Cabinet"/>
    <x v="590"/>
    <n v="9"/>
    <n v="1019.51"/>
    <n v="20"/>
    <x v="606"/>
    <n v="4813.37"/>
    <n v="2527.1"/>
    <x v="0"/>
    <s v="Card"/>
    <x v="3"/>
    <x v="1"/>
  </r>
  <r>
    <s v="ORD100609"/>
    <d v="2025-05-23T00:00:00"/>
    <x v="2"/>
    <s v="Bengaluru"/>
    <x v="5"/>
    <s v="Corporate"/>
    <x v="1"/>
    <s v="Cabinet"/>
    <x v="591"/>
    <n v="3"/>
    <n v="2521.31"/>
    <n v="0"/>
    <x v="607"/>
    <n v="5156"/>
    <n v="2407.9299999999998"/>
    <x v="0"/>
    <s v="Cash"/>
    <x v="0"/>
    <x v="0"/>
  </r>
  <r>
    <s v="ORD100610"/>
    <d v="2025-11-08T00:00:00"/>
    <x v="1"/>
    <s v="Delhi"/>
    <x v="7"/>
    <s v="Consumer"/>
    <x v="2"/>
    <s v="Paper"/>
    <x v="592"/>
    <n v="6"/>
    <n v="1496.44"/>
    <n v="10"/>
    <x v="608"/>
    <n v="6086.03"/>
    <n v="1994.75"/>
    <x v="0"/>
    <s v="UPI"/>
    <x v="8"/>
    <x v="0"/>
  </r>
  <r>
    <s v="ORD100611"/>
    <d v="2025-05-17T00:00:00"/>
    <x v="0"/>
    <s v="Mumbai"/>
    <x v="7"/>
    <s v="Corporate"/>
    <x v="1"/>
    <s v="Table"/>
    <x v="593"/>
    <n v="5"/>
    <n v="4477.79"/>
    <n v="15"/>
    <x v="609"/>
    <n v="14536.99"/>
    <n v="4493.62"/>
    <x v="1"/>
    <s v="Net Banking"/>
    <x v="0"/>
    <x v="0"/>
  </r>
  <r>
    <s v="ORD100612"/>
    <d v="2025-07-13T00:00:00"/>
    <x v="1"/>
    <s v="Chandigarh"/>
    <x v="3"/>
    <s v="Corporate"/>
    <x v="0"/>
    <s v="Monitor"/>
    <x v="131"/>
    <n v="3"/>
    <n v="1080.5899999999999"/>
    <n v="15"/>
    <x v="610"/>
    <n v="1917.87"/>
    <n v="837.63"/>
    <x v="0"/>
    <s v="Card"/>
    <x v="5"/>
    <x v="0"/>
  </r>
  <r>
    <s v="ORD100613"/>
    <d v="2025-09-27T00:00:00"/>
    <x v="0"/>
    <s v="Ahmedabad"/>
    <x v="4"/>
    <s v="Consumer"/>
    <x v="1"/>
    <s v="Chair"/>
    <x v="594"/>
    <n v="7"/>
    <n v="4044.83"/>
    <n v="5"/>
    <x v="611"/>
    <n v="18296.650000000001"/>
    <n v="8601.4699999999993"/>
    <x v="0"/>
    <s v="UPI"/>
    <x v="4"/>
    <x v="0"/>
  </r>
  <r>
    <s v="ORD100614"/>
    <d v="2025-01-14T00:00:00"/>
    <x v="3"/>
    <s v="Bhubaneswar"/>
    <x v="0"/>
    <s v="Consumer"/>
    <x v="2"/>
    <s v="Printer Ink"/>
    <x v="595"/>
    <n v="12"/>
    <n v="4029.56"/>
    <n v="5"/>
    <x v="612"/>
    <n v="30928.17"/>
    <n v="15008.81"/>
    <x v="2"/>
    <s v="Net Banking"/>
    <x v="9"/>
    <x v="0"/>
  </r>
  <r>
    <s v="ORD100615"/>
    <d v="2025-11-13T00:00:00"/>
    <x v="1"/>
    <s v="Delhi"/>
    <x v="2"/>
    <s v="Corporate"/>
    <x v="2"/>
    <s v="Folders"/>
    <x v="596"/>
    <n v="1"/>
    <n v="2752.58"/>
    <n v="15"/>
    <x v="613"/>
    <n v="1835.81"/>
    <n v="503.88"/>
    <x v="1"/>
    <s v="Card"/>
    <x v="8"/>
    <x v="0"/>
  </r>
  <r>
    <s v="ORD100616"/>
    <d v="2025-06-20T00:00:00"/>
    <x v="2"/>
    <s v="Bengaluru"/>
    <x v="3"/>
    <s v="Small Business"/>
    <x v="2"/>
    <s v="Printer Ink"/>
    <x v="597"/>
    <n v="9"/>
    <n v="1598.38"/>
    <n v="10"/>
    <x v="614"/>
    <n v="10605.79"/>
    <n v="2341.09"/>
    <x v="1"/>
    <s v="Cash"/>
    <x v="10"/>
    <x v="0"/>
  </r>
  <r>
    <s v="ORD100617"/>
    <d v="2026-06-02T00:00:00"/>
    <x v="2"/>
    <s v="Bengaluru"/>
    <x v="7"/>
    <s v="Consumer"/>
    <x v="1"/>
    <s v="Bookshelf"/>
    <x v="598"/>
    <n v="10"/>
    <n v="3311.76"/>
    <n v="0"/>
    <x v="615"/>
    <n v="24494.85"/>
    <n v="8622.75"/>
    <x v="1"/>
    <s v="Cash"/>
    <x v="10"/>
    <x v="1"/>
  </r>
  <r>
    <s v="ORD100618"/>
    <d v="2025-11-27T00:00:00"/>
    <x v="2"/>
    <s v="Chennai"/>
    <x v="0"/>
    <s v="Small Business"/>
    <x v="0"/>
    <s v="Headphones"/>
    <x v="599"/>
    <n v="9"/>
    <n v="4116.2299999999996"/>
    <n v="5"/>
    <x v="616"/>
    <n v="20350.53"/>
    <n v="14843.24"/>
    <x v="2"/>
    <s v="Cash"/>
    <x v="8"/>
    <x v="0"/>
  </r>
  <r>
    <s v="ORD100619"/>
    <d v="2025-09-23T00:00:00"/>
    <x v="0"/>
    <s v="Mumbai"/>
    <x v="2"/>
    <s v="Small Business"/>
    <x v="2"/>
    <s v="Paper"/>
    <x v="600"/>
    <n v="6"/>
    <n v="4932.3100000000004"/>
    <n v="10"/>
    <x v="617"/>
    <n v="20430.39"/>
    <n v="6204.08"/>
    <x v="2"/>
    <s v="Net Banking"/>
    <x v="4"/>
    <x v="0"/>
  </r>
  <r>
    <s v="ORD100620"/>
    <d v="2026-01-01T00:00:00"/>
    <x v="3"/>
    <s v="Kolkata"/>
    <x v="2"/>
    <s v="Small Business"/>
    <x v="0"/>
    <s v="Laptop"/>
    <x v="601"/>
    <n v="11"/>
    <n v="3579.65"/>
    <n v="20"/>
    <x v="618"/>
    <n v="18183.009999999998"/>
    <n v="13317.91"/>
    <x v="2"/>
    <s v="Card"/>
    <x v="9"/>
    <x v="1"/>
  </r>
  <r>
    <s v="ORD100621"/>
    <d v="2025-08-31T00:00:00"/>
    <x v="3"/>
    <s v="Kolkata"/>
    <x v="4"/>
    <s v="Consumer"/>
    <x v="2"/>
    <s v="Pens"/>
    <x v="602"/>
    <n v="3"/>
    <n v="1071.68"/>
    <n v="0"/>
    <x v="619"/>
    <n v="2474.9499999999998"/>
    <n v="740.09"/>
    <x v="0"/>
    <s v="Card"/>
    <x v="6"/>
    <x v="0"/>
  </r>
  <r>
    <s v="ORD100622"/>
    <d v="2025-12-19T00:00:00"/>
    <x v="1"/>
    <s v="Chandigarh"/>
    <x v="1"/>
    <s v="Corporate"/>
    <x v="1"/>
    <s v="Cabinet"/>
    <x v="603"/>
    <n v="14"/>
    <n v="2013.69"/>
    <n v="10"/>
    <x v="620"/>
    <n v="17760.75"/>
    <n v="7611.74"/>
    <x v="0"/>
    <s v="Cash"/>
    <x v="11"/>
    <x v="0"/>
  </r>
  <r>
    <s v="ORD100623"/>
    <d v="2025-02-18T00:00:00"/>
    <x v="3"/>
    <s v="Kolkata"/>
    <x v="2"/>
    <s v="Small Business"/>
    <x v="0"/>
    <s v="Monitor"/>
    <x v="604"/>
    <n v="8"/>
    <n v="933.85"/>
    <n v="5"/>
    <x v="621"/>
    <n v="4920.08"/>
    <n v="2177.1799999999998"/>
    <x v="2"/>
    <s v="Cash"/>
    <x v="2"/>
    <x v="0"/>
  </r>
  <r>
    <s v="ORD100624"/>
    <d v="2025-10-04T00:00:00"/>
    <x v="2"/>
    <s v="Bengaluru"/>
    <x v="1"/>
    <s v="Corporate"/>
    <x v="2"/>
    <s v="Paper"/>
    <x v="605"/>
    <n v="15"/>
    <n v="1796.47"/>
    <n v="10"/>
    <x v="622"/>
    <n v="18549.240000000002"/>
    <n v="5703.11"/>
    <x v="2"/>
    <s v="Card"/>
    <x v="1"/>
    <x v="0"/>
  </r>
  <r>
    <s v="ORD100625"/>
    <d v="2025-04-19T00:00:00"/>
    <x v="1"/>
    <s v="Chandigarh"/>
    <x v="4"/>
    <s v="Small Business"/>
    <x v="1"/>
    <s v="Cabinet"/>
    <x v="606"/>
    <n v="3"/>
    <n v="3913.97"/>
    <n v="10"/>
    <x v="623"/>
    <n v="7012.65"/>
    <n v="3555.07"/>
    <x v="1"/>
    <s v="Card"/>
    <x v="7"/>
    <x v="0"/>
  </r>
  <r>
    <s v="ORD100626"/>
    <d v="2026-05-04T00:00:00"/>
    <x v="3"/>
    <s v="Bhubaneswar"/>
    <x v="6"/>
    <s v="Small Business"/>
    <x v="1"/>
    <s v="Bookshelf"/>
    <x v="607"/>
    <n v="2"/>
    <n v="616.42999999999995"/>
    <n v="20"/>
    <x v="624"/>
    <n v="708.12"/>
    <n v="278.17"/>
    <x v="1"/>
    <s v="UPI"/>
    <x v="0"/>
    <x v="1"/>
  </r>
  <r>
    <s v="ORD100627"/>
    <d v="2025-04-13T00:00:00"/>
    <x v="2"/>
    <s v="Chennai"/>
    <x v="5"/>
    <s v="Small Business"/>
    <x v="0"/>
    <s v="Mouse"/>
    <x v="608"/>
    <n v="14"/>
    <n v="2973.84"/>
    <n v="0"/>
    <x v="625"/>
    <n v="25093.27"/>
    <n v="16540.490000000002"/>
    <x v="2"/>
    <s v="Card"/>
    <x v="7"/>
    <x v="0"/>
  </r>
  <r>
    <s v="ORD100628"/>
    <d v="2026-05-04T00:00:00"/>
    <x v="1"/>
    <s v="Chandigarh"/>
    <x v="3"/>
    <s v="Consumer"/>
    <x v="2"/>
    <s v="Notebook"/>
    <x v="609"/>
    <n v="13"/>
    <n v="333.56"/>
    <n v="15"/>
    <x v="626"/>
    <n v="2542.7800000000002"/>
    <n v="1143.06"/>
    <x v="0"/>
    <s v="Cash"/>
    <x v="0"/>
    <x v="1"/>
  </r>
  <r>
    <s v="ORD100629"/>
    <d v="2026-04-29T00:00:00"/>
    <x v="3"/>
    <s v="Bhubaneswar"/>
    <x v="0"/>
    <s v="Consumer"/>
    <x v="1"/>
    <s v="Table"/>
    <x v="610"/>
    <n v="15"/>
    <n v="2582.2399999999998"/>
    <n v="10"/>
    <x v="627"/>
    <n v="20410.2"/>
    <n v="14450.04"/>
    <x v="2"/>
    <s v="Card"/>
    <x v="7"/>
    <x v="1"/>
  </r>
  <r>
    <s v="ORD100630"/>
    <d v="2025-12-19T00:00:00"/>
    <x v="1"/>
    <s v="Delhi"/>
    <x v="3"/>
    <s v="Consumer"/>
    <x v="0"/>
    <s v="Keyboard"/>
    <x v="611"/>
    <n v="2"/>
    <n v="3294.08"/>
    <n v="10"/>
    <x v="628"/>
    <n v="4268.84"/>
    <n v="1660.5"/>
    <x v="2"/>
    <s v="Cash"/>
    <x v="11"/>
    <x v="0"/>
  </r>
  <r>
    <s v="ORD100631"/>
    <d v="2025-06-26T00:00:00"/>
    <x v="2"/>
    <s v="Chennai"/>
    <x v="1"/>
    <s v="Corporate"/>
    <x v="0"/>
    <s v="Monitor"/>
    <x v="612"/>
    <n v="8"/>
    <n v="2422.38"/>
    <n v="20"/>
    <x v="629"/>
    <n v="9918.43"/>
    <n v="5584.8"/>
    <x v="0"/>
    <s v="Cash"/>
    <x v="10"/>
    <x v="0"/>
  </r>
  <r>
    <s v="ORD100632"/>
    <d v="2025-09-04T00:00:00"/>
    <x v="2"/>
    <s v="Chennai"/>
    <x v="7"/>
    <s v="Small Business"/>
    <x v="2"/>
    <s v="Paper"/>
    <x v="613"/>
    <n v="10"/>
    <n v="3747.69"/>
    <n v="15"/>
    <x v="630"/>
    <n v="22542.77"/>
    <n v="9312.6"/>
    <x v="0"/>
    <s v="UPI"/>
    <x v="4"/>
    <x v="0"/>
  </r>
  <r>
    <s v="ORD100633"/>
    <d v="2025-06-02T00:00:00"/>
    <x v="2"/>
    <s v="Bengaluru"/>
    <x v="7"/>
    <s v="Corporate"/>
    <x v="1"/>
    <s v="Chair"/>
    <x v="614"/>
    <n v="9"/>
    <n v="2807.73"/>
    <n v="15"/>
    <x v="631"/>
    <n v="12461.2"/>
    <n v="9017.93"/>
    <x v="0"/>
    <s v="UPI"/>
    <x v="10"/>
    <x v="0"/>
  </r>
  <r>
    <s v="ORD100634"/>
    <d v="2026-05-23T00:00:00"/>
    <x v="0"/>
    <s v="Mumbai"/>
    <x v="1"/>
    <s v="Consumer"/>
    <x v="2"/>
    <s v="Pens"/>
    <x v="615"/>
    <n v="5"/>
    <n v="4207.33"/>
    <n v="0"/>
    <x v="632"/>
    <n v="15938.1"/>
    <n v="5098.55"/>
    <x v="1"/>
    <s v="Net Banking"/>
    <x v="0"/>
    <x v="1"/>
  </r>
  <r>
    <s v="ORD100635"/>
    <d v="2025-04-30T00:00:00"/>
    <x v="3"/>
    <s v="Kolkata"/>
    <x v="0"/>
    <s v="Corporate"/>
    <x v="1"/>
    <s v="Bookshelf"/>
    <x v="616"/>
    <n v="1"/>
    <n v="1645"/>
    <n v="0"/>
    <x v="633"/>
    <n v="1263.23"/>
    <n v="381.77"/>
    <x v="2"/>
    <s v="Cash"/>
    <x v="7"/>
    <x v="0"/>
  </r>
  <r>
    <s v="ORD100636"/>
    <d v="2026-02-24T00:00:00"/>
    <x v="1"/>
    <s v="Delhi"/>
    <x v="3"/>
    <s v="Corporate"/>
    <x v="0"/>
    <s v="Mouse"/>
    <x v="617"/>
    <n v="2"/>
    <n v="1670.47"/>
    <n v="0"/>
    <x v="634"/>
    <n v="2258.91"/>
    <n v="1082.03"/>
    <x v="2"/>
    <s v="UPI"/>
    <x v="2"/>
    <x v="1"/>
  </r>
  <r>
    <s v="ORD100637"/>
    <d v="2025-03-07T00:00:00"/>
    <x v="1"/>
    <s v="Chandigarh"/>
    <x v="0"/>
    <s v="Small Business"/>
    <x v="1"/>
    <s v="Cabinet"/>
    <x v="618"/>
    <n v="13"/>
    <n v="695.78"/>
    <n v="10"/>
    <x v="635"/>
    <n v="6287.12"/>
    <n v="1853.51"/>
    <x v="2"/>
    <s v="Cash"/>
    <x v="3"/>
    <x v="0"/>
  </r>
  <r>
    <s v="ORD100638"/>
    <d v="2026-06-08T00:00:00"/>
    <x v="0"/>
    <s v="Mumbai"/>
    <x v="6"/>
    <s v="Corporate"/>
    <x v="2"/>
    <s v="Folders"/>
    <x v="619"/>
    <n v="12"/>
    <n v="3983.85"/>
    <n v="15"/>
    <x v="636"/>
    <n v="28733.82"/>
    <n v="11901.45"/>
    <x v="1"/>
    <s v="Card"/>
    <x v="10"/>
    <x v="1"/>
  </r>
  <r>
    <s v="ORD100639"/>
    <d v="2026-05-13T00:00:00"/>
    <x v="0"/>
    <s v="Ahmedabad"/>
    <x v="7"/>
    <s v="Small Business"/>
    <x v="2"/>
    <s v="Paper"/>
    <x v="620"/>
    <n v="1"/>
    <n v="646.11"/>
    <n v="0"/>
    <x v="637"/>
    <n v="434.49"/>
    <n v="211.62"/>
    <x v="2"/>
    <s v="UPI"/>
    <x v="0"/>
    <x v="1"/>
  </r>
  <r>
    <s v="ORD100640"/>
    <d v="2025-12-02T00:00:00"/>
    <x v="1"/>
    <s v="Delhi"/>
    <x v="0"/>
    <s v="Consumer"/>
    <x v="1"/>
    <s v="Table"/>
    <x v="621"/>
    <n v="3"/>
    <n v="2679.82"/>
    <n v="0"/>
    <x v="638"/>
    <n v="5922.13"/>
    <n v="2117.33"/>
    <x v="1"/>
    <s v="Card"/>
    <x v="11"/>
    <x v="0"/>
  </r>
  <r>
    <s v="ORD100641"/>
    <d v="2026-03-28T00:00:00"/>
    <x v="0"/>
    <s v="Mumbai"/>
    <x v="5"/>
    <s v="Small Business"/>
    <x v="2"/>
    <s v="Notebook"/>
    <x v="622"/>
    <n v="5"/>
    <n v="3288"/>
    <n v="0"/>
    <x v="639"/>
    <n v="11696.84"/>
    <n v="4743.16"/>
    <x v="2"/>
    <s v="Card"/>
    <x v="3"/>
    <x v="1"/>
  </r>
  <r>
    <s v="ORD100642"/>
    <d v="2025-01-21T00:00:00"/>
    <x v="3"/>
    <s v="Bhubaneswar"/>
    <x v="7"/>
    <s v="Small Business"/>
    <x v="0"/>
    <s v="Mouse"/>
    <x v="623"/>
    <n v="1"/>
    <n v="912.68"/>
    <n v="15"/>
    <x v="640"/>
    <n v="577.49"/>
    <n v="198.29"/>
    <x v="1"/>
    <s v="Cash"/>
    <x v="9"/>
    <x v="0"/>
  </r>
  <r>
    <s v="ORD100643"/>
    <d v="2025-09-17T00:00:00"/>
    <x v="0"/>
    <s v="Mumbai"/>
    <x v="7"/>
    <s v="Consumer"/>
    <x v="1"/>
    <s v="Chair"/>
    <x v="624"/>
    <n v="9"/>
    <n v="4010.43"/>
    <n v="0"/>
    <x v="641"/>
    <n v="20465.04"/>
    <n v="15628.83"/>
    <x v="2"/>
    <s v="Card"/>
    <x v="4"/>
    <x v="0"/>
  </r>
  <r>
    <s v="ORD100644"/>
    <d v="2025-02-19T00:00:00"/>
    <x v="2"/>
    <s v="Bengaluru"/>
    <x v="2"/>
    <s v="Small Business"/>
    <x v="0"/>
    <s v="Headphones"/>
    <x v="625"/>
    <n v="8"/>
    <n v="2931.3"/>
    <n v="20"/>
    <x v="642"/>
    <n v="10625.15"/>
    <n v="8135.17"/>
    <x v="2"/>
    <s v="Cash"/>
    <x v="2"/>
    <x v="0"/>
  </r>
  <r>
    <s v="ORD100645"/>
    <d v="2026-06-14T00:00:00"/>
    <x v="2"/>
    <s v="Chennai"/>
    <x v="2"/>
    <s v="Small Business"/>
    <x v="0"/>
    <s v="Monitor"/>
    <x v="626"/>
    <n v="10"/>
    <n v="4774.8900000000003"/>
    <n v="20"/>
    <x v="643"/>
    <n v="24113.279999999999"/>
    <n v="14085.84"/>
    <x v="2"/>
    <s v="Net Banking"/>
    <x v="10"/>
    <x v="1"/>
  </r>
  <r>
    <s v="ORD100646"/>
    <d v="2025-09-01T00:00:00"/>
    <x v="1"/>
    <s v="Chandigarh"/>
    <x v="5"/>
    <s v="Consumer"/>
    <x v="1"/>
    <s v="Desk"/>
    <x v="627"/>
    <n v="12"/>
    <n v="1047.17"/>
    <n v="0"/>
    <x v="644"/>
    <n v="9971.75"/>
    <n v="2594.29"/>
    <x v="0"/>
    <s v="Net Banking"/>
    <x v="4"/>
    <x v="0"/>
  </r>
  <r>
    <s v="ORD100647"/>
    <d v="2025-03-08T00:00:00"/>
    <x v="1"/>
    <s v="Delhi"/>
    <x v="6"/>
    <s v="Corporate"/>
    <x v="2"/>
    <s v="Printer Ink"/>
    <x v="628"/>
    <n v="11"/>
    <n v="294.62"/>
    <n v="15"/>
    <x v="645"/>
    <n v="2209.29"/>
    <n v="545.41"/>
    <x v="2"/>
    <s v="UPI"/>
    <x v="3"/>
    <x v="0"/>
  </r>
  <r>
    <s v="ORD100648"/>
    <d v="2026-01-14T00:00:00"/>
    <x v="0"/>
    <s v="Mumbai"/>
    <x v="3"/>
    <s v="Consumer"/>
    <x v="1"/>
    <s v="Chair"/>
    <x v="629"/>
    <n v="14"/>
    <n v="2603.02"/>
    <n v="0"/>
    <x v="646"/>
    <n v="20129.14"/>
    <n v="16313.14"/>
    <x v="2"/>
    <s v="Card"/>
    <x v="9"/>
    <x v="1"/>
  </r>
  <r>
    <s v="ORD100649"/>
    <d v="2026-04-24T00:00:00"/>
    <x v="3"/>
    <s v="Bhubaneswar"/>
    <x v="0"/>
    <s v="Consumer"/>
    <x v="2"/>
    <s v="Folders"/>
    <x v="630"/>
    <n v="8"/>
    <n v="4738.54"/>
    <n v="20"/>
    <x v="647"/>
    <n v="24842.06"/>
    <n v="5484.6"/>
    <x v="0"/>
    <s v="Cash"/>
    <x v="7"/>
    <x v="1"/>
  </r>
  <r>
    <s v="ORD100650"/>
    <d v="2026-06-05T00:00:00"/>
    <x v="1"/>
    <s v="Delhi"/>
    <x v="4"/>
    <s v="Consumer"/>
    <x v="2"/>
    <s v="Folders"/>
    <x v="631"/>
    <n v="2"/>
    <n v="824.85"/>
    <n v="15"/>
    <x v="648"/>
    <n v="1090.01"/>
    <n v="312.23"/>
    <x v="0"/>
    <s v="Net Banking"/>
    <x v="10"/>
    <x v="1"/>
  </r>
  <r>
    <s v="ORD100651"/>
    <d v="2025-12-20T00:00:00"/>
    <x v="3"/>
    <s v="Bhubaneswar"/>
    <x v="6"/>
    <s v="Corporate"/>
    <x v="1"/>
    <s v="Desk"/>
    <x v="632"/>
    <n v="9"/>
    <n v="1572.12"/>
    <n v="15"/>
    <x v="649"/>
    <n v="8552.5400000000009"/>
    <n v="3474.18"/>
    <x v="1"/>
    <s v="Card"/>
    <x v="11"/>
    <x v="0"/>
  </r>
  <r>
    <s v="ORD100652"/>
    <d v="2026-04-01T00:00:00"/>
    <x v="3"/>
    <s v="Bhubaneswar"/>
    <x v="5"/>
    <s v="Small Business"/>
    <x v="1"/>
    <s v="Bookshelf"/>
    <x v="633"/>
    <n v="15"/>
    <n v="4765.1899999999996"/>
    <n v="5"/>
    <x v="650"/>
    <n v="43344.65"/>
    <n v="24559.31"/>
    <x v="1"/>
    <s v="Cash"/>
    <x v="7"/>
    <x v="1"/>
  </r>
  <r>
    <s v="ORD100653"/>
    <d v="2025-10-03T00:00:00"/>
    <x v="3"/>
    <s v="Bhubaneswar"/>
    <x v="2"/>
    <s v="Consumer"/>
    <x v="1"/>
    <s v="Desk"/>
    <x v="634"/>
    <n v="13"/>
    <n v="2002.99"/>
    <n v="15"/>
    <x v="651"/>
    <n v="17871.59"/>
    <n v="4261.45"/>
    <x v="2"/>
    <s v="Card"/>
    <x v="1"/>
    <x v="0"/>
  </r>
  <r>
    <s v="ORD100654"/>
    <d v="2025-03-05T00:00:00"/>
    <x v="2"/>
    <s v="Bengaluru"/>
    <x v="2"/>
    <s v="Corporate"/>
    <x v="1"/>
    <s v="Desk"/>
    <x v="635"/>
    <n v="7"/>
    <n v="4170.26"/>
    <n v="0"/>
    <x v="652"/>
    <n v="22953"/>
    <n v="6238.82"/>
    <x v="2"/>
    <s v="Net Banking"/>
    <x v="3"/>
    <x v="0"/>
  </r>
  <r>
    <s v="ORD100655"/>
    <d v="2025-09-12T00:00:00"/>
    <x v="0"/>
    <s v="Mumbai"/>
    <x v="6"/>
    <s v="Consumer"/>
    <x v="0"/>
    <s v="Mouse"/>
    <x v="636"/>
    <n v="14"/>
    <n v="1138.8399999999999"/>
    <n v="5"/>
    <x v="653"/>
    <n v="10959.89"/>
    <n v="4186.68"/>
    <x v="2"/>
    <s v="Net Banking"/>
    <x v="4"/>
    <x v="0"/>
  </r>
  <r>
    <s v="ORD100656"/>
    <d v="2026-02-12T00:00:00"/>
    <x v="3"/>
    <s v="Kolkata"/>
    <x v="1"/>
    <s v="Small Business"/>
    <x v="2"/>
    <s v="Paper"/>
    <x v="637"/>
    <n v="1"/>
    <n v="917.69"/>
    <n v="15"/>
    <x v="654"/>
    <n v="551.79"/>
    <n v="228.25"/>
    <x v="2"/>
    <s v="Cash"/>
    <x v="2"/>
    <x v="1"/>
  </r>
  <r>
    <s v="ORD100657"/>
    <d v="2025-07-14T00:00:00"/>
    <x v="1"/>
    <s v="Delhi"/>
    <x v="0"/>
    <s v="Corporate"/>
    <x v="1"/>
    <s v="Cabinet"/>
    <x v="638"/>
    <n v="3"/>
    <n v="401.84"/>
    <n v="5"/>
    <x v="655"/>
    <n v="712.51"/>
    <n v="432.73"/>
    <x v="2"/>
    <s v="UPI"/>
    <x v="5"/>
    <x v="0"/>
  </r>
  <r>
    <s v="ORD100658"/>
    <d v="2025-06-05T00:00:00"/>
    <x v="2"/>
    <s v="Chennai"/>
    <x v="7"/>
    <s v="Consumer"/>
    <x v="0"/>
    <s v="Mouse"/>
    <x v="639"/>
    <n v="15"/>
    <n v="2357.0700000000002"/>
    <n v="20"/>
    <x v="656"/>
    <n v="20148.3"/>
    <n v="8136.54"/>
    <x v="0"/>
    <s v="Cash"/>
    <x v="10"/>
    <x v="0"/>
  </r>
  <r>
    <s v="ORD100659"/>
    <d v="2025-09-24T00:00:00"/>
    <x v="3"/>
    <s v="Bhubaneswar"/>
    <x v="4"/>
    <s v="Corporate"/>
    <x v="0"/>
    <s v="Keyboard"/>
    <x v="640"/>
    <n v="14"/>
    <n v="4137.5600000000004"/>
    <n v="10"/>
    <x v="657"/>
    <n v="41917.29"/>
    <n v="10215.969999999999"/>
    <x v="1"/>
    <s v="Cash"/>
    <x v="4"/>
    <x v="0"/>
  </r>
  <r>
    <s v="ORD100660"/>
    <d v="2026-04-17T00:00:00"/>
    <x v="3"/>
    <s v="Bhubaneswar"/>
    <x v="1"/>
    <s v="Small Business"/>
    <x v="1"/>
    <s v="Table"/>
    <x v="641"/>
    <n v="13"/>
    <n v="2125.25"/>
    <n v="10"/>
    <x v="658"/>
    <n v="14609.76"/>
    <n v="10255.66"/>
    <x v="0"/>
    <s v="Card"/>
    <x v="7"/>
    <x v="1"/>
  </r>
  <r>
    <s v="ORD100661"/>
    <d v="2025-12-31T00:00:00"/>
    <x v="3"/>
    <s v="Kolkata"/>
    <x v="1"/>
    <s v="Corporate"/>
    <x v="2"/>
    <s v="Printer Ink"/>
    <x v="642"/>
    <n v="10"/>
    <n v="4225.59"/>
    <n v="15"/>
    <x v="659"/>
    <n v="26302.5"/>
    <n v="9615.01"/>
    <x v="1"/>
    <s v="Net Banking"/>
    <x v="11"/>
    <x v="0"/>
  </r>
  <r>
    <s v="ORD100662"/>
    <d v="2026-05-22T00:00:00"/>
    <x v="0"/>
    <s v="Ahmedabad"/>
    <x v="6"/>
    <s v="Corporate"/>
    <x v="0"/>
    <s v="Keyboard"/>
    <x v="643"/>
    <n v="11"/>
    <n v="3999.25"/>
    <n v="10"/>
    <x v="660"/>
    <n v="24835.72"/>
    <n v="14756.86"/>
    <x v="2"/>
    <s v="Net Banking"/>
    <x v="0"/>
    <x v="1"/>
  </r>
  <r>
    <s v="ORD100663"/>
    <d v="2025-09-14T00:00:00"/>
    <x v="3"/>
    <s v="Kolkata"/>
    <x v="0"/>
    <s v="Small Business"/>
    <x v="1"/>
    <s v="Cabinet"/>
    <x v="644"/>
    <n v="10"/>
    <n v="4109.96"/>
    <n v="20"/>
    <x v="661"/>
    <n v="18455.98"/>
    <n v="14423.7"/>
    <x v="1"/>
    <s v="Card"/>
    <x v="4"/>
    <x v="0"/>
  </r>
  <r>
    <s v="ORD100664"/>
    <d v="2025-12-05T00:00:00"/>
    <x v="0"/>
    <s v="Mumbai"/>
    <x v="3"/>
    <s v="Corporate"/>
    <x v="1"/>
    <s v="Desk"/>
    <x v="645"/>
    <n v="1"/>
    <n v="1955.18"/>
    <n v="20"/>
    <x v="662"/>
    <n v="898.58"/>
    <n v="665.56"/>
    <x v="2"/>
    <s v="Net Banking"/>
    <x v="11"/>
    <x v="0"/>
  </r>
  <r>
    <s v="ORD100665"/>
    <d v="2025-07-26T00:00:00"/>
    <x v="2"/>
    <s v="Chennai"/>
    <x v="1"/>
    <s v="Consumer"/>
    <x v="2"/>
    <s v="Folders"/>
    <x v="646"/>
    <n v="2"/>
    <n v="3951.32"/>
    <n v="10"/>
    <x v="663"/>
    <n v="4339.55"/>
    <n v="2772.83"/>
    <x v="2"/>
    <s v="Cash"/>
    <x v="5"/>
    <x v="0"/>
  </r>
  <r>
    <s v="ORD100666"/>
    <d v="2026-06-03T00:00:00"/>
    <x v="0"/>
    <s v="Ahmedabad"/>
    <x v="0"/>
    <s v="Small Business"/>
    <x v="2"/>
    <s v="Folders"/>
    <x v="647"/>
    <n v="10"/>
    <n v="757.95"/>
    <n v="20"/>
    <x v="664"/>
    <n v="4002.57"/>
    <n v="2061.0300000000002"/>
    <x v="2"/>
    <s v="Card"/>
    <x v="10"/>
    <x v="1"/>
  </r>
  <r>
    <s v="ORD100667"/>
    <d v="2025-11-08T00:00:00"/>
    <x v="0"/>
    <s v="Ahmedabad"/>
    <x v="7"/>
    <s v="Corporate"/>
    <x v="0"/>
    <s v="Mouse"/>
    <x v="648"/>
    <n v="1"/>
    <n v="4509.55"/>
    <n v="20"/>
    <x v="665"/>
    <n v="2537.29"/>
    <n v="1070.3499999999999"/>
    <x v="2"/>
    <s v="Card"/>
    <x v="8"/>
    <x v="0"/>
  </r>
  <r>
    <s v="ORD100668"/>
    <d v="2026-01-01T00:00:00"/>
    <x v="2"/>
    <s v="Chennai"/>
    <x v="6"/>
    <s v="Consumer"/>
    <x v="1"/>
    <s v="Chair"/>
    <x v="649"/>
    <n v="7"/>
    <n v="4464.96"/>
    <n v="0"/>
    <x v="666"/>
    <n v="17784.77"/>
    <n v="13469.95"/>
    <x v="1"/>
    <s v="Net Banking"/>
    <x v="9"/>
    <x v="1"/>
  </r>
  <r>
    <s v="ORD100669"/>
    <d v="2025-06-20T00:00:00"/>
    <x v="3"/>
    <s v="Kolkata"/>
    <x v="4"/>
    <s v="Corporate"/>
    <x v="0"/>
    <s v="Mouse"/>
    <x v="650"/>
    <n v="4"/>
    <n v="3212.41"/>
    <n v="15"/>
    <x v="667"/>
    <n v="8217.6"/>
    <n v="2704.59"/>
    <x v="2"/>
    <s v="Net Banking"/>
    <x v="10"/>
    <x v="0"/>
  </r>
  <r>
    <s v="ORD100670"/>
    <d v="2026-06-28T00:00:00"/>
    <x v="2"/>
    <s v="Bengaluru"/>
    <x v="7"/>
    <s v="Corporate"/>
    <x v="2"/>
    <s v="Paper"/>
    <x v="651"/>
    <n v="15"/>
    <n v="1344.36"/>
    <n v="5"/>
    <x v="668"/>
    <n v="10879.36"/>
    <n v="8277.77"/>
    <x v="2"/>
    <s v="UPI"/>
    <x v="10"/>
    <x v="1"/>
  </r>
  <r>
    <s v="ORD100671"/>
    <d v="2025-05-03T00:00:00"/>
    <x v="0"/>
    <s v="Mumbai"/>
    <x v="1"/>
    <s v="Small Business"/>
    <x v="1"/>
    <s v="Table"/>
    <x v="652"/>
    <n v="1"/>
    <n v="3579.74"/>
    <n v="15"/>
    <x v="669"/>
    <n v="2181.58"/>
    <n v="861.2"/>
    <x v="0"/>
    <s v="Net Banking"/>
    <x v="0"/>
    <x v="0"/>
  </r>
  <r>
    <s v="ORD100672"/>
    <d v="2026-04-23T00:00:00"/>
    <x v="1"/>
    <s v="Chandigarh"/>
    <x v="5"/>
    <s v="Consumer"/>
    <x v="1"/>
    <s v="Chair"/>
    <x v="653"/>
    <n v="9"/>
    <n v="890.05"/>
    <n v="5"/>
    <x v="670"/>
    <n v="4755.96"/>
    <n v="2853.97"/>
    <x v="1"/>
    <s v="Card"/>
    <x v="7"/>
    <x v="1"/>
  </r>
  <r>
    <s v="ORD100673"/>
    <d v="2026-01-07T00:00:00"/>
    <x v="3"/>
    <s v="Kolkata"/>
    <x v="1"/>
    <s v="Consumer"/>
    <x v="1"/>
    <s v="Bookshelf"/>
    <x v="654"/>
    <n v="14"/>
    <n v="4145.22"/>
    <n v="10"/>
    <x v="671"/>
    <n v="30963.05"/>
    <n v="21266.720000000001"/>
    <x v="0"/>
    <s v="Net Banking"/>
    <x v="9"/>
    <x v="1"/>
  </r>
  <r>
    <s v="ORD100674"/>
    <d v="2026-04-22T00:00:00"/>
    <x v="3"/>
    <s v="Bhubaneswar"/>
    <x v="6"/>
    <s v="Small Business"/>
    <x v="1"/>
    <s v="Cabinet"/>
    <x v="655"/>
    <n v="11"/>
    <n v="2704.04"/>
    <n v="5"/>
    <x v="672"/>
    <n v="17679.400000000001"/>
    <n v="10577.82"/>
    <x v="2"/>
    <s v="Cash"/>
    <x v="7"/>
    <x v="1"/>
  </r>
  <r>
    <s v="ORD100675"/>
    <d v="2025-05-18T00:00:00"/>
    <x v="2"/>
    <s v="Chennai"/>
    <x v="0"/>
    <s v="Small Business"/>
    <x v="0"/>
    <s v="Headphones"/>
    <x v="656"/>
    <n v="6"/>
    <n v="1681.67"/>
    <n v="20"/>
    <x v="673"/>
    <n v="6217.12"/>
    <n v="1854.9"/>
    <x v="1"/>
    <s v="Card"/>
    <x v="0"/>
    <x v="0"/>
  </r>
  <r>
    <s v="ORD100676"/>
    <d v="2025-01-15T00:00:00"/>
    <x v="2"/>
    <s v="Bengaluru"/>
    <x v="7"/>
    <s v="Consumer"/>
    <x v="2"/>
    <s v="Printer Ink"/>
    <x v="657"/>
    <n v="9"/>
    <n v="2284.92"/>
    <n v="20"/>
    <x v="674"/>
    <n v="12339.26"/>
    <n v="4112.16"/>
    <x v="0"/>
    <s v="Cash"/>
    <x v="9"/>
    <x v="0"/>
  </r>
  <r>
    <s v="ORD100677"/>
    <d v="2025-05-21T00:00:00"/>
    <x v="1"/>
    <s v="Chandigarh"/>
    <x v="4"/>
    <s v="Corporate"/>
    <x v="0"/>
    <s v="Headphones"/>
    <x v="441"/>
    <n v="6"/>
    <n v="4620.22"/>
    <n v="15"/>
    <x v="675"/>
    <n v="17295.21"/>
    <n v="6267.91"/>
    <x v="1"/>
    <s v="Cash"/>
    <x v="0"/>
    <x v="0"/>
  </r>
  <r>
    <s v="ORD100678"/>
    <d v="2025-09-07T00:00:00"/>
    <x v="1"/>
    <s v="Chandigarh"/>
    <x v="5"/>
    <s v="Small Business"/>
    <x v="2"/>
    <s v="Pens"/>
    <x v="658"/>
    <n v="6"/>
    <n v="431.04"/>
    <n v="20"/>
    <x v="676"/>
    <n v="1197.71"/>
    <n v="871.28"/>
    <x v="2"/>
    <s v="Card"/>
    <x v="4"/>
    <x v="0"/>
  </r>
  <r>
    <s v="ORD100679"/>
    <d v="2025-12-16T00:00:00"/>
    <x v="3"/>
    <s v="Bhubaneswar"/>
    <x v="0"/>
    <s v="Consumer"/>
    <x v="1"/>
    <s v="Chair"/>
    <x v="659"/>
    <n v="2"/>
    <n v="2431.7199999999998"/>
    <n v="15"/>
    <x v="677"/>
    <n v="2754.88"/>
    <n v="1379.04"/>
    <x v="2"/>
    <s v="Net Banking"/>
    <x v="11"/>
    <x v="0"/>
  </r>
  <r>
    <s v="ORD100680"/>
    <d v="2025-04-16T00:00:00"/>
    <x v="3"/>
    <s v="Kolkata"/>
    <x v="1"/>
    <s v="Small Business"/>
    <x v="0"/>
    <s v="Laptop"/>
    <x v="193"/>
    <n v="2"/>
    <n v="2022.88"/>
    <n v="20"/>
    <x v="678"/>
    <n v="1790.07"/>
    <n v="1446.54"/>
    <x v="0"/>
    <s v="Net Banking"/>
    <x v="7"/>
    <x v="0"/>
  </r>
  <r>
    <s v="ORD100681"/>
    <d v="2025-11-15T00:00:00"/>
    <x v="3"/>
    <s v="Bhubaneswar"/>
    <x v="1"/>
    <s v="Consumer"/>
    <x v="2"/>
    <s v="Folders"/>
    <x v="660"/>
    <n v="6"/>
    <n v="2387.5700000000002"/>
    <n v="20"/>
    <x v="679"/>
    <n v="8797.84"/>
    <n v="2662.5"/>
    <x v="0"/>
    <s v="Cash"/>
    <x v="8"/>
    <x v="0"/>
  </r>
  <r>
    <s v="ORD100682"/>
    <d v="2026-06-23T00:00:00"/>
    <x v="1"/>
    <s v="Chandigarh"/>
    <x v="4"/>
    <s v="Small Business"/>
    <x v="1"/>
    <s v="Bookshelf"/>
    <x v="422"/>
    <n v="9"/>
    <n v="343.89"/>
    <n v="15"/>
    <x v="680"/>
    <n v="1795.53"/>
    <n v="835.23"/>
    <x v="2"/>
    <s v="Card"/>
    <x v="10"/>
    <x v="1"/>
  </r>
  <r>
    <s v="ORD100683"/>
    <d v="2025-02-19T00:00:00"/>
    <x v="0"/>
    <s v="Ahmedabad"/>
    <x v="3"/>
    <s v="Corporate"/>
    <x v="1"/>
    <s v="Table"/>
    <x v="661"/>
    <n v="15"/>
    <n v="3382.34"/>
    <n v="5"/>
    <x v="681"/>
    <n v="35747.040000000001"/>
    <n v="12451.31"/>
    <x v="2"/>
    <s v="Net Banking"/>
    <x v="2"/>
    <x v="0"/>
  </r>
  <r>
    <s v="ORD100684"/>
    <d v="2025-11-29T00:00:00"/>
    <x v="3"/>
    <s v="Kolkata"/>
    <x v="4"/>
    <s v="Consumer"/>
    <x v="0"/>
    <s v="Laptop"/>
    <x v="662"/>
    <n v="3"/>
    <n v="3531.92"/>
    <n v="10"/>
    <x v="682"/>
    <n v="7608.99"/>
    <n v="1927.19"/>
    <x v="2"/>
    <s v="Net Banking"/>
    <x v="8"/>
    <x v="0"/>
  </r>
  <r>
    <s v="ORD100685"/>
    <d v="2026-04-06T00:00:00"/>
    <x v="1"/>
    <s v="Chandigarh"/>
    <x v="2"/>
    <s v="Small Business"/>
    <x v="2"/>
    <s v="Pens"/>
    <x v="663"/>
    <n v="3"/>
    <n v="2234.0700000000002"/>
    <n v="10"/>
    <x v="683"/>
    <n v="4637.3"/>
    <n v="1394.69"/>
    <x v="1"/>
    <s v="UPI"/>
    <x v="7"/>
    <x v="1"/>
  </r>
  <r>
    <s v="ORD100686"/>
    <d v="2025-07-13T00:00:00"/>
    <x v="2"/>
    <s v="Chennai"/>
    <x v="0"/>
    <s v="Consumer"/>
    <x v="1"/>
    <s v="Table"/>
    <x v="664"/>
    <n v="5"/>
    <n v="1047.04"/>
    <n v="10"/>
    <x v="684"/>
    <n v="3277.98"/>
    <n v="1433.7"/>
    <x v="2"/>
    <s v="Net Banking"/>
    <x v="5"/>
    <x v="0"/>
  </r>
  <r>
    <s v="ORD100687"/>
    <d v="2026-01-10T00:00:00"/>
    <x v="3"/>
    <s v="Kolkata"/>
    <x v="5"/>
    <s v="Consumer"/>
    <x v="1"/>
    <s v="Bookshelf"/>
    <x v="665"/>
    <n v="2"/>
    <n v="549.86"/>
    <n v="5"/>
    <x v="685"/>
    <n v="701.84"/>
    <n v="342.89"/>
    <x v="2"/>
    <s v="Cash"/>
    <x v="9"/>
    <x v="1"/>
  </r>
  <r>
    <s v="ORD100688"/>
    <d v="2025-05-09T00:00:00"/>
    <x v="3"/>
    <s v="Kolkata"/>
    <x v="5"/>
    <s v="Corporate"/>
    <x v="2"/>
    <s v="Printer Ink"/>
    <x v="666"/>
    <n v="7"/>
    <n v="4597.2700000000004"/>
    <n v="15"/>
    <x v="686"/>
    <n v="22195"/>
    <n v="5158.76"/>
    <x v="1"/>
    <s v="Cash"/>
    <x v="0"/>
    <x v="0"/>
  </r>
  <r>
    <s v="ORD100689"/>
    <d v="2025-08-23T00:00:00"/>
    <x v="2"/>
    <s v="Chennai"/>
    <x v="6"/>
    <s v="Consumer"/>
    <x v="2"/>
    <s v="Notebook"/>
    <x v="667"/>
    <n v="1"/>
    <n v="240.56"/>
    <n v="0"/>
    <x v="687"/>
    <n v="196.98"/>
    <n v="43.58"/>
    <x v="1"/>
    <s v="Net Banking"/>
    <x v="6"/>
    <x v="0"/>
  </r>
  <r>
    <s v="ORD100690"/>
    <d v="2025-02-03T00:00:00"/>
    <x v="3"/>
    <s v="Bhubaneswar"/>
    <x v="0"/>
    <s v="Consumer"/>
    <x v="1"/>
    <s v="Cabinet"/>
    <x v="205"/>
    <n v="8"/>
    <n v="3601.83"/>
    <n v="15"/>
    <x v="688"/>
    <n v="20017.64"/>
    <n v="4474.8"/>
    <x v="2"/>
    <s v="Cash"/>
    <x v="2"/>
    <x v="0"/>
  </r>
  <r>
    <s v="ORD100691"/>
    <d v="2026-04-01T00:00:00"/>
    <x v="0"/>
    <s v="Mumbai"/>
    <x v="5"/>
    <s v="Small Business"/>
    <x v="1"/>
    <s v="Desk"/>
    <x v="668"/>
    <n v="10"/>
    <n v="4671.17"/>
    <n v="20"/>
    <x v="689"/>
    <n v="24166.05"/>
    <n v="13203.31"/>
    <x v="2"/>
    <s v="UPI"/>
    <x v="7"/>
    <x v="1"/>
  </r>
  <r>
    <s v="ORD100692"/>
    <d v="2025-09-22T00:00:00"/>
    <x v="1"/>
    <s v="Chandigarh"/>
    <x v="7"/>
    <s v="Corporate"/>
    <x v="1"/>
    <s v="Desk"/>
    <x v="195"/>
    <n v="10"/>
    <n v="3487.76"/>
    <n v="5"/>
    <x v="690"/>
    <n v="20326.93"/>
    <n v="12806.79"/>
    <x v="2"/>
    <s v="Cash"/>
    <x v="4"/>
    <x v="0"/>
  </r>
  <r>
    <s v="ORD100693"/>
    <d v="2025-11-20T00:00:00"/>
    <x v="2"/>
    <s v="Bengaluru"/>
    <x v="7"/>
    <s v="Corporate"/>
    <x v="1"/>
    <s v="Cabinet"/>
    <x v="669"/>
    <n v="5"/>
    <n v="236.02"/>
    <n v="0"/>
    <x v="691"/>
    <n v="673.59"/>
    <n v="506.51"/>
    <x v="1"/>
    <s v="Net Banking"/>
    <x v="8"/>
    <x v="0"/>
  </r>
  <r>
    <s v="ORD100694"/>
    <d v="2026-02-09T00:00:00"/>
    <x v="2"/>
    <s v="Bengaluru"/>
    <x v="0"/>
    <s v="Consumer"/>
    <x v="0"/>
    <s v="Laptop"/>
    <x v="670"/>
    <n v="14"/>
    <n v="4363.26"/>
    <n v="15"/>
    <x v="692"/>
    <n v="34713.01"/>
    <n v="17209.78"/>
    <x v="1"/>
    <s v="UPI"/>
    <x v="2"/>
    <x v="1"/>
  </r>
  <r>
    <s v="ORD100695"/>
    <d v="2026-03-28T00:00:00"/>
    <x v="1"/>
    <s v="Chandigarh"/>
    <x v="3"/>
    <s v="Consumer"/>
    <x v="1"/>
    <s v="Desk"/>
    <x v="671"/>
    <n v="5"/>
    <n v="951.69"/>
    <n v="5"/>
    <x v="693"/>
    <n v="3547.74"/>
    <n v="972.79"/>
    <x v="0"/>
    <s v="Cash"/>
    <x v="3"/>
    <x v="1"/>
  </r>
  <r>
    <s v="ORD100696"/>
    <d v="2025-12-29T00:00:00"/>
    <x v="1"/>
    <s v="Chandigarh"/>
    <x v="4"/>
    <s v="Corporate"/>
    <x v="2"/>
    <s v="Notebook"/>
    <x v="672"/>
    <n v="4"/>
    <n v="1971.74"/>
    <n v="10"/>
    <x v="694"/>
    <n v="4980.4399999999996"/>
    <n v="2117.8200000000002"/>
    <x v="1"/>
    <s v="Cash"/>
    <x v="11"/>
    <x v="0"/>
  </r>
  <r>
    <s v="ORD100697"/>
    <d v="2025-01-26T00:00:00"/>
    <x v="0"/>
    <s v="Ahmedabad"/>
    <x v="5"/>
    <s v="Corporate"/>
    <x v="0"/>
    <s v="Laptop"/>
    <x v="673"/>
    <n v="6"/>
    <n v="1942.27"/>
    <n v="20"/>
    <x v="695"/>
    <n v="7072.21"/>
    <n v="2250.69"/>
    <x v="0"/>
    <s v="Cash"/>
    <x v="9"/>
    <x v="0"/>
  </r>
  <r>
    <s v="ORD100698"/>
    <d v="2025-08-02T00:00:00"/>
    <x v="3"/>
    <s v="Bhubaneswar"/>
    <x v="2"/>
    <s v="Small Business"/>
    <x v="1"/>
    <s v="Chair"/>
    <x v="674"/>
    <n v="4"/>
    <n v="3523.51"/>
    <n v="20"/>
    <x v="696"/>
    <n v="8807.23"/>
    <n v="2468"/>
    <x v="2"/>
    <s v="Net Banking"/>
    <x v="6"/>
    <x v="0"/>
  </r>
  <r>
    <s v="ORD100699"/>
    <d v="2026-04-01T00:00:00"/>
    <x v="3"/>
    <s v="Bhubaneswar"/>
    <x v="5"/>
    <s v="Consumer"/>
    <x v="0"/>
    <s v="Monitor"/>
    <x v="675"/>
    <n v="10"/>
    <n v="2068.7800000000002"/>
    <n v="0"/>
    <x v="697"/>
    <n v="14713.79"/>
    <n v="5974.01"/>
    <x v="1"/>
    <s v="Net Banking"/>
    <x v="7"/>
    <x v="1"/>
  </r>
  <r>
    <s v="ORD100700"/>
    <d v="2025-12-02T00:00:00"/>
    <x v="1"/>
    <s v="Delhi"/>
    <x v="1"/>
    <s v="Consumer"/>
    <x v="0"/>
    <s v="Laptop"/>
    <x v="676"/>
    <n v="9"/>
    <n v="1732.59"/>
    <n v="10"/>
    <x v="698"/>
    <n v="11494.39"/>
    <n v="2539.59"/>
    <x v="1"/>
    <s v="Net Banking"/>
    <x v="11"/>
    <x v="0"/>
  </r>
  <r>
    <s v="ORD100701"/>
    <d v="2025-02-10T00:00:00"/>
    <x v="1"/>
    <s v="Chandigarh"/>
    <x v="4"/>
    <s v="Small Business"/>
    <x v="0"/>
    <s v="Monitor"/>
    <x v="677"/>
    <n v="5"/>
    <n v="2403.61"/>
    <n v="0"/>
    <x v="699"/>
    <n v="8409.16"/>
    <n v="3608.89"/>
    <x v="2"/>
    <s v="Card"/>
    <x v="2"/>
    <x v="0"/>
  </r>
  <r>
    <s v="ORD100702"/>
    <d v="2025-07-03T00:00:00"/>
    <x v="3"/>
    <s v="Kolkata"/>
    <x v="3"/>
    <s v="Corporate"/>
    <x v="0"/>
    <s v="Monitor"/>
    <x v="678"/>
    <n v="4"/>
    <n v="2366.6999999999998"/>
    <n v="10"/>
    <x v="700"/>
    <n v="4755.6899999999996"/>
    <n v="3764.43"/>
    <x v="2"/>
    <s v="Cash"/>
    <x v="5"/>
    <x v="0"/>
  </r>
  <r>
    <s v="ORD100703"/>
    <d v="2025-12-24T00:00:00"/>
    <x v="2"/>
    <s v="Chennai"/>
    <x v="1"/>
    <s v="Consumer"/>
    <x v="1"/>
    <s v="Table"/>
    <x v="679"/>
    <n v="4"/>
    <n v="1956.54"/>
    <n v="10"/>
    <x v="701"/>
    <n v="5709.56"/>
    <n v="1333.98"/>
    <x v="1"/>
    <s v="UPI"/>
    <x v="11"/>
    <x v="0"/>
  </r>
  <r>
    <s v="ORD100704"/>
    <d v="2026-01-19T00:00:00"/>
    <x v="0"/>
    <s v="Mumbai"/>
    <x v="0"/>
    <s v="Small Business"/>
    <x v="0"/>
    <s v="Headphones"/>
    <x v="680"/>
    <n v="3"/>
    <n v="2011.67"/>
    <n v="20"/>
    <x v="702"/>
    <n v="3560.68"/>
    <n v="1267.33"/>
    <x v="1"/>
    <s v="UPI"/>
    <x v="9"/>
    <x v="1"/>
  </r>
  <r>
    <s v="ORD100705"/>
    <d v="2025-03-13T00:00:00"/>
    <x v="0"/>
    <s v="Mumbai"/>
    <x v="4"/>
    <s v="Small Business"/>
    <x v="0"/>
    <s v="Headphones"/>
    <x v="681"/>
    <n v="1"/>
    <n v="4792.37"/>
    <n v="5"/>
    <x v="703"/>
    <n v="2962.28"/>
    <n v="1590.47"/>
    <x v="2"/>
    <s v="UPI"/>
    <x v="3"/>
    <x v="0"/>
  </r>
  <r>
    <s v="ORD100706"/>
    <d v="2025-08-06T00:00:00"/>
    <x v="1"/>
    <s v="Delhi"/>
    <x v="1"/>
    <s v="Corporate"/>
    <x v="1"/>
    <s v="Table"/>
    <x v="682"/>
    <n v="3"/>
    <n v="2402.0700000000002"/>
    <n v="5"/>
    <x v="704"/>
    <n v="5117.01"/>
    <n v="1728.89"/>
    <x v="1"/>
    <s v="Net Banking"/>
    <x v="6"/>
    <x v="0"/>
  </r>
  <r>
    <s v="ORD100707"/>
    <d v="2025-02-23T00:00:00"/>
    <x v="3"/>
    <s v="Kolkata"/>
    <x v="0"/>
    <s v="Corporate"/>
    <x v="0"/>
    <s v="Headphones"/>
    <x v="683"/>
    <n v="3"/>
    <n v="2970.56"/>
    <n v="5"/>
    <x v="705"/>
    <n v="4847.72"/>
    <n v="3618.38"/>
    <x v="1"/>
    <s v="UPI"/>
    <x v="2"/>
    <x v="0"/>
  </r>
  <r>
    <s v="ORD100708"/>
    <d v="2025-04-28T00:00:00"/>
    <x v="0"/>
    <s v="Mumbai"/>
    <x v="3"/>
    <s v="Corporate"/>
    <x v="2"/>
    <s v="Paper"/>
    <x v="684"/>
    <n v="1"/>
    <n v="4658.63"/>
    <n v="5"/>
    <x v="706"/>
    <n v="2673.24"/>
    <n v="1752.46"/>
    <x v="0"/>
    <s v="UPI"/>
    <x v="7"/>
    <x v="0"/>
  </r>
  <r>
    <s v="ORD100709"/>
    <d v="2025-10-08T00:00:00"/>
    <x v="2"/>
    <s v="Bengaluru"/>
    <x v="0"/>
    <s v="Small Business"/>
    <x v="0"/>
    <s v="Mouse"/>
    <x v="685"/>
    <n v="11"/>
    <n v="3201.02"/>
    <n v="0"/>
    <x v="707"/>
    <n v="20240.990000000002"/>
    <n v="14970.23"/>
    <x v="2"/>
    <s v="UPI"/>
    <x v="1"/>
    <x v="0"/>
  </r>
  <r>
    <s v="ORD100710"/>
    <d v="2025-09-19T00:00:00"/>
    <x v="2"/>
    <s v="Chennai"/>
    <x v="0"/>
    <s v="Corporate"/>
    <x v="0"/>
    <s v="Monitor"/>
    <x v="686"/>
    <n v="2"/>
    <n v="452.72"/>
    <n v="20"/>
    <x v="708"/>
    <n v="448.38"/>
    <n v="275.97000000000003"/>
    <x v="0"/>
    <s v="Card"/>
    <x v="4"/>
    <x v="0"/>
  </r>
  <r>
    <s v="ORD100711"/>
    <d v="2025-09-26T00:00:00"/>
    <x v="1"/>
    <s v="Delhi"/>
    <x v="1"/>
    <s v="Corporate"/>
    <x v="1"/>
    <s v="Chair"/>
    <x v="687"/>
    <n v="7"/>
    <n v="4527.51"/>
    <n v="0"/>
    <x v="709"/>
    <n v="22806.69"/>
    <n v="8885.8799999999992"/>
    <x v="1"/>
    <s v="Cash"/>
    <x v="4"/>
    <x v="0"/>
  </r>
  <r>
    <s v="ORD100712"/>
    <d v="2026-04-05T00:00:00"/>
    <x v="3"/>
    <s v="Bhubaneswar"/>
    <x v="6"/>
    <s v="Small Business"/>
    <x v="0"/>
    <s v="Mouse"/>
    <x v="688"/>
    <n v="13"/>
    <n v="3031.76"/>
    <n v="0"/>
    <x v="710"/>
    <n v="27918.19"/>
    <n v="11494.69"/>
    <x v="1"/>
    <s v="Cash"/>
    <x v="7"/>
    <x v="1"/>
  </r>
  <r>
    <s v="ORD100713"/>
    <d v="2025-08-08T00:00:00"/>
    <x v="1"/>
    <s v="Chandigarh"/>
    <x v="6"/>
    <s v="Corporate"/>
    <x v="2"/>
    <s v="Notebook"/>
    <x v="689"/>
    <n v="10"/>
    <n v="4672.96"/>
    <n v="10"/>
    <x v="711"/>
    <n v="27376.34"/>
    <n v="14680.3"/>
    <x v="1"/>
    <s v="UPI"/>
    <x v="6"/>
    <x v="0"/>
  </r>
  <r>
    <s v="ORD100714"/>
    <d v="2026-04-03T00:00:00"/>
    <x v="2"/>
    <s v="Bengaluru"/>
    <x v="5"/>
    <s v="Corporate"/>
    <x v="1"/>
    <s v="Desk"/>
    <x v="690"/>
    <n v="2"/>
    <n v="2374.08"/>
    <n v="5"/>
    <x v="712"/>
    <n v="2520.5700000000002"/>
    <n v="1990.18"/>
    <x v="2"/>
    <s v="UPI"/>
    <x v="7"/>
    <x v="1"/>
  </r>
  <r>
    <s v="ORD100715"/>
    <d v="2026-03-03T00:00:00"/>
    <x v="0"/>
    <s v="Mumbai"/>
    <x v="1"/>
    <s v="Corporate"/>
    <x v="0"/>
    <s v="Monitor"/>
    <x v="691"/>
    <n v="1"/>
    <n v="3623.19"/>
    <n v="0"/>
    <x v="713"/>
    <n v="2087.54"/>
    <n v="1535.65"/>
    <x v="2"/>
    <s v="UPI"/>
    <x v="3"/>
    <x v="1"/>
  </r>
  <r>
    <s v="ORD100716"/>
    <d v="2026-05-03T00:00:00"/>
    <x v="2"/>
    <s v="Bengaluru"/>
    <x v="3"/>
    <s v="Consumer"/>
    <x v="0"/>
    <s v="Headphones"/>
    <x v="692"/>
    <n v="9"/>
    <n v="2280.5"/>
    <n v="15"/>
    <x v="714"/>
    <n v="11247.31"/>
    <n v="6198.52"/>
    <x v="1"/>
    <s v="UPI"/>
    <x v="0"/>
    <x v="1"/>
  </r>
  <r>
    <s v="ORD100717"/>
    <d v="2026-03-09T00:00:00"/>
    <x v="3"/>
    <s v="Bhubaneswar"/>
    <x v="5"/>
    <s v="Small Business"/>
    <x v="2"/>
    <s v="Printer Ink"/>
    <x v="693"/>
    <n v="7"/>
    <n v="351.86"/>
    <n v="20"/>
    <x v="715"/>
    <n v="1359.24"/>
    <n v="611.17999999999995"/>
    <x v="1"/>
    <s v="Cash"/>
    <x v="3"/>
    <x v="1"/>
  </r>
  <r>
    <s v="ORD100718"/>
    <d v="2025-06-14T00:00:00"/>
    <x v="0"/>
    <s v="Ahmedabad"/>
    <x v="7"/>
    <s v="Small Business"/>
    <x v="2"/>
    <s v="Paper"/>
    <x v="694"/>
    <n v="1"/>
    <n v="2642.83"/>
    <n v="0"/>
    <x v="716"/>
    <n v="1547.67"/>
    <n v="1095.1600000000001"/>
    <x v="2"/>
    <s v="Net Banking"/>
    <x v="10"/>
    <x v="0"/>
  </r>
  <r>
    <s v="ORD100719"/>
    <d v="2025-08-12T00:00:00"/>
    <x v="1"/>
    <s v="Delhi"/>
    <x v="4"/>
    <s v="Consumer"/>
    <x v="0"/>
    <s v="Keyboard"/>
    <x v="695"/>
    <n v="6"/>
    <n v="1771.53"/>
    <n v="0"/>
    <x v="717"/>
    <n v="8197.7800000000007"/>
    <n v="2431.4"/>
    <x v="0"/>
    <s v="Cash"/>
    <x v="6"/>
    <x v="0"/>
  </r>
  <r>
    <s v="ORD100720"/>
    <d v="2026-02-18T00:00:00"/>
    <x v="2"/>
    <s v="Bengaluru"/>
    <x v="3"/>
    <s v="Consumer"/>
    <x v="0"/>
    <s v="Laptop"/>
    <x v="696"/>
    <n v="4"/>
    <n v="3438.5"/>
    <n v="15"/>
    <x v="718"/>
    <n v="8846.73"/>
    <n v="2844.17"/>
    <x v="2"/>
    <s v="Net Banking"/>
    <x v="2"/>
    <x v="1"/>
  </r>
  <r>
    <s v="ORD100721"/>
    <d v="2025-07-08T00:00:00"/>
    <x v="0"/>
    <s v="Mumbai"/>
    <x v="3"/>
    <s v="Corporate"/>
    <x v="1"/>
    <s v="Cabinet"/>
    <x v="697"/>
    <n v="13"/>
    <n v="730.54"/>
    <n v="15"/>
    <x v="719"/>
    <n v="4723.12"/>
    <n v="3349.35"/>
    <x v="2"/>
    <s v="Net Banking"/>
    <x v="5"/>
    <x v="0"/>
  </r>
  <r>
    <s v="ORD100722"/>
    <d v="2026-01-08T00:00:00"/>
    <x v="1"/>
    <s v="Delhi"/>
    <x v="3"/>
    <s v="Small Business"/>
    <x v="2"/>
    <s v="Printer Ink"/>
    <x v="698"/>
    <n v="2"/>
    <n v="3891.54"/>
    <n v="10"/>
    <x v="720"/>
    <n v="4434.72"/>
    <n v="2570.0500000000002"/>
    <x v="0"/>
    <s v="Net Banking"/>
    <x v="9"/>
    <x v="1"/>
  </r>
  <r>
    <s v="ORD100723"/>
    <d v="2025-06-18T00:00:00"/>
    <x v="1"/>
    <s v="Chandigarh"/>
    <x v="7"/>
    <s v="Small Business"/>
    <x v="2"/>
    <s v="Printer Ink"/>
    <x v="319"/>
    <n v="15"/>
    <n v="2590.6"/>
    <n v="5"/>
    <x v="721"/>
    <n v="29134.12"/>
    <n v="7781.93"/>
    <x v="1"/>
    <s v="Card"/>
    <x v="10"/>
    <x v="0"/>
  </r>
  <r>
    <s v="ORD100724"/>
    <d v="2026-03-26T00:00:00"/>
    <x v="0"/>
    <s v="Mumbai"/>
    <x v="1"/>
    <s v="Corporate"/>
    <x v="0"/>
    <s v="Laptop"/>
    <x v="699"/>
    <n v="12"/>
    <n v="3485.45"/>
    <n v="0"/>
    <x v="722"/>
    <n v="25067.05"/>
    <n v="16758.349999999999"/>
    <x v="0"/>
    <s v="UPI"/>
    <x v="3"/>
    <x v="1"/>
  </r>
  <r>
    <s v="ORD100725"/>
    <d v="2026-02-24T00:00:00"/>
    <x v="2"/>
    <s v="Chennai"/>
    <x v="7"/>
    <s v="Consumer"/>
    <x v="2"/>
    <s v="Folders"/>
    <x v="700"/>
    <n v="10"/>
    <n v="4191.0600000000004"/>
    <n v="20"/>
    <x v="723"/>
    <n v="25017.32"/>
    <n v="8511.16"/>
    <x v="0"/>
    <s v="UPI"/>
    <x v="2"/>
    <x v="1"/>
  </r>
  <r>
    <s v="ORD100726"/>
    <d v="2025-07-14T00:00:00"/>
    <x v="1"/>
    <s v="Delhi"/>
    <x v="7"/>
    <s v="Corporate"/>
    <x v="1"/>
    <s v="Table"/>
    <x v="701"/>
    <n v="1"/>
    <n v="2905.04"/>
    <n v="5"/>
    <x v="724"/>
    <n v="1907.95"/>
    <n v="851.84"/>
    <x v="1"/>
    <s v="Card"/>
    <x v="5"/>
    <x v="0"/>
  </r>
  <r>
    <s v="ORD100727"/>
    <d v="2026-06-26T00:00:00"/>
    <x v="2"/>
    <s v="Chennai"/>
    <x v="2"/>
    <s v="Corporate"/>
    <x v="0"/>
    <s v="Mouse"/>
    <x v="702"/>
    <n v="5"/>
    <n v="623.6"/>
    <n v="10"/>
    <x v="725"/>
    <n v="1930.46"/>
    <n v="875.74"/>
    <x v="0"/>
    <s v="UPI"/>
    <x v="10"/>
    <x v="1"/>
  </r>
  <r>
    <s v="ORD100728"/>
    <d v="2025-01-07T00:00:00"/>
    <x v="2"/>
    <s v="Bengaluru"/>
    <x v="7"/>
    <s v="Small Business"/>
    <x v="2"/>
    <s v="Paper"/>
    <x v="703"/>
    <n v="8"/>
    <n v="2033.91"/>
    <n v="5"/>
    <x v="726"/>
    <n v="12105.53"/>
    <n v="3352.19"/>
    <x v="0"/>
    <s v="UPI"/>
    <x v="9"/>
    <x v="0"/>
  </r>
  <r>
    <s v="ORD100729"/>
    <d v="2025-08-05T00:00:00"/>
    <x v="2"/>
    <s v="Bengaluru"/>
    <x v="2"/>
    <s v="Small Business"/>
    <x v="1"/>
    <s v="Cabinet"/>
    <x v="704"/>
    <n v="4"/>
    <n v="3307.28"/>
    <n v="5"/>
    <x v="727"/>
    <n v="8386.81"/>
    <n v="4180.8500000000004"/>
    <x v="1"/>
    <s v="UPI"/>
    <x v="6"/>
    <x v="0"/>
  </r>
  <r>
    <s v="ORD100730"/>
    <d v="2025-04-06T00:00:00"/>
    <x v="1"/>
    <s v="Delhi"/>
    <x v="2"/>
    <s v="Corporate"/>
    <x v="1"/>
    <s v="Cabinet"/>
    <x v="479"/>
    <n v="12"/>
    <n v="975.14"/>
    <n v="5"/>
    <x v="728"/>
    <n v="6649.67"/>
    <n v="4466.93"/>
    <x v="1"/>
    <s v="Card"/>
    <x v="7"/>
    <x v="0"/>
  </r>
  <r>
    <s v="ORD100731"/>
    <d v="2026-03-28T00:00:00"/>
    <x v="2"/>
    <s v="Bengaluru"/>
    <x v="0"/>
    <s v="Small Business"/>
    <x v="1"/>
    <s v="Desk"/>
    <x v="538"/>
    <n v="3"/>
    <n v="623.21"/>
    <n v="20"/>
    <x v="729"/>
    <n v="1096.54"/>
    <n v="399.16"/>
    <x v="2"/>
    <s v="Net Banking"/>
    <x v="3"/>
    <x v="1"/>
  </r>
  <r>
    <s v="ORD100732"/>
    <d v="2026-03-03T00:00:00"/>
    <x v="1"/>
    <s v="Delhi"/>
    <x v="7"/>
    <s v="Corporate"/>
    <x v="0"/>
    <s v="Laptop"/>
    <x v="705"/>
    <n v="13"/>
    <n v="4140.6099999999997"/>
    <n v="15"/>
    <x v="730"/>
    <n v="27265.919999999998"/>
    <n v="18487.82"/>
    <x v="0"/>
    <s v="UPI"/>
    <x v="3"/>
    <x v="1"/>
  </r>
  <r>
    <s v="ORD100733"/>
    <d v="2025-04-10T00:00:00"/>
    <x v="0"/>
    <s v="Mumbai"/>
    <x v="7"/>
    <s v="Small Business"/>
    <x v="2"/>
    <s v="Pens"/>
    <x v="706"/>
    <n v="5"/>
    <n v="1112.55"/>
    <n v="0"/>
    <x v="731"/>
    <n v="3909.05"/>
    <n v="1653.7"/>
    <x v="1"/>
    <s v="Cash"/>
    <x v="7"/>
    <x v="0"/>
  </r>
  <r>
    <s v="ORD100734"/>
    <d v="2026-02-23T00:00:00"/>
    <x v="0"/>
    <s v="Mumbai"/>
    <x v="7"/>
    <s v="Small Business"/>
    <x v="0"/>
    <s v="Headphones"/>
    <x v="707"/>
    <n v="5"/>
    <n v="844.44"/>
    <n v="5"/>
    <x v="732"/>
    <n v="2397.2800000000002"/>
    <n v="1613.81"/>
    <x v="2"/>
    <s v="Card"/>
    <x v="2"/>
    <x v="1"/>
  </r>
  <r>
    <s v="ORD100735"/>
    <d v="2026-04-19T00:00:00"/>
    <x v="2"/>
    <s v="Chennai"/>
    <x v="6"/>
    <s v="Small Business"/>
    <x v="2"/>
    <s v="Notebook"/>
    <x v="708"/>
    <n v="11"/>
    <n v="2672.62"/>
    <n v="10"/>
    <x v="733"/>
    <n v="20903.23"/>
    <n v="5555.71"/>
    <x v="2"/>
    <s v="Card"/>
    <x v="7"/>
    <x v="1"/>
  </r>
  <r>
    <s v="ORD100736"/>
    <d v="2026-06-04T00:00:00"/>
    <x v="3"/>
    <s v="Bhubaneswar"/>
    <x v="1"/>
    <s v="Consumer"/>
    <x v="2"/>
    <s v="Printer Ink"/>
    <x v="709"/>
    <n v="7"/>
    <n v="4535.59"/>
    <n v="10"/>
    <x v="734"/>
    <n v="18125.88"/>
    <n v="10448.34"/>
    <x v="1"/>
    <s v="Card"/>
    <x v="10"/>
    <x v="1"/>
  </r>
  <r>
    <s v="ORD100737"/>
    <d v="2026-06-23T00:00:00"/>
    <x v="3"/>
    <s v="Kolkata"/>
    <x v="0"/>
    <s v="Consumer"/>
    <x v="0"/>
    <s v="Laptop"/>
    <x v="710"/>
    <n v="10"/>
    <n v="865.71"/>
    <n v="5"/>
    <x v="735"/>
    <n v="4605.22"/>
    <n v="3619.03"/>
    <x v="0"/>
    <s v="Cash"/>
    <x v="10"/>
    <x v="1"/>
  </r>
  <r>
    <s v="ORD100738"/>
    <d v="2025-12-24T00:00:00"/>
    <x v="0"/>
    <s v="Ahmedabad"/>
    <x v="7"/>
    <s v="Consumer"/>
    <x v="2"/>
    <s v="Paper"/>
    <x v="711"/>
    <n v="5"/>
    <n v="2515.58"/>
    <n v="0"/>
    <x v="736"/>
    <n v="8736.84"/>
    <n v="3841.06"/>
    <x v="1"/>
    <s v="UPI"/>
    <x v="11"/>
    <x v="0"/>
  </r>
  <r>
    <s v="ORD100739"/>
    <d v="2025-11-27T00:00:00"/>
    <x v="2"/>
    <s v="Bengaluru"/>
    <x v="4"/>
    <s v="Consumer"/>
    <x v="1"/>
    <s v="Table"/>
    <x v="712"/>
    <n v="3"/>
    <n v="1422.59"/>
    <n v="5"/>
    <x v="737"/>
    <n v="3225.21"/>
    <n v="829.17"/>
    <x v="2"/>
    <s v="UPI"/>
    <x v="8"/>
    <x v="0"/>
  </r>
  <r>
    <s v="ORD100740"/>
    <d v="2025-06-15T00:00:00"/>
    <x v="1"/>
    <s v="Delhi"/>
    <x v="3"/>
    <s v="Corporate"/>
    <x v="1"/>
    <s v="Desk"/>
    <x v="713"/>
    <n v="4"/>
    <n v="712.4"/>
    <n v="20"/>
    <x v="738"/>
    <n v="1611.55"/>
    <n v="668.13"/>
    <x v="2"/>
    <s v="Card"/>
    <x v="10"/>
    <x v="0"/>
  </r>
  <r>
    <s v="ORD100741"/>
    <d v="2025-08-11T00:00:00"/>
    <x v="3"/>
    <s v="Kolkata"/>
    <x v="3"/>
    <s v="Corporate"/>
    <x v="2"/>
    <s v="Pens"/>
    <x v="714"/>
    <n v="5"/>
    <n v="4127.37"/>
    <n v="15"/>
    <x v="739"/>
    <n v="13831.7"/>
    <n v="3709.62"/>
    <x v="1"/>
    <s v="UPI"/>
    <x v="6"/>
    <x v="0"/>
  </r>
  <r>
    <s v="ORD100742"/>
    <d v="2025-05-22T00:00:00"/>
    <x v="1"/>
    <s v="Delhi"/>
    <x v="5"/>
    <s v="Consumer"/>
    <x v="0"/>
    <s v="Laptop"/>
    <x v="386"/>
    <n v="12"/>
    <n v="2938.19"/>
    <n v="15"/>
    <x v="740"/>
    <n v="23230.29"/>
    <n v="6739.25"/>
    <x v="1"/>
    <s v="Cash"/>
    <x v="0"/>
    <x v="0"/>
  </r>
  <r>
    <s v="ORD100743"/>
    <d v="2025-07-24T00:00:00"/>
    <x v="2"/>
    <s v="Chennai"/>
    <x v="1"/>
    <s v="Consumer"/>
    <x v="0"/>
    <s v="Monitor"/>
    <x v="715"/>
    <n v="11"/>
    <n v="2122.69"/>
    <n v="10"/>
    <x v="741"/>
    <n v="11983.78"/>
    <n v="9030.85"/>
    <x v="1"/>
    <s v="Card"/>
    <x v="5"/>
    <x v="0"/>
  </r>
  <r>
    <s v="ORD100744"/>
    <d v="2025-01-10T00:00:00"/>
    <x v="1"/>
    <s v="Delhi"/>
    <x v="6"/>
    <s v="Corporate"/>
    <x v="0"/>
    <s v="Keyboard"/>
    <x v="716"/>
    <n v="12"/>
    <n v="528.52"/>
    <n v="5"/>
    <x v="742"/>
    <n v="4294.78"/>
    <n v="1730.35"/>
    <x v="2"/>
    <s v="Cash"/>
    <x v="9"/>
    <x v="0"/>
  </r>
  <r>
    <s v="ORD100745"/>
    <d v="2026-03-11T00:00:00"/>
    <x v="3"/>
    <s v="Kolkata"/>
    <x v="6"/>
    <s v="Small Business"/>
    <x v="1"/>
    <s v="Cabinet"/>
    <x v="717"/>
    <n v="4"/>
    <n v="1163.1199999999999"/>
    <n v="0"/>
    <x v="743"/>
    <n v="2678.24"/>
    <n v="1974.24"/>
    <x v="1"/>
    <s v="Net Banking"/>
    <x v="3"/>
    <x v="1"/>
  </r>
  <r>
    <s v="ORD100746"/>
    <d v="2026-02-08T00:00:00"/>
    <x v="3"/>
    <s v="Bhubaneswar"/>
    <x v="1"/>
    <s v="Small Business"/>
    <x v="2"/>
    <s v="Notebook"/>
    <x v="718"/>
    <n v="2"/>
    <n v="3897.07"/>
    <n v="0"/>
    <x v="744"/>
    <n v="4847.58"/>
    <n v="2946.56"/>
    <x v="1"/>
    <s v="UPI"/>
    <x v="2"/>
    <x v="1"/>
  </r>
  <r>
    <s v="ORD100747"/>
    <d v="2025-02-08T00:00:00"/>
    <x v="1"/>
    <s v="Chandigarh"/>
    <x v="3"/>
    <s v="Small Business"/>
    <x v="1"/>
    <s v="Table"/>
    <x v="25"/>
    <n v="15"/>
    <n v="3989.01"/>
    <n v="5"/>
    <x v="745"/>
    <n v="36279.269999999997"/>
    <n v="20564.12"/>
    <x v="2"/>
    <s v="Net Banking"/>
    <x v="2"/>
    <x v="0"/>
  </r>
  <r>
    <s v="ORD100748"/>
    <d v="2026-02-11T00:00:00"/>
    <x v="0"/>
    <s v="Mumbai"/>
    <x v="2"/>
    <s v="Consumer"/>
    <x v="1"/>
    <s v="Cabinet"/>
    <x v="719"/>
    <n v="7"/>
    <n v="1891.5"/>
    <n v="0"/>
    <x v="746"/>
    <n v="9406.98"/>
    <n v="3833.52"/>
    <x v="0"/>
    <s v="Cash"/>
    <x v="2"/>
    <x v="1"/>
  </r>
  <r>
    <s v="ORD100749"/>
    <d v="2025-09-04T00:00:00"/>
    <x v="1"/>
    <s v="Chandigarh"/>
    <x v="0"/>
    <s v="Small Business"/>
    <x v="2"/>
    <s v="Printer Ink"/>
    <x v="720"/>
    <n v="5"/>
    <n v="1478.21"/>
    <n v="15"/>
    <x v="747"/>
    <n v="3793.01"/>
    <n v="2489.38"/>
    <x v="0"/>
    <s v="UPI"/>
    <x v="4"/>
    <x v="0"/>
  </r>
  <r>
    <s v="ORD100750"/>
    <d v="2025-10-29T00:00:00"/>
    <x v="3"/>
    <s v="Kolkata"/>
    <x v="7"/>
    <s v="Corporate"/>
    <x v="1"/>
    <s v="Bookshelf"/>
    <x v="721"/>
    <n v="8"/>
    <n v="4028.87"/>
    <n v="0"/>
    <x v="748"/>
    <n v="23389.93"/>
    <n v="8841.0300000000007"/>
    <x v="0"/>
    <s v="Net Banking"/>
    <x v="1"/>
    <x v="0"/>
  </r>
  <r>
    <s v="ORD100751"/>
    <d v="2026-05-26T00:00:00"/>
    <x v="0"/>
    <s v="Ahmedabad"/>
    <x v="0"/>
    <s v="Small Business"/>
    <x v="2"/>
    <s v="Notebook"/>
    <x v="722"/>
    <n v="4"/>
    <n v="605.47"/>
    <n v="10"/>
    <x v="749"/>
    <n v="1596.88"/>
    <n v="582.80999999999995"/>
    <x v="2"/>
    <s v="Card"/>
    <x v="0"/>
    <x v="1"/>
  </r>
  <r>
    <s v="ORD100752"/>
    <d v="2025-02-25T00:00:00"/>
    <x v="3"/>
    <s v="Kolkata"/>
    <x v="6"/>
    <s v="Consumer"/>
    <x v="1"/>
    <s v="Table"/>
    <x v="723"/>
    <n v="2"/>
    <n v="3483.91"/>
    <n v="0"/>
    <x v="750"/>
    <n v="4913.66"/>
    <n v="2054.16"/>
    <x v="1"/>
    <s v="Card"/>
    <x v="2"/>
    <x v="0"/>
  </r>
  <r>
    <s v="ORD100753"/>
    <d v="2025-12-23T00:00:00"/>
    <x v="3"/>
    <s v="Kolkata"/>
    <x v="7"/>
    <s v="Small Business"/>
    <x v="2"/>
    <s v="Pens"/>
    <x v="724"/>
    <n v="13"/>
    <n v="802.96"/>
    <n v="20"/>
    <x v="751"/>
    <n v="4688.62"/>
    <n v="3662.16"/>
    <x v="1"/>
    <s v="Card"/>
    <x v="11"/>
    <x v="0"/>
  </r>
  <r>
    <s v="ORD100754"/>
    <d v="2025-05-30T00:00:00"/>
    <x v="1"/>
    <s v="Delhi"/>
    <x v="3"/>
    <s v="Small Business"/>
    <x v="2"/>
    <s v="Pens"/>
    <x v="725"/>
    <n v="6"/>
    <n v="736.94"/>
    <n v="5"/>
    <x v="752"/>
    <n v="2357.4699999999998"/>
    <n v="1843.09"/>
    <x v="1"/>
    <s v="Net Banking"/>
    <x v="0"/>
    <x v="0"/>
  </r>
  <r>
    <s v="ORD100755"/>
    <d v="2025-11-12T00:00:00"/>
    <x v="0"/>
    <s v="Ahmedabad"/>
    <x v="5"/>
    <s v="Corporate"/>
    <x v="2"/>
    <s v="Printer Ink"/>
    <x v="726"/>
    <n v="4"/>
    <n v="4098.5"/>
    <n v="20"/>
    <x v="753"/>
    <n v="8252.15"/>
    <n v="4863.05"/>
    <x v="1"/>
    <s v="Net Banking"/>
    <x v="8"/>
    <x v="0"/>
  </r>
  <r>
    <s v="ORD100756"/>
    <d v="2026-06-26T00:00:00"/>
    <x v="1"/>
    <s v="Chandigarh"/>
    <x v="0"/>
    <s v="Corporate"/>
    <x v="1"/>
    <s v="Chair"/>
    <x v="727"/>
    <n v="7"/>
    <n v="3095.52"/>
    <n v="10"/>
    <x v="754"/>
    <n v="10747.75"/>
    <n v="8754.0300000000007"/>
    <x v="1"/>
    <s v="UPI"/>
    <x v="10"/>
    <x v="1"/>
  </r>
  <r>
    <s v="ORD100757"/>
    <d v="2026-06-28T00:00:00"/>
    <x v="3"/>
    <s v="Kolkata"/>
    <x v="7"/>
    <s v="Small Business"/>
    <x v="1"/>
    <s v="Cabinet"/>
    <x v="728"/>
    <n v="5"/>
    <n v="3952.05"/>
    <n v="0"/>
    <x v="755"/>
    <n v="14234.7"/>
    <n v="5525.55"/>
    <x v="2"/>
    <s v="Cash"/>
    <x v="10"/>
    <x v="1"/>
  </r>
  <r>
    <s v="ORD100758"/>
    <d v="2025-06-09T00:00:00"/>
    <x v="0"/>
    <s v="Mumbai"/>
    <x v="0"/>
    <s v="Consumer"/>
    <x v="1"/>
    <s v="Cabinet"/>
    <x v="729"/>
    <n v="8"/>
    <n v="4421.28"/>
    <n v="0"/>
    <x v="756"/>
    <n v="27958.11"/>
    <n v="7412.13"/>
    <x v="2"/>
    <s v="Cash"/>
    <x v="10"/>
    <x v="0"/>
  </r>
  <r>
    <s v="ORD100759"/>
    <d v="2025-10-11T00:00:00"/>
    <x v="3"/>
    <s v="Kolkata"/>
    <x v="5"/>
    <s v="Consumer"/>
    <x v="1"/>
    <s v="Table"/>
    <x v="730"/>
    <n v="7"/>
    <n v="4472.1099999999997"/>
    <n v="0"/>
    <x v="757"/>
    <n v="18270.5"/>
    <n v="13034.27"/>
    <x v="2"/>
    <s v="Cash"/>
    <x v="1"/>
    <x v="0"/>
  </r>
  <r>
    <s v="ORD100760"/>
    <d v="2025-12-08T00:00:00"/>
    <x v="3"/>
    <s v="Bhubaneswar"/>
    <x v="3"/>
    <s v="Small Business"/>
    <x v="2"/>
    <s v="Pens"/>
    <x v="731"/>
    <n v="5"/>
    <n v="2541.4899999999998"/>
    <n v="5"/>
    <x v="758"/>
    <n v="7155.88"/>
    <n v="4916.2"/>
    <x v="1"/>
    <s v="UPI"/>
    <x v="11"/>
    <x v="0"/>
  </r>
  <r>
    <s v="ORD100761"/>
    <d v="2025-05-31T00:00:00"/>
    <x v="3"/>
    <s v="Kolkata"/>
    <x v="2"/>
    <s v="Consumer"/>
    <x v="1"/>
    <s v="Bookshelf"/>
    <x v="732"/>
    <n v="5"/>
    <n v="4897.3900000000003"/>
    <n v="20"/>
    <x v="759"/>
    <n v="14642.36"/>
    <n v="4947.2"/>
    <x v="1"/>
    <s v="Card"/>
    <x v="0"/>
    <x v="0"/>
  </r>
  <r>
    <s v="ORD100762"/>
    <d v="2026-04-12T00:00:00"/>
    <x v="3"/>
    <s v="Bhubaneswar"/>
    <x v="5"/>
    <s v="Corporate"/>
    <x v="0"/>
    <s v="Headphones"/>
    <x v="733"/>
    <n v="6"/>
    <n v="1413.27"/>
    <n v="15"/>
    <x v="760"/>
    <n v="4390.51"/>
    <n v="2817.17"/>
    <x v="0"/>
    <s v="UPI"/>
    <x v="7"/>
    <x v="1"/>
  </r>
  <r>
    <s v="ORD100763"/>
    <d v="2025-03-20T00:00:00"/>
    <x v="2"/>
    <s v="Bengaluru"/>
    <x v="1"/>
    <s v="Small Business"/>
    <x v="1"/>
    <s v="Desk"/>
    <x v="734"/>
    <n v="11"/>
    <n v="934.51"/>
    <n v="0"/>
    <x v="761"/>
    <n v="7409.9"/>
    <n v="2869.71"/>
    <x v="0"/>
    <s v="Card"/>
    <x v="3"/>
    <x v="0"/>
  </r>
  <r>
    <s v="ORD100764"/>
    <d v="2026-01-11T00:00:00"/>
    <x v="3"/>
    <s v="Bhubaneswar"/>
    <x v="6"/>
    <s v="Small Business"/>
    <x v="1"/>
    <s v="Chair"/>
    <x v="735"/>
    <n v="14"/>
    <n v="356.94"/>
    <n v="10"/>
    <x v="762"/>
    <n v="3482.8"/>
    <n v="1014.64"/>
    <x v="2"/>
    <s v="Cash"/>
    <x v="9"/>
    <x v="1"/>
  </r>
  <r>
    <s v="ORD100765"/>
    <d v="2025-10-17T00:00:00"/>
    <x v="3"/>
    <s v="Bhubaneswar"/>
    <x v="4"/>
    <s v="Corporate"/>
    <x v="1"/>
    <s v="Chair"/>
    <x v="736"/>
    <n v="15"/>
    <n v="2716.28"/>
    <n v="15"/>
    <x v="763"/>
    <n v="25526.639999999999"/>
    <n v="9105.93"/>
    <x v="2"/>
    <s v="Net Banking"/>
    <x v="1"/>
    <x v="0"/>
  </r>
  <r>
    <s v="ORD100766"/>
    <d v="2026-03-29T00:00:00"/>
    <x v="2"/>
    <s v="Chennai"/>
    <x v="2"/>
    <s v="Consumer"/>
    <x v="1"/>
    <s v="Cabinet"/>
    <x v="737"/>
    <n v="4"/>
    <n v="4618.24"/>
    <n v="5"/>
    <x v="764"/>
    <n v="10724.05"/>
    <n v="6825.26"/>
    <x v="2"/>
    <s v="Card"/>
    <x v="3"/>
    <x v="1"/>
  </r>
  <r>
    <s v="ORD100767"/>
    <d v="2025-06-11T00:00:00"/>
    <x v="3"/>
    <s v="Kolkata"/>
    <x v="5"/>
    <s v="Corporate"/>
    <x v="2"/>
    <s v="Printer Ink"/>
    <x v="738"/>
    <n v="9"/>
    <n v="4866.88"/>
    <n v="20"/>
    <x v="765"/>
    <n v="22579.72"/>
    <n v="12461.82"/>
    <x v="2"/>
    <s v="Cash"/>
    <x v="10"/>
    <x v="0"/>
  </r>
  <r>
    <s v="ORD100768"/>
    <d v="2025-09-28T00:00:00"/>
    <x v="2"/>
    <s v="Chennai"/>
    <x v="0"/>
    <s v="Corporate"/>
    <x v="2"/>
    <s v="Pens"/>
    <x v="739"/>
    <n v="4"/>
    <n v="1825.91"/>
    <n v="10"/>
    <x v="766"/>
    <n v="5373.68"/>
    <n v="1199.5999999999999"/>
    <x v="0"/>
    <s v="Cash"/>
    <x v="4"/>
    <x v="0"/>
  </r>
  <r>
    <s v="ORD100769"/>
    <d v="2025-01-11T00:00:00"/>
    <x v="3"/>
    <s v="Bhubaneswar"/>
    <x v="7"/>
    <s v="Small Business"/>
    <x v="0"/>
    <s v="Headphones"/>
    <x v="740"/>
    <n v="4"/>
    <n v="3982.05"/>
    <n v="0"/>
    <x v="767"/>
    <n v="9821.3700000000008"/>
    <n v="6106.83"/>
    <x v="0"/>
    <s v="Card"/>
    <x v="9"/>
    <x v="0"/>
  </r>
  <r>
    <s v="ORD100770"/>
    <d v="2025-10-15T00:00:00"/>
    <x v="0"/>
    <s v="Mumbai"/>
    <x v="3"/>
    <s v="Corporate"/>
    <x v="2"/>
    <s v="Folders"/>
    <x v="741"/>
    <n v="4"/>
    <n v="1065.92"/>
    <n v="15"/>
    <x v="768"/>
    <n v="2308.6799999999998"/>
    <n v="1315.45"/>
    <x v="0"/>
    <s v="Card"/>
    <x v="1"/>
    <x v="0"/>
  </r>
  <r>
    <s v="ORD100771"/>
    <d v="2025-02-27T00:00:00"/>
    <x v="2"/>
    <s v="Chennai"/>
    <x v="6"/>
    <s v="Corporate"/>
    <x v="2"/>
    <s v="Pens"/>
    <x v="742"/>
    <n v="11"/>
    <n v="3343.26"/>
    <n v="5"/>
    <x v="769"/>
    <n v="20060.57"/>
    <n v="14876.5"/>
    <x v="2"/>
    <s v="Card"/>
    <x v="2"/>
    <x v="0"/>
  </r>
  <r>
    <s v="ORD100772"/>
    <d v="2025-03-22T00:00:00"/>
    <x v="2"/>
    <s v="Bengaluru"/>
    <x v="0"/>
    <s v="Consumer"/>
    <x v="2"/>
    <s v="Paper"/>
    <x v="743"/>
    <n v="6"/>
    <n v="741.14"/>
    <n v="10"/>
    <x v="770"/>
    <n v="2402.1799999999998"/>
    <n v="1599.98"/>
    <x v="0"/>
    <s v="Card"/>
    <x v="3"/>
    <x v="0"/>
  </r>
  <r>
    <s v="ORD100773"/>
    <d v="2025-09-17T00:00:00"/>
    <x v="2"/>
    <s v="Bengaluru"/>
    <x v="3"/>
    <s v="Corporate"/>
    <x v="1"/>
    <s v="Chair"/>
    <x v="744"/>
    <n v="11"/>
    <n v="4408.57"/>
    <n v="15"/>
    <x v="771"/>
    <n v="31490.560000000001"/>
    <n v="9729.57"/>
    <x v="1"/>
    <s v="Card"/>
    <x v="4"/>
    <x v="0"/>
  </r>
  <r>
    <s v="ORD100774"/>
    <d v="2025-02-17T00:00:00"/>
    <x v="1"/>
    <s v="Chandigarh"/>
    <x v="6"/>
    <s v="Small Business"/>
    <x v="2"/>
    <s v="Paper"/>
    <x v="745"/>
    <n v="14"/>
    <n v="901.16"/>
    <n v="20"/>
    <x v="772"/>
    <n v="7899.18"/>
    <n v="2193.81"/>
    <x v="1"/>
    <s v="UPI"/>
    <x v="2"/>
    <x v="0"/>
  </r>
  <r>
    <s v="ORD100775"/>
    <d v="2025-05-16T00:00:00"/>
    <x v="2"/>
    <s v="Chennai"/>
    <x v="5"/>
    <s v="Consumer"/>
    <x v="0"/>
    <s v="Keyboard"/>
    <x v="746"/>
    <n v="4"/>
    <n v="1494.77"/>
    <n v="15"/>
    <x v="773"/>
    <n v="2852.13"/>
    <n v="2230.09"/>
    <x v="1"/>
    <s v="Card"/>
    <x v="0"/>
    <x v="0"/>
  </r>
  <r>
    <s v="ORD100776"/>
    <d v="2025-11-26T00:00:00"/>
    <x v="1"/>
    <s v="Chandigarh"/>
    <x v="0"/>
    <s v="Consumer"/>
    <x v="0"/>
    <s v="Headphones"/>
    <x v="747"/>
    <n v="4"/>
    <n v="737.64"/>
    <n v="5"/>
    <x v="774"/>
    <n v="2152.14"/>
    <n v="650.89"/>
    <x v="0"/>
    <s v="Card"/>
    <x v="8"/>
    <x v="0"/>
  </r>
  <r>
    <s v="ORD100777"/>
    <d v="2025-11-03T00:00:00"/>
    <x v="0"/>
    <s v="Ahmedabad"/>
    <x v="5"/>
    <s v="Consumer"/>
    <x v="2"/>
    <s v="Pens"/>
    <x v="748"/>
    <n v="11"/>
    <n v="3506.42"/>
    <n v="20"/>
    <x v="775"/>
    <n v="19860.98"/>
    <n v="10995.52"/>
    <x v="1"/>
    <s v="Net Banking"/>
    <x v="8"/>
    <x v="0"/>
  </r>
  <r>
    <s v="ORD100778"/>
    <d v="2025-10-18T00:00:00"/>
    <x v="3"/>
    <s v="Kolkata"/>
    <x v="0"/>
    <s v="Consumer"/>
    <x v="0"/>
    <s v="Monitor"/>
    <x v="612"/>
    <n v="13"/>
    <n v="3630.65"/>
    <n v="0"/>
    <x v="776"/>
    <n v="32172.3"/>
    <n v="15026.15"/>
    <x v="2"/>
    <s v="Card"/>
    <x v="1"/>
    <x v="0"/>
  </r>
  <r>
    <s v="ORD100779"/>
    <d v="2025-09-21T00:00:00"/>
    <x v="2"/>
    <s v="Bengaluru"/>
    <x v="6"/>
    <s v="Small Business"/>
    <x v="2"/>
    <s v="Printer Ink"/>
    <x v="466"/>
    <n v="8"/>
    <n v="3549.92"/>
    <n v="15"/>
    <x v="777"/>
    <n v="14822.46"/>
    <n v="9317"/>
    <x v="1"/>
    <s v="Cash"/>
    <x v="4"/>
    <x v="0"/>
  </r>
  <r>
    <s v="ORD100780"/>
    <d v="2026-01-15T00:00:00"/>
    <x v="0"/>
    <s v="Ahmedabad"/>
    <x v="3"/>
    <s v="Corporate"/>
    <x v="0"/>
    <s v="Laptop"/>
    <x v="749"/>
    <n v="13"/>
    <n v="2445.54"/>
    <n v="0"/>
    <x v="778"/>
    <n v="23568.7"/>
    <n v="8223.32"/>
    <x v="1"/>
    <s v="Card"/>
    <x v="9"/>
    <x v="1"/>
  </r>
  <r>
    <s v="ORD100781"/>
    <d v="2025-04-23T00:00:00"/>
    <x v="1"/>
    <s v="Delhi"/>
    <x v="2"/>
    <s v="Consumer"/>
    <x v="1"/>
    <s v="Cabinet"/>
    <x v="750"/>
    <n v="7"/>
    <n v="4394.6400000000003"/>
    <n v="20"/>
    <x v="779"/>
    <n v="18201.54"/>
    <n v="6408.44"/>
    <x v="2"/>
    <s v="Cash"/>
    <x v="7"/>
    <x v="0"/>
  </r>
  <r>
    <s v="ORD100782"/>
    <d v="2025-06-23T00:00:00"/>
    <x v="3"/>
    <s v="Kolkata"/>
    <x v="1"/>
    <s v="Corporate"/>
    <x v="1"/>
    <s v="Desk"/>
    <x v="751"/>
    <n v="8"/>
    <n v="2153.1999999999998"/>
    <n v="15"/>
    <x v="780"/>
    <n v="10825.08"/>
    <n v="3816.68"/>
    <x v="0"/>
    <s v="Cash"/>
    <x v="10"/>
    <x v="0"/>
  </r>
  <r>
    <s v="ORD100783"/>
    <d v="2026-01-31T00:00:00"/>
    <x v="0"/>
    <s v="Mumbai"/>
    <x v="7"/>
    <s v="Corporate"/>
    <x v="1"/>
    <s v="Bookshelf"/>
    <x v="752"/>
    <n v="1"/>
    <n v="4247.76"/>
    <n v="15"/>
    <x v="781"/>
    <n v="2198.44"/>
    <n v="1412.16"/>
    <x v="1"/>
    <s v="Cash"/>
    <x v="9"/>
    <x v="1"/>
  </r>
  <r>
    <s v="ORD100784"/>
    <d v="2025-09-09T00:00:00"/>
    <x v="2"/>
    <s v="Chennai"/>
    <x v="4"/>
    <s v="Corporate"/>
    <x v="1"/>
    <s v="Desk"/>
    <x v="753"/>
    <n v="11"/>
    <n v="4684.79"/>
    <n v="20"/>
    <x v="782"/>
    <n v="25283.77"/>
    <n v="15942.38"/>
    <x v="1"/>
    <s v="Cash"/>
    <x v="4"/>
    <x v="0"/>
  </r>
  <r>
    <s v="ORD100785"/>
    <d v="2025-03-25T00:00:00"/>
    <x v="2"/>
    <s v="Bengaluru"/>
    <x v="0"/>
    <s v="Consumer"/>
    <x v="0"/>
    <s v="Monitor"/>
    <x v="182"/>
    <n v="14"/>
    <n v="568.20000000000005"/>
    <n v="20"/>
    <x v="783"/>
    <n v="3895.83"/>
    <n v="2468.0100000000002"/>
    <x v="1"/>
    <s v="Card"/>
    <x v="3"/>
    <x v="0"/>
  </r>
  <r>
    <s v="ORD100786"/>
    <d v="2025-02-13T00:00:00"/>
    <x v="0"/>
    <s v="Mumbai"/>
    <x v="7"/>
    <s v="Small Business"/>
    <x v="0"/>
    <s v="Mouse"/>
    <x v="754"/>
    <n v="14"/>
    <n v="3221.55"/>
    <n v="15"/>
    <x v="784"/>
    <n v="29206.65"/>
    <n v="9129.7900000000009"/>
    <x v="0"/>
    <s v="Card"/>
    <x v="2"/>
    <x v="0"/>
  </r>
  <r>
    <s v="ORD100787"/>
    <d v="2025-01-20T00:00:00"/>
    <x v="3"/>
    <s v="Kolkata"/>
    <x v="0"/>
    <s v="Consumer"/>
    <x v="2"/>
    <s v="Paper"/>
    <x v="755"/>
    <n v="7"/>
    <n v="500.86"/>
    <n v="15"/>
    <x v="785"/>
    <n v="1643.59"/>
    <n v="1336.53"/>
    <x v="0"/>
    <s v="UPI"/>
    <x v="9"/>
    <x v="0"/>
  </r>
  <r>
    <s v="ORD100788"/>
    <d v="2026-04-08T00:00:00"/>
    <x v="3"/>
    <s v="Bhubaneswar"/>
    <x v="6"/>
    <s v="Corporate"/>
    <x v="0"/>
    <s v="Monitor"/>
    <x v="756"/>
    <n v="10"/>
    <n v="373.03"/>
    <n v="0"/>
    <x v="786"/>
    <n v="2757.97"/>
    <n v="972.33"/>
    <x v="1"/>
    <s v="Cash"/>
    <x v="7"/>
    <x v="1"/>
  </r>
  <r>
    <s v="ORD100789"/>
    <d v="2025-08-20T00:00:00"/>
    <x v="2"/>
    <s v="Bengaluru"/>
    <x v="6"/>
    <s v="Corporate"/>
    <x v="2"/>
    <s v="Folders"/>
    <x v="757"/>
    <n v="14"/>
    <n v="3337.95"/>
    <n v="5"/>
    <x v="787"/>
    <n v="30130.92"/>
    <n v="14263.81"/>
    <x v="1"/>
    <s v="Net Banking"/>
    <x v="6"/>
    <x v="0"/>
  </r>
  <r>
    <s v="ORD100790"/>
    <d v="2026-06-03T00:00:00"/>
    <x v="2"/>
    <s v="Bengaluru"/>
    <x v="3"/>
    <s v="Small Business"/>
    <x v="2"/>
    <s v="Notebook"/>
    <x v="758"/>
    <n v="14"/>
    <n v="1731.51"/>
    <n v="0"/>
    <x v="788"/>
    <n v="16503.919999999998"/>
    <n v="7737.22"/>
    <x v="2"/>
    <s v="Card"/>
    <x v="10"/>
    <x v="1"/>
  </r>
  <r>
    <s v="ORD100791"/>
    <d v="2025-04-15T00:00:00"/>
    <x v="3"/>
    <s v="Kolkata"/>
    <x v="2"/>
    <s v="Corporate"/>
    <x v="2"/>
    <s v="Notebook"/>
    <x v="759"/>
    <n v="11"/>
    <n v="2695.4"/>
    <n v="20"/>
    <x v="789"/>
    <n v="17989.919999999998"/>
    <n v="5729.6"/>
    <x v="2"/>
    <s v="Cash"/>
    <x v="7"/>
    <x v="0"/>
  </r>
  <r>
    <s v="ORD100792"/>
    <d v="2025-08-27T00:00:00"/>
    <x v="2"/>
    <s v="Bengaluru"/>
    <x v="4"/>
    <s v="Consumer"/>
    <x v="1"/>
    <s v="Bookshelf"/>
    <x v="760"/>
    <n v="15"/>
    <n v="2136.25"/>
    <n v="0"/>
    <x v="790"/>
    <n v="21827.48"/>
    <n v="10216.27"/>
    <x v="0"/>
    <s v="UPI"/>
    <x v="6"/>
    <x v="0"/>
  </r>
  <r>
    <s v="ORD100793"/>
    <d v="2026-02-24T00:00:00"/>
    <x v="3"/>
    <s v="Bhubaneswar"/>
    <x v="3"/>
    <s v="Corporate"/>
    <x v="1"/>
    <s v="Desk"/>
    <x v="761"/>
    <n v="8"/>
    <n v="3772.72"/>
    <n v="20"/>
    <x v="791"/>
    <n v="13981.56"/>
    <n v="10163.85"/>
    <x v="0"/>
    <s v="Card"/>
    <x v="2"/>
    <x v="1"/>
  </r>
  <r>
    <s v="ORD100794"/>
    <d v="2025-07-28T00:00:00"/>
    <x v="2"/>
    <s v="Bengaluru"/>
    <x v="3"/>
    <s v="Consumer"/>
    <x v="2"/>
    <s v="Notebook"/>
    <x v="762"/>
    <n v="1"/>
    <n v="1295.5"/>
    <n v="15"/>
    <x v="792"/>
    <n v="841.47"/>
    <n v="259.7"/>
    <x v="0"/>
    <s v="UPI"/>
    <x v="5"/>
    <x v="0"/>
  </r>
  <r>
    <s v="ORD100795"/>
    <d v="2026-04-12T00:00:00"/>
    <x v="0"/>
    <s v="Ahmedabad"/>
    <x v="0"/>
    <s v="Small Business"/>
    <x v="2"/>
    <s v="Folders"/>
    <x v="763"/>
    <n v="1"/>
    <n v="3866.81"/>
    <n v="20"/>
    <x v="793"/>
    <n v="2303.02"/>
    <n v="790.43"/>
    <x v="0"/>
    <s v="Cash"/>
    <x v="7"/>
    <x v="1"/>
  </r>
  <r>
    <s v="ORD100796"/>
    <d v="2026-01-29T00:00:00"/>
    <x v="1"/>
    <s v="Delhi"/>
    <x v="0"/>
    <s v="Corporate"/>
    <x v="1"/>
    <s v="Desk"/>
    <x v="764"/>
    <n v="2"/>
    <n v="836.31"/>
    <n v="15"/>
    <x v="794"/>
    <n v="1012.36"/>
    <n v="409.37"/>
    <x v="2"/>
    <s v="UPI"/>
    <x v="9"/>
    <x v="1"/>
  </r>
  <r>
    <s v="ORD100797"/>
    <d v="2025-09-18T00:00:00"/>
    <x v="2"/>
    <s v="Chennai"/>
    <x v="3"/>
    <s v="Consumer"/>
    <x v="2"/>
    <s v="Notebook"/>
    <x v="765"/>
    <n v="13"/>
    <n v="3416.49"/>
    <n v="20"/>
    <x v="795"/>
    <n v="21876.720000000001"/>
    <n v="13654.78"/>
    <x v="1"/>
    <s v="Net Banking"/>
    <x v="4"/>
    <x v="0"/>
  </r>
  <r>
    <s v="ORD100798"/>
    <d v="2025-05-26T00:00:00"/>
    <x v="1"/>
    <s v="Chandigarh"/>
    <x v="3"/>
    <s v="Corporate"/>
    <x v="1"/>
    <s v="Bookshelf"/>
    <x v="766"/>
    <n v="8"/>
    <n v="409.36"/>
    <n v="5"/>
    <x v="796"/>
    <n v="1770"/>
    <n v="1341.14"/>
    <x v="2"/>
    <s v="Net Banking"/>
    <x v="0"/>
    <x v="0"/>
  </r>
  <r>
    <s v="ORD100799"/>
    <d v="2025-07-23T00:00:00"/>
    <x v="3"/>
    <s v="Bhubaneswar"/>
    <x v="4"/>
    <s v="Corporate"/>
    <x v="0"/>
    <s v="Keyboard"/>
    <x v="258"/>
    <n v="15"/>
    <n v="4697.78"/>
    <n v="15"/>
    <x v="797"/>
    <n v="44642.42"/>
    <n v="15254.27"/>
    <x v="0"/>
    <s v="UPI"/>
    <x v="5"/>
    <x v="0"/>
  </r>
  <r>
    <s v="ORD100800"/>
    <d v="2026-03-30T00:00:00"/>
    <x v="3"/>
    <s v="Bhubaneswar"/>
    <x v="2"/>
    <s v="Corporate"/>
    <x v="2"/>
    <s v="Pens"/>
    <x v="530"/>
    <n v="12"/>
    <n v="2012.85"/>
    <n v="0"/>
    <x v="798"/>
    <n v="14123.27"/>
    <n v="10030.93"/>
    <x v="0"/>
    <s v="UPI"/>
    <x v="3"/>
    <x v="1"/>
  </r>
  <r>
    <s v="ORD100801"/>
    <d v="2026-03-25T00:00:00"/>
    <x v="3"/>
    <s v="Bhubaneswar"/>
    <x v="5"/>
    <s v="Small Business"/>
    <x v="2"/>
    <s v="Paper"/>
    <x v="767"/>
    <n v="14"/>
    <n v="2987.69"/>
    <n v="10"/>
    <x v="799"/>
    <n v="22197.65"/>
    <n v="15447.24"/>
    <x v="1"/>
    <s v="Net Banking"/>
    <x v="3"/>
    <x v="1"/>
  </r>
  <r>
    <s v="ORD100802"/>
    <d v="2026-01-22T00:00:00"/>
    <x v="0"/>
    <s v="Ahmedabad"/>
    <x v="6"/>
    <s v="Consumer"/>
    <x v="2"/>
    <s v="Notebook"/>
    <x v="768"/>
    <n v="5"/>
    <n v="3846"/>
    <n v="0"/>
    <x v="800"/>
    <n v="13923.52"/>
    <n v="5306.48"/>
    <x v="1"/>
    <s v="UPI"/>
    <x v="9"/>
    <x v="1"/>
  </r>
  <r>
    <s v="ORD100803"/>
    <d v="2025-11-11T00:00:00"/>
    <x v="3"/>
    <s v="Kolkata"/>
    <x v="1"/>
    <s v="Consumer"/>
    <x v="1"/>
    <s v="Chair"/>
    <x v="769"/>
    <n v="6"/>
    <n v="892.97"/>
    <n v="5"/>
    <x v="801"/>
    <n v="3003.53"/>
    <n v="2086.4"/>
    <x v="1"/>
    <s v="UPI"/>
    <x v="8"/>
    <x v="0"/>
  </r>
  <r>
    <s v="ORD100804"/>
    <d v="2025-03-21T00:00:00"/>
    <x v="0"/>
    <s v="Ahmedabad"/>
    <x v="4"/>
    <s v="Corporate"/>
    <x v="0"/>
    <s v="Mouse"/>
    <x v="770"/>
    <n v="1"/>
    <n v="807.35"/>
    <n v="20"/>
    <x v="802"/>
    <n v="479.71"/>
    <n v="166.17"/>
    <x v="2"/>
    <s v="UPI"/>
    <x v="3"/>
    <x v="0"/>
  </r>
  <r>
    <s v="ORD100805"/>
    <d v="2025-08-30T00:00:00"/>
    <x v="0"/>
    <s v="Ahmedabad"/>
    <x v="6"/>
    <s v="Small Business"/>
    <x v="1"/>
    <s v="Cabinet"/>
    <x v="771"/>
    <n v="12"/>
    <n v="3622.38"/>
    <n v="0"/>
    <x v="803"/>
    <n v="31631.439999999999"/>
    <n v="11837.12"/>
    <x v="1"/>
    <s v="Net Banking"/>
    <x v="6"/>
    <x v="0"/>
  </r>
  <r>
    <s v="ORD100806"/>
    <d v="2025-02-04T00:00:00"/>
    <x v="0"/>
    <s v="Mumbai"/>
    <x v="5"/>
    <s v="Corporate"/>
    <x v="0"/>
    <s v="Laptop"/>
    <x v="772"/>
    <n v="10"/>
    <n v="663.96"/>
    <n v="20"/>
    <x v="804"/>
    <n v="3964.58"/>
    <n v="1347.1"/>
    <x v="0"/>
    <s v="UPI"/>
    <x v="2"/>
    <x v="0"/>
  </r>
  <r>
    <s v="ORD100807"/>
    <d v="2026-01-22T00:00:00"/>
    <x v="1"/>
    <s v="Chandigarh"/>
    <x v="0"/>
    <s v="Corporate"/>
    <x v="2"/>
    <s v="Paper"/>
    <x v="773"/>
    <n v="13"/>
    <n v="2611.69"/>
    <n v="5"/>
    <x v="805"/>
    <n v="19427.11"/>
    <n v="12827.26"/>
    <x v="2"/>
    <s v="Cash"/>
    <x v="9"/>
    <x v="1"/>
  </r>
  <r>
    <s v="ORD100808"/>
    <d v="2026-05-26T00:00:00"/>
    <x v="2"/>
    <s v="Chennai"/>
    <x v="6"/>
    <s v="Small Business"/>
    <x v="2"/>
    <s v="Printer Ink"/>
    <x v="774"/>
    <n v="8"/>
    <n v="1520.03"/>
    <n v="5"/>
    <x v="806"/>
    <n v="9021.6299999999992"/>
    <n v="2530.6"/>
    <x v="0"/>
    <s v="Card"/>
    <x v="0"/>
    <x v="1"/>
  </r>
  <r>
    <s v="ORD100809"/>
    <d v="2026-05-11T00:00:00"/>
    <x v="3"/>
    <s v="Bhubaneswar"/>
    <x v="6"/>
    <s v="Corporate"/>
    <x v="2"/>
    <s v="Pens"/>
    <x v="775"/>
    <n v="13"/>
    <n v="748.75"/>
    <n v="5"/>
    <x v="807"/>
    <n v="5401.26"/>
    <n v="3845.8"/>
    <x v="0"/>
    <s v="UPI"/>
    <x v="0"/>
    <x v="1"/>
  </r>
  <r>
    <s v="ORD100810"/>
    <d v="2026-05-27T00:00:00"/>
    <x v="1"/>
    <s v="Chandigarh"/>
    <x v="1"/>
    <s v="Small Business"/>
    <x v="0"/>
    <s v="Keyboard"/>
    <x v="776"/>
    <n v="13"/>
    <n v="3597.37"/>
    <n v="15"/>
    <x v="808"/>
    <n v="24192.93"/>
    <n v="15558.01"/>
    <x v="1"/>
    <s v="Net Banking"/>
    <x v="0"/>
    <x v="1"/>
  </r>
  <r>
    <s v="ORD100811"/>
    <d v="2026-01-28T00:00:00"/>
    <x v="3"/>
    <s v="Kolkata"/>
    <x v="7"/>
    <s v="Consumer"/>
    <x v="2"/>
    <s v="Printer Ink"/>
    <x v="292"/>
    <n v="10"/>
    <n v="3368.65"/>
    <n v="10"/>
    <x v="809"/>
    <n v="17145.45"/>
    <n v="13172.4"/>
    <x v="2"/>
    <s v="Cash"/>
    <x v="9"/>
    <x v="1"/>
  </r>
  <r>
    <s v="ORD100812"/>
    <d v="2025-08-31T00:00:00"/>
    <x v="3"/>
    <s v="Kolkata"/>
    <x v="0"/>
    <s v="Small Business"/>
    <x v="0"/>
    <s v="Mouse"/>
    <x v="777"/>
    <n v="5"/>
    <n v="4354.6000000000004"/>
    <n v="0"/>
    <x v="810"/>
    <n v="12258.79"/>
    <n v="9514.2099999999991"/>
    <x v="1"/>
    <s v="Cash"/>
    <x v="6"/>
    <x v="0"/>
  </r>
  <r>
    <s v="ORD100813"/>
    <d v="2025-11-30T00:00:00"/>
    <x v="0"/>
    <s v="Ahmedabad"/>
    <x v="3"/>
    <s v="Consumer"/>
    <x v="2"/>
    <s v="Notebook"/>
    <x v="778"/>
    <n v="11"/>
    <n v="4074.37"/>
    <n v="20"/>
    <x v="811"/>
    <n v="26080.41"/>
    <n v="9774.0499999999993"/>
    <x v="2"/>
    <s v="UPI"/>
    <x v="8"/>
    <x v="0"/>
  </r>
  <r>
    <s v="ORD100814"/>
    <d v="2026-05-31T00:00:00"/>
    <x v="2"/>
    <s v="Chennai"/>
    <x v="3"/>
    <s v="Small Business"/>
    <x v="0"/>
    <s v="Headphones"/>
    <x v="779"/>
    <n v="3"/>
    <n v="3564.19"/>
    <n v="15"/>
    <x v="812"/>
    <n v="5902.6"/>
    <n v="3186.08"/>
    <x v="0"/>
    <s v="Cash"/>
    <x v="0"/>
    <x v="1"/>
  </r>
  <r>
    <s v="ORD100815"/>
    <d v="2025-02-02T00:00:00"/>
    <x v="2"/>
    <s v="Bengaluru"/>
    <x v="3"/>
    <s v="Corporate"/>
    <x v="0"/>
    <s v="Mouse"/>
    <x v="780"/>
    <n v="6"/>
    <n v="1827.53"/>
    <n v="15"/>
    <x v="813"/>
    <n v="7186.74"/>
    <n v="2133.66"/>
    <x v="1"/>
    <s v="Net Banking"/>
    <x v="2"/>
    <x v="0"/>
  </r>
  <r>
    <s v="ORD100816"/>
    <d v="2026-02-12T00:00:00"/>
    <x v="1"/>
    <s v="Delhi"/>
    <x v="1"/>
    <s v="Consumer"/>
    <x v="1"/>
    <s v="Cabinet"/>
    <x v="781"/>
    <n v="4"/>
    <n v="3650.88"/>
    <n v="0"/>
    <x v="814"/>
    <n v="8742.94"/>
    <n v="5860.58"/>
    <x v="1"/>
    <s v="Card"/>
    <x v="2"/>
    <x v="1"/>
  </r>
  <r>
    <s v="ORD100817"/>
    <d v="2026-01-24T00:00:00"/>
    <x v="1"/>
    <s v="Delhi"/>
    <x v="5"/>
    <s v="Consumer"/>
    <x v="1"/>
    <s v="Bookshelf"/>
    <x v="782"/>
    <n v="5"/>
    <n v="3170.28"/>
    <n v="20"/>
    <x v="815"/>
    <n v="6987.8"/>
    <n v="5693.32"/>
    <x v="1"/>
    <s v="Card"/>
    <x v="9"/>
    <x v="1"/>
  </r>
  <r>
    <s v="ORD100818"/>
    <d v="2025-02-17T00:00:00"/>
    <x v="2"/>
    <s v="Bengaluru"/>
    <x v="0"/>
    <s v="Small Business"/>
    <x v="1"/>
    <s v="Table"/>
    <x v="783"/>
    <n v="4"/>
    <n v="4487.2700000000004"/>
    <n v="20"/>
    <x v="816"/>
    <n v="10442.629999999999"/>
    <n v="3916.63"/>
    <x v="1"/>
    <s v="Net Banking"/>
    <x v="2"/>
    <x v="0"/>
  </r>
  <r>
    <s v="ORD100819"/>
    <d v="2025-08-27T00:00:00"/>
    <x v="3"/>
    <s v="Kolkata"/>
    <x v="2"/>
    <s v="Corporate"/>
    <x v="2"/>
    <s v="Printer Ink"/>
    <x v="784"/>
    <n v="1"/>
    <n v="1744"/>
    <n v="15"/>
    <x v="817"/>
    <n v="996.6"/>
    <n v="485.8"/>
    <x v="2"/>
    <s v="Cash"/>
    <x v="6"/>
    <x v="0"/>
  </r>
  <r>
    <s v="ORD100820"/>
    <d v="2025-09-28T00:00:00"/>
    <x v="0"/>
    <s v="Mumbai"/>
    <x v="5"/>
    <s v="Corporate"/>
    <x v="2"/>
    <s v="Printer Ink"/>
    <x v="785"/>
    <n v="14"/>
    <n v="1696.46"/>
    <n v="15"/>
    <x v="818"/>
    <n v="12858.47"/>
    <n v="7329.4"/>
    <x v="1"/>
    <s v="UPI"/>
    <x v="4"/>
    <x v="0"/>
  </r>
  <r>
    <s v="ORD100821"/>
    <d v="2025-09-01T00:00:00"/>
    <x v="1"/>
    <s v="Chandigarh"/>
    <x v="0"/>
    <s v="Consumer"/>
    <x v="1"/>
    <s v="Bookshelf"/>
    <x v="786"/>
    <n v="3"/>
    <n v="3823.26"/>
    <n v="10"/>
    <x v="819"/>
    <n v="6931.68"/>
    <n v="3391.12"/>
    <x v="1"/>
    <s v="Card"/>
    <x v="4"/>
    <x v="0"/>
  </r>
  <r>
    <s v="ORD100822"/>
    <d v="2026-01-23T00:00:00"/>
    <x v="3"/>
    <s v="Bhubaneswar"/>
    <x v="2"/>
    <s v="Small Business"/>
    <x v="2"/>
    <s v="Paper"/>
    <x v="787"/>
    <n v="10"/>
    <n v="4555.0600000000004"/>
    <n v="20"/>
    <x v="820"/>
    <n v="23277.98"/>
    <n v="13162.5"/>
    <x v="2"/>
    <s v="Card"/>
    <x v="9"/>
    <x v="1"/>
  </r>
  <r>
    <s v="ORD100823"/>
    <d v="2025-08-03T00:00:00"/>
    <x v="3"/>
    <s v="Kolkata"/>
    <x v="0"/>
    <s v="Small Business"/>
    <x v="0"/>
    <s v="Monitor"/>
    <x v="788"/>
    <n v="14"/>
    <n v="2365.17"/>
    <n v="20"/>
    <x v="821"/>
    <n v="15949.27"/>
    <n v="10540.63"/>
    <x v="1"/>
    <s v="UPI"/>
    <x v="6"/>
    <x v="0"/>
  </r>
  <r>
    <s v="ORD100824"/>
    <d v="2025-02-14T00:00:00"/>
    <x v="1"/>
    <s v="Delhi"/>
    <x v="6"/>
    <s v="Small Business"/>
    <x v="0"/>
    <s v="Keyboard"/>
    <x v="789"/>
    <n v="3"/>
    <n v="4319.6400000000003"/>
    <n v="15"/>
    <x v="822"/>
    <n v="7058.32"/>
    <n v="3956.76"/>
    <x v="2"/>
    <s v="Net Banking"/>
    <x v="2"/>
    <x v="0"/>
  </r>
  <r>
    <s v="ORD100825"/>
    <d v="2025-12-17T00:00:00"/>
    <x v="0"/>
    <s v="Ahmedabad"/>
    <x v="5"/>
    <s v="Small Business"/>
    <x v="1"/>
    <s v="Table"/>
    <x v="790"/>
    <n v="10"/>
    <n v="4034.68"/>
    <n v="15"/>
    <x v="823"/>
    <n v="18871.23"/>
    <n v="15423.55"/>
    <x v="2"/>
    <s v="Card"/>
    <x v="11"/>
    <x v="0"/>
  </r>
  <r>
    <s v="ORD100826"/>
    <d v="2026-06-29T00:00:00"/>
    <x v="2"/>
    <s v="Bengaluru"/>
    <x v="0"/>
    <s v="Corporate"/>
    <x v="0"/>
    <s v="Keyboard"/>
    <x v="791"/>
    <n v="4"/>
    <n v="279.39"/>
    <n v="0"/>
    <x v="824"/>
    <n v="670.43"/>
    <n v="447.13"/>
    <x v="1"/>
    <s v="Cash"/>
    <x v="10"/>
    <x v="1"/>
  </r>
  <r>
    <s v="ORD100827"/>
    <d v="2025-05-06T00:00:00"/>
    <x v="0"/>
    <s v="Ahmedabad"/>
    <x v="6"/>
    <s v="Small Business"/>
    <x v="0"/>
    <s v="Headphones"/>
    <x v="792"/>
    <n v="5"/>
    <n v="1709.5"/>
    <n v="15"/>
    <x v="825"/>
    <n v="4722.57"/>
    <n v="2542.81"/>
    <x v="0"/>
    <s v="Card"/>
    <x v="0"/>
    <x v="0"/>
  </r>
  <r>
    <s v="ORD100828"/>
    <d v="2025-07-24T00:00:00"/>
    <x v="1"/>
    <s v="Chandigarh"/>
    <x v="6"/>
    <s v="Consumer"/>
    <x v="2"/>
    <s v="Folders"/>
    <x v="793"/>
    <n v="10"/>
    <n v="1707.11"/>
    <n v="15"/>
    <x v="826"/>
    <n v="10448.64"/>
    <n v="4061.79"/>
    <x v="0"/>
    <s v="UPI"/>
    <x v="5"/>
    <x v="0"/>
  </r>
  <r>
    <s v="ORD100829"/>
    <d v="2026-06-10T00:00:00"/>
    <x v="0"/>
    <s v="Mumbai"/>
    <x v="1"/>
    <s v="Consumer"/>
    <x v="2"/>
    <s v="Printer Ink"/>
    <x v="794"/>
    <n v="3"/>
    <n v="403.08"/>
    <n v="15"/>
    <x v="827"/>
    <n v="817.05"/>
    <n v="210.8"/>
    <x v="0"/>
    <s v="Card"/>
    <x v="10"/>
    <x v="1"/>
  </r>
  <r>
    <s v="ORD100830"/>
    <d v="2026-01-17T00:00:00"/>
    <x v="2"/>
    <s v="Bengaluru"/>
    <x v="3"/>
    <s v="Small Business"/>
    <x v="0"/>
    <s v="Mouse"/>
    <x v="795"/>
    <n v="8"/>
    <n v="2599.12"/>
    <n v="0"/>
    <x v="828"/>
    <n v="12025.49"/>
    <n v="8767.4699999999993"/>
    <x v="2"/>
    <s v="Card"/>
    <x v="9"/>
    <x v="1"/>
  </r>
  <r>
    <s v="ORD100831"/>
    <d v="2026-06-07T00:00:00"/>
    <x v="2"/>
    <s v="Bengaluru"/>
    <x v="2"/>
    <s v="Small Business"/>
    <x v="1"/>
    <s v="Chair"/>
    <x v="796"/>
    <n v="3"/>
    <n v="1419.17"/>
    <n v="15"/>
    <x v="829"/>
    <n v="2668.64"/>
    <n v="950.24"/>
    <x v="0"/>
    <s v="Net Banking"/>
    <x v="10"/>
    <x v="1"/>
  </r>
  <r>
    <s v="ORD100832"/>
    <d v="2026-05-26T00:00:00"/>
    <x v="2"/>
    <s v="Chennai"/>
    <x v="2"/>
    <s v="Corporate"/>
    <x v="0"/>
    <s v="Headphones"/>
    <x v="797"/>
    <n v="11"/>
    <n v="469.68"/>
    <n v="15"/>
    <x v="830"/>
    <n v="3308.26"/>
    <n v="1083.25"/>
    <x v="0"/>
    <s v="Cash"/>
    <x v="0"/>
    <x v="1"/>
  </r>
  <r>
    <s v="ORD100833"/>
    <d v="2025-01-23T00:00:00"/>
    <x v="3"/>
    <s v="Kolkata"/>
    <x v="6"/>
    <s v="Small Business"/>
    <x v="1"/>
    <s v="Table"/>
    <x v="798"/>
    <n v="7"/>
    <n v="1108.3800000000001"/>
    <n v="10"/>
    <x v="831"/>
    <n v="4623.54"/>
    <n v="2359.25"/>
    <x v="1"/>
    <s v="Cash"/>
    <x v="9"/>
    <x v="0"/>
  </r>
  <r>
    <s v="ORD100834"/>
    <d v="2025-08-23T00:00:00"/>
    <x v="2"/>
    <s v="Chennai"/>
    <x v="7"/>
    <s v="Consumer"/>
    <x v="1"/>
    <s v="Bookshelf"/>
    <x v="799"/>
    <n v="5"/>
    <n v="1931.6"/>
    <n v="20"/>
    <x v="832"/>
    <n v="4565.67"/>
    <n v="3160.73"/>
    <x v="2"/>
    <s v="Cash"/>
    <x v="6"/>
    <x v="0"/>
  </r>
  <r>
    <s v="ORD100835"/>
    <d v="2026-03-10T00:00:00"/>
    <x v="2"/>
    <s v="Bengaluru"/>
    <x v="4"/>
    <s v="Small Business"/>
    <x v="2"/>
    <s v="Folders"/>
    <x v="800"/>
    <n v="4"/>
    <n v="1646.28"/>
    <n v="10"/>
    <x v="833"/>
    <n v="3905.11"/>
    <n v="2021.5"/>
    <x v="0"/>
    <s v="UPI"/>
    <x v="3"/>
    <x v="1"/>
  </r>
  <r>
    <s v="ORD100836"/>
    <d v="2025-12-30T00:00:00"/>
    <x v="3"/>
    <s v="Bhubaneswar"/>
    <x v="4"/>
    <s v="Small Business"/>
    <x v="2"/>
    <s v="Notebook"/>
    <x v="801"/>
    <n v="8"/>
    <n v="3187.6"/>
    <n v="15"/>
    <x v="834"/>
    <n v="12260.34"/>
    <n v="9415.34"/>
    <x v="2"/>
    <s v="UPI"/>
    <x v="11"/>
    <x v="0"/>
  </r>
  <r>
    <s v="ORD100837"/>
    <d v="2025-06-04T00:00:00"/>
    <x v="3"/>
    <s v="Kolkata"/>
    <x v="3"/>
    <s v="Corporate"/>
    <x v="0"/>
    <s v="Mouse"/>
    <x v="802"/>
    <n v="2"/>
    <n v="1739.2"/>
    <n v="20"/>
    <x v="835"/>
    <n v="1986.25"/>
    <n v="796.47"/>
    <x v="2"/>
    <s v="Card"/>
    <x v="10"/>
    <x v="0"/>
  </r>
  <r>
    <s v="ORD100838"/>
    <d v="2026-06-02T00:00:00"/>
    <x v="3"/>
    <s v="Bhubaneswar"/>
    <x v="2"/>
    <s v="Small Business"/>
    <x v="2"/>
    <s v="Paper"/>
    <x v="803"/>
    <n v="7"/>
    <n v="4800.96"/>
    <n v="5"/>
    <x v="836"/>
    <n v="25477.46"/>
    <n v="6448.92"/>
    <x v="0"/>
    <s v="Card"/>
    <x v="10"/>
    <x v="1"/>
  </r>
  <r>
    <s v="ORD100839"/>
    <d v="2025-12-24T00:00:00"/>
    <x v="2"/>
    <s v="Chennai"/>
    <x v="2"/>
    <s v="Consumer"/>
    <x v="0"/>
    <s v="Laptop"/>
    <x v="804"/>
    <n v="13"/>
    <n v="3085.82"/>
    <n v="0"/>
    <x v="837"/>
    <n v="29913.82"/>
    <n v="10201.84"/>
    <x v="0"/>
    <s v="Cash"/>
    <x v="11"/>
    <x v="0"/>
  </r>
  <r>
    <s v="ORD100840"/>
    <d v="2025-05-29T00:00:00"/>
    <x v="1"/>
    <s v="Delhi"/>
    <x v="4"/>
    <s v="Small Business"/>
    <x v="0"/>
    <s v="Headphones"/>
    <x v="326"/>
    <n v="14"/>
    <n v="2416.2600000000002"/>
    <n v="10"/>
    <x v="838"/>
    <n v="23014.3"/>
    <n v="7430.58"/>
    <x v="2"/>
    <s v="Card"/>
    <x v="0"/>
    <x v="0"/>
  </r>
  <r>
    <s v="ORD100841"/>
    <d v="2026-05-16T00:00:00"/>
    <x v="0"/>
    <s v="Ahmedabad"/>
    <x v="4"/>
    <s v="Consumer"/>
    <x v="1"/>
    <s v="Cabinet"/>
    <x v="805"/>
    <n v="12"/>
    <n v="1695.97"/>
    <n v="20"/>
    <x v="839"/>
    <n v="12998.45"/>
    <n v="3282.86"/>
    <x v="1"/>
    <s v="Cash"/>
    <x v="0"/>
    <x v="1"/>
  </r>
  <r>
    <s v="ORD100842"/>
    <d v="2026-02-20T00:00:00"/>
    <x v="1"/>
    <s v="Chandigarh"/>
    <x v="1"/>
    <s v="Small Business"/>
    <x v="2"/>
    <s v="Folders"/>
    <x v="806"/>
    <n v="7"/>
    <n v="1898.62"/>
    <n v="10"/>
    <x v="840"/>
    <n v="9232.58"/>
    <n v="2728.73"/>
    <x v="0"/>
    <s v="Net Banking"/>
    <x v="2"/>
    <x v="1"/>
  </r>
  <r>
    <s v="ORD100843"/>
    <d v="2025-05-21T00:00:00"/>
    <x v="2"/>
    <s v="Chennai"/>
    <x v="4"/>
    <s v="Consumer"/>
    <x v="2"/>
    <s v="Folders"/>
    <x v="807"/>
    <n v="9"/>
    <n v="2017.33"/>
    <n v="15"/>
    <x v="841"/>
    <n v="10872.95"/>
    <n v="4559.62"/>
    <x v="2"/>
    <s v="Net Banking"/>
    <x v="0"/>
    <x v="0"/>
  </r>
  <r>
    <s v="ORD100844"/>
    <d v="2026-01-27T00:00:00"/>
    <x v="3"/>
    <s v="Bhubaneswar"/>
    <x v="6"/>
    <s v="Corporate"/>
    <x v="0"/>
    <s v="Headphones"/>
    <x v="808"/>
    <n v="7"/>
    <n v="2562.86"/>
    <n v="10"/>
    <x v="842"/>
    <n v="8988.25"/>
    <n v="7157.77"/>
    <x v="0"/>
    <s v="Card"/>
    <x v="9"/>
    <x v="1"/>
  </r>
  <r>
    <s v="ORD100845"/>
    <d v="2025-09-17T00:00:00"/>
    <x v="2"/>
    <s v="Bengaluru"/>
    <x v="5"/>
    <s v="Consumer"/>
    <x v="2"/>
    <s v="Folders"/>
    <x v="809"/>
    <n v="3"/>
    <n v="675.37"/>
    <n v="5"/>
    <x v="843"/>
    <n v="1389.91"/>
    <n v="534.89"/>
    <x v="1"/>
    <s v="Card"/>
    <x v="4"/>
    <x v="0"/>
  </r>
  <r>
    <s v="ORD100846"/>
    <d v="2025-12-08T00:00:00"/>
    <x v="1"/>
    <s v="Delhi"/>
    <x v="2"/>
    <s v="Corporate"/>
    <x v="0"/>
    <s v="Headphones"/>
    <x v="810"/>
    <n v="15"/>
    <n v="4923.88"/>
    <n v="5"/>
    <x v="844"/>
    <n v="39936.160000000003"/>
    <n v="30229.13"/>
    <x v="1"/>
    <s v="Card"/>
    <x v="11"/>
    <x v="0"/>
  </r>
  <r>
    <s v="ORD100847"/>
    <d v="2026-06-28T00:00:00"/>
    <x v="0"/>
    <s v="Ahmedabad"/>
    <x v="0"/>
    <s v="Corporate"/>
    <x v="1"/>
    <s v="Bookshelf"/>
    <x v="811"/>
    <n v="9"/>
    <n v="1601.02"/>
    <n v="15"/>
    <x v="845"/>
    <n v="8782.89"/>
    <n v="3464.91"/>
    <x v="2"/>
    <s v="Net Banking"/>
    <x v="10"/>
    <x v="1"/>
  </r>
  <r>
    <s v="ORD100848"/>
    <d v="2025-09-23T00:00:00"/>
    <x v="3"/>
    <s v="Bhubaneswar"/>
    <x v="7"/>
    <s v="Small Business"/>
    <x v="1"/>
    <s v="Desk"/>
    <x v="812"/>
    <n v="7"/>
    <n v="4030.89"/>
    <n v="20"/>
    <x v="846"/>
    <n v="13364.18"/>
    <n v="9208.7999999999993"/>
    <x v="1"/>
    <s v="Cash"/>
    <x v="4"/>
    <x v="0"/>
  </r>
  <r>
    <s v="ORD100849"/>
    <d v="2026-05-18T00:00:00"/>
    <x v="2"/>
    <s v="Bengaluru"/>
    <x v="5"/>
    <s v="Consumer"/>
    <x v="1"/>
    <s v="Cabinet"/>
    <x v="813"/>
    <n v="8"/>
    <n v="4946.68"/>
    <n v="15"/>
    <x v="847"/>
    <n v="19121.95"/>
    <n v="14515.47"/>
    <x v="0"/>
    <s v="Card"/>
    <x v="0"/>
    <x v="1"/>
  </r>
  <r>
    <s v="ORD100850"/>
    <d v="2026-01-11T00:00:00"/>
    <x v="0"/>
    <s v="Mumbai"/>
    <x v="2"/>
    <s v="Consumer"/>
    <x v="1"/>
    <s v="Bookshelf"/>
    <x v="814"/>
    <n v="11"/>
    <n v="2325.85"/>
    <n v="15"/>
    <x v="848"/>
    <n v="16436.919999999998"/>
    <n v="5309.78"/>
    <x v="1"/>
    <s v="Cash"/>
    <x v="9"/>
    <x v="1"/>
  </r>
  <r>
    <s v="ORD100851"/>
    <d v="2025-07-09T00:00:00"/>
    <x v="3"/>
    <s v="Bhubaneswar"/>
    <x v="0"/>
    <s v="Consumer"/>
    <x v="0"/>
    <s v="Keyboard"/>
    <x v="815"/>
    <n v="2"/>
    <n v="1144.47"/>
    <n v="5"/>
    <x v="849"/>
    <n v="1666.34"/>
    <n v="508.15"/>
    <x v="1"/>
    <s v="Card"/>
    <x v="5"/>
    <x v="0"/>
  </r>
  <r>
    <s v="ORD100852"/>
    <d v="2026-06-05T00:00:00"/>
    <x v="2"/>
    <s v="Chennai"/>
    <x v="3"/>
    <s v="Small Business"/>
    <x v="2"/>
    <s v="Pens"/>
    <x v="816"/>
    <n v="9"/>
    <n v="3956.53"/>
    <n v="10"/>
    <x v="850"/>
    <n v="23624.13"/>
    <n v="8423.76"/>
    <x v="2"/>
    <s v="UPI"/>
    <x v="10"/>
    <x v="1"/>
  </r>
  <r>
    <s v="ORD100853"/>
    <d v="2025-02-22T00:00:00"/>
    <x v="1"/>
    <s v="Delhi"/>
    <x v="4"/>
    <s v="Small Business"/>
    <x v="2"/>
    <s v="Printer Ink"/>
    <x v="817"/>
    <n v="11"/>
    <n v="2939.92"/>
    <n v="10"/>
    <x v="851"/>
    <n v="18063.93"/>
    <n v="11041.28"/>
    <x v="0"/>
    <s v="Card"/>
    <x v="2"/>
    <x v="0"/>
  </r>
  <r>
    <s v="ORD100854"/>
    <d v="2025-03-20T00:00:00"/>
    <x v="2"/>
    <s v="Chennai"/>
    <x v="3"/>
    <s v="Small Business"/>
    <x v="0"/>
    <s v="Mouse"/>
    <x v="818"/>
    <n v="12"/>
    <n v="588.48"/>
    <n v="20"/>
    <x v="852"/>
    <n v="3153.52"/>
    <n v="2495.89"/>
    <x v="1"/>
    <s v="Cash"/>
    <x v="3"/>
    <x v="0"/>
  </r>
  <r>
    <s v="ORD100855"/>
    <d v="2025-04-29T00:00:00"/>
    <x v="1"/>
    <s v="Delhi"/>
    <x v="0"/>
    <s v="Consumer"/>
    <x v="2"/>
    <s v="Folders"/>
    <x v="819"/>
    <n v="12"/>
    <n v="3309.56"/>
    <n v="0"/>
    <x v="853"/>
    <n v="23449.82"/>
    <n v="16264.9"/>
    <x v="0"/>
    <s v="UPI"/>
    <x v="7"/>
    <x v="0"/>
  </r>
  <r>
    <s v="ORD100856"/>
    <d v="2025-03-25T00:00:00"/>
    <x v="1"/>
    <s v="Delhi"/>
    <x v="7"/>
    <s v="Small Business"/>
    <x v="2"/>
    <s v="Pens"/>
    <x v="820"/>
    <n v="7"/>
    <n v="4442.42"/>
    <n v="10"/>
    <x v="854"/>
    <n v="21015.93"/>
    <n v="6971.32"/>
    <x v="2"/>
    <s v="UPI"/>
    <x v="3"/>
    <x v="0"/>
  </r>
  <r>
    <s v="ORD100857"/>
    <d v="2025-12-28T00:00:00"/>
    <x v="1"/>
    <s v="Delhi"/>
    <x v="5"/>
    <s v="Corporate"/>
    <x v="1"/>
    <s v="Cabinet"/>
    <x v="821"/>
    <n v="8"/>
    <n v="260.08999999999997"/>
    <n v="15"/>
    <x v="855"/>
    <n v="1100.07"/>
    <n v="668.54"/>
    <x v="0"/>
    <s v="Cash"/>
    <x v="11"/>
    <x v="0"/>
  </r>
  <r>
    <s v="ORD100858"/>
    <d v="2025-12-30T00:00:00"/>
    <x v="2"/>
    <s v="Bengaluru"/>
    <x v="7"/>
    <s v="Small Business"/>
    <x v="1"/>
    <s v="Desk"/>
    <x v="822"/>
    <n v="9"/>
    <n v="4882.91"/>
    <n v="0"/>
    <x v="856"/>
    <n v="34100.53"/>
    <n v="9845.66"/>
    <x v="0"/>
    <s v="Net Banking"/>
    <x v="11"/>
    <x v="0"/>
  </r>
  <r>
    <s v="ORD100859"/>
    <d v="2025-11-09T00:00:00"/>
    <x v="2"/>
    <s v="Chennai"/>
    <x v="3"/>
    <s v="Small Business"/>
    <x v="1"/>
    <s v="Chair"/>
    <x v="823"/>
    <n v="4"/>
    <n v="3286.78"/>
    <n v="0"/>
    <x v="857"/>
    <n v="10699.71"/>
    <n v="2447.41"/>
    <x v="0"/>
    <s v="Net Banking"/>
    <x v="8"/>
    <x v="0"/>
  </r>
  <r>
    <s v="ORD100860"/>
    <d v="2025-05-08T00:00:00"/>
    <x v="3"/>
    <s v="Bhubaneswar"/>
    <x v="4"/>
    <s v="Consumer"/>
    <x v="2"/>
    <s v="Printer Ink"/>
    <x v="824"/>
    <n v="8"/>
    <n v="2688.13"/>
    <n v="15"/>
    <x v="858"/>
    <n v="11255.94"/>
    <n v="7023.34"/>
    <x v="0"/>
    <s v="Cash"/>
    <x v="0"/>
    <x v="0"/>
  </r>
  <r>
    <s v="ORD100861"/>
    <d v="2025-12-14T00:00:00"/>
    <x v="3"/>
    <s v="Kolkata"/>
    <x v="6"/>
    <s v="Consumer"/>
    <x v="0"/>
    <s v="Keyboard"/>
    <x v="825"/>
    <n v="4"/>
    <n v="725.08"/>
    <n v="15"/>
    <x v="859"/>
    <n v="1466.1"/>
    <n v="999.17"/>
    <x v="1"/>
    <s v="UPI"/>
    <x v="11"/>
    <x v="0"/>
  </r>
  <r>
    <s v="ORD100862"/>
    <d v="2025-05-01T00:00:00"/>
    <x v="1"/>
    <s v="Delhi"/>
    <x v="4"/>
    <s v="Small Business"/>
    <x v="2"/>
    <s v="Pens"/>
    <x v="826"/>
    <n v="1"/>
    <n v="2323.4499999999998"/>
    <n v="5"/>
    <x v="860"/>
    <n v="1239.52"/>
    <n v="967.76"/>
    <x v="2"/>
    <s v="Card"/>
    <x v="0"/>
    <x v="0"/>
  </r>
  <r>
    <s v="ORD100863"/>
    <d v="2025-07-23T00:00:00"/>
    <x v="3"/>
    <s v="Kolkata"/>
    <x v="4"/>
    <s v="Small Business"/>
    <x v="1"/>
    <s v="Bookshelf"/>
    <x v="827"/>
    <n v="9"/>
    <n v="3391.65"/>
    <n v="10"/>
    <x v="861"/>
    <n v="22525.200000000001"/>
    <n v="4947.17"/>
    <x v="1"/>
    <s v="UPI"/>
    <x v="5"/>
    <x v="0"/>
  </r>
  <r>
    <s v="ORD100864"/>
    <d v="2025-03-02T00:00:00"/>
    <x v="0"/>
    <s v="Mumbai"/>
    <x v="1"/>
    <s v="Small Business"/>
    <x v="2"/>
    <s v="Folders"/>
    <x v="828"/>
    <n v="12"/>
    <n v="1317.04"/>
    <n v="15"/>
    <x v="862"/>
    <n v="9749.26"/>
    <n v="3684.55"/>
    <x v="2"/>
    <s v="Net Banking"/>
    <x v="3"/>
    <x v="0"/>
  </r>
  <r>
    <s v="ORD100865"/>
    <d v="2025-01-18T00:00:00"/>
    <x v="3"/>
    <s v="Kolkata"/>
    <x v="2"/>
    <s v="Consumer"/>
    <x v="2"/>
    <s v="Notebook"/>
    <x v="829"/>
    <n v="4"/>
    <n v="2552.92"/>
    <n v="20"/>
    <x v="863"/>
    <n v="5510.51"/>
    <n v="2658.83"/>
    <x v="1"/>
    <s v="Cash"/>
    <x v="9"/>
    <x v="0"/>
  </r>
  <r>
    <s v="ORD100866"/>
    <d v="2025-07-14T00:00:00"/>
    <x v="2"/>
    <s v="Chennai"/>
    <x v="0"/>
    <s v="Small Business"/>
    <x v="1"/>
    <s v="Bookshelf"/>
    <x v="830"/>
    <n v="15"/>
    <n v="1721.11"/>
    <n v="10"/>
    <x v="864"/>
    <n v="16760.939999999999"/>
    <n v="6474.04"/>
    <x v="1"/>
    <s v="Cash"/>
    <x v="5"/>
    <x v="0"/>
  </r>
  <r>
    <s v="ORD100867"/>
    <d v="2025-10-03T00:00:00"/>
    <x v="3"/>
    <s v="Kolkata"/>
    <x v="7"/>
    <s v="Corporate"/>
    <x v="2"/>
    <s v="Paper"/>
    <x v="831"/>
    <n v="5"/>
    <n v="3979.88"/>
    <n v="5"/>
    <x v="865"/>
    <n v="11340.21"/>
    <n v="7564.22"/>
    <x v="2"/>
    <s v="Net Banking"/>
    <x v="1"/>
    <x v="0"/>
  </r>
  <r>
    <s v="ORD100868"/>
    <d v="2025-05-01T00:00:00"/>
    <x v="3"/>
    <s v="Kolkata"/>
    <x v="0"/>
    <s v="Corporate"/>
    <x v="2"/>
    <s v="Notebook"/>
    <x v="832"/>
    <n v="9"/>
    <n v="2585.0300000000002"/>
    <n v="15"/>
    <x v="866"/>
    <n v="15366.1"/>
    <n v="4409.38"/>
    <x v="0"/>
    <s v="Net Banking"/>
    <x v="0"/>
    <x v="0"/>
  </r>
  <r>
    <s v="ORD100869"/>
    <d v="2026-05-02T00:00:00"/>
    <x v="0"/>
    <s v="Mumbai"/>
    <x v="7"/>
    <s v="Corporate"/>
    <x v="2"/>
    <s v="Paper"/>
    <x v="151"/>
    <n v="6"/>
    <n v="3107.23"/>
    <n v="5"/>
    <x v="867"/>
    <n v="13613.49"/>
    <n v="4097.72"/>
    <x v="0"/>
    <s v="Card"/>
    <x v="0"/>
    <x v="1"/>
  </r>
  <r>
    <s v="ORD100870"/>
    <d v="2025-11-28T00:00:00"/>
    <x v="3"/>
    <s v="Kolkata"/>
    <x v="1"/>
    <s v="Corporate"/>
    <x v="0"/>
    <s v="Laptop"/>
    <x v="833"/>
    <n v="1"/>
    <n v="1040.3699999999999"/>
    <n v="0"/>
    <x v="868"/>
    <n v="729.68"/>
    <n v="310.69"/>
    <x v="0"/>
    <s v="Card"/>
    <x v="8"/>
    <x v="0"/>
  </r>
  <r>
    <s v="ORD100871"/>
    <d v="2025-07-09T00:00:00"/>
    <x v="3"/>
    <s v="Kolkata"/>
    <x v="5"/>
    <s v="Corporate"/>
    <x v="1"/>
    <s v="Bookshelf"/>
    <x v="834"/>
    <n v="7"/>
    <n v="868.05"/>
    <n v="10"/>
    <x v="869"/>
    <n v="3092.18"/>
    <n v="2376.5300000000002"/>
    <x v="2"/>
    <s v="Card"/>
    <x v="5"/>
    <x v="0"/>
  </r>
  <r>
    <s v="ORD100872"/>
    <d v="2026-02-26T00:00:00"/>
    <x v="1"/>
    <s v="Delhi"/>
    <x v="7"/>
    <s v="Corporate"/>
    <x v="0"/>
    <s v="Mouse"/>
    <x v="835"/>
    <n v="13"/>
    <n v="4391.58"/>
    <n v="5"/>
    <x v="870"/>
    <n v="35121.39"/>
    <n v="19114.62"/>
    <x v="0"/>
    <s v="Card"/>
    <x v="2"/>
    <x v="1"/>
  </r>
  <r>
    <s v="ORD100873"/>
    <d v="2025-03-24T00:00:00"/>
    <x v="2"/>
    <s v="Chennai"/>
    <x v="3"/>
    <s v="Corporate"/>
    <x v="2"/>
    <s v="Printer Ink"/>
    <x v="836"/>
    <n v="6"/>
    <n v="4464.59"/>
    <n v="10"/>
    <x v="871"/>
    <n v="16349.04"/>
    <n v="7759.75"/>
    <x v="1"/>
    <s v="Cash"/>
    <x v="3"/>
    <x v="0"/>
  </r>
  <r>
    <s v="ORD100874"/>
    <d v="2025-10-27T00:00:00"/>
    <x v="2"/>
    <s v="Chennai"/>
    <x v="0"/>
    <s v="Small Business"/>
    <x v="0"/>
    <s v="Monitor"/>
    <x v="837"/>
    <n v="2"/>
    <n v="757.31"/>
    <n v="5"/>
    <x v="872"/>
    <n v="1083.3399999999999"/>
    <n v="355.55"/>
    <x v="0"/>
    <s v="Cash"/>
    <x v="1"/>
    <x v="0"/>
  </r>
  <r>
    <s v="ORD100875"/>
    <d v="2025-11-09T00:00:00"/>
    <x v="2"/>
    <s v="Bengaluru"/>
    <x v="5"/>
    <s v="Small Business"/>
    <x v="0"/>
    <s v="Monitor"/>
    <x v="838"/>
    <n v="10"/>
    <n v="2806.68"/>
    <n v="5"/>
    <x v="873"/>
    <n v="21161.66"/>
    <n v="5501.8"/>
    <x v="1"/>
    <s v="Net Banking"/>
    <x v="8"/>
    <x v="0"/>
  </r>
  <r>
    <s v="ORD100876"/>
    <d v="2025-02-06T00:00:00"/>
    <x v="1"/>
    <s v="Chandigarh"/>
    <x v="7"/>
    <s v="Consumer"/>
    <x v="1"/>
    <s v="Desk"/>
    <x v="839"/>
    <n v="8"/>
    <n v="3642.33"/>
    <n v="15"/>
    <x v="874"/>
    <n v="13640.9"/>
    <n v="11126.94"/>
    <x v="2"/>
    <s v="Cash"/>
    <x v="2"/>
    <x v="0"/>
  </r>
  <r>
    <s v="ORD100877"/>
    <d v="2025-07-21T00:00:00"/>
    <x v="3"/>
    <s v="Bhubaneswar"/>
    <x v="1"/>
    <s v="Small Business"/>
    <x v="0"/>
    <s v="Keyboard"/>
    <x v="840"/>
    <n v="15"/>
    <n v="2235.4499999999998"/>
    <n v="20"/>
    <x v="875"/>
    <n v="18973.939999999999"/>
    <n v="7851.46"/>
    <x v="1"/>
    <s v="UPI"/>
    <x v="5"/>
    <x v="0"/>
  </r>
  <r>
    <s v="ORD100878"/>
    <d v="2025-08-08T00:00:00"/>
    <x v="3"/>
    <s v="Kolkata"/>
    <x v="7"/>
    <s v="Small Business"/>
    <x v="2"/>
    <s v="Notebook"/>
    <x v="841"/>
    <n v="9"/>
    <n v="368.61"/>
    <n v="15"/>
    <x v="876"/>
    <n v="1964.51"/>
    <n v="855.36"/>
    <x v="0"/>
    <s v="Card"/>
    <x v="6"/>
    <x v="0"/>
  </r>
  <r>
    <s v="ORD100879"/>
    <d v="2025-05-18T00:00:00"/>
    <x v="2"/>
    <s v="Chennai"/>
    <x v="7"/>
    <s v="Corporate"/>
    <x v="2"/>
    <s v="Paper"/>
    <x v="842"/>
    <n v="2"/>
    <n v="1023.68"/>
    <n v="0"/>
    <x v="877"/>
    <n v="1204.04"/>
    <n v="843.32"/>
    <x v="1"/>
    <s v="UPI"/>
    <x v="0"/>
    <x v="0"/>
  </r>
  <r>
    <s v="ORD100880"/>
    <d v="2025-07-23T00:00:00"/>
    <x v="2"/>
    <s v="Bengaluru"/>
    <x v="5"/>
    <s v="Corporate"/>
    <x v="0"/>
    <s v="Headphones"/>
    <x v="173"/>
    <n v="14"/>
    <n v="3690.87"/>
    <n v="15"/>
    <x v="878"/>
    <n v="29602.15"/>
    <n v="14319.2"/>
    <x v="2"/>
    <s v="Net Banking"/>
    <x v="5"/>
    <x v="0"/>
  </r>
  <r>
    <s v="ORD100881"/>
    <d v="2026-01-16T00:00:00"/>
    <x v="2"/>
    <s v="Chennai"/>
    <x v="4"/>
    <s v="Small Business"/>
    <x v="2"/>
    <s v="Paper"/>
    <x v="843"/>
    <n v="14"/>
    <n v="793.21"/>
    <n v="0"/>
    <x v="879"/>
    <n v="6345.26"/>
    <n v="4759.68"/>
    <x v="2"/>
    <s v="Cash"/>
    <x v="9"/>
    <x v="1"/>
  </r>
  <r>
    <s v="ORD100882"/>
    <d v="2025-11-12T00:00:00"/>
    <x v="2"/>
    <s v="Bengaluru"/>
    <x v="2"/>
    <s v="Corporate"/>
    <x v="0"/>
    <s v="Monitor"/>
    <x v="844"/>
    <n v="15"/>
    <n v="3660.46"/>
    <n v="0"/>
    <x v="880"/>
    <n v="36877.31"/>
    <n v="18029.59"/>
    <x v="2"/>
    <s v="Card"/>
    <x v="8"/>
    <x v="0"/>
  </r>
  <r>
    <s v="ORD100883"/>
    <d v="2025-03-25T00:00:00"/>
    <x v="1"/>
    <s v="Chandigarh"/>
    <x v="0"/>
    <s v="Corporate"/>
    <x v="1"/>
    <s v="Table"/>
    <x v="845"/>
    <n v="5"/>
    <n v="3542.73"/>
    <n v="10"/>
    <x v="881"/>
    <n v="9049.51"/>
    <n v="6892.78"/>
    <x v="2"/>
    <s v="Cash"/>
    <x v="3"/>
    <x v="0"/>
  </r>
  <r>
    <s v="ORD100884"/>
    <d v="2025-08-16T00:00:00"/>
    <x v="0"/>
    <s v="Ahmedabad"/>
    <x v="3"/>
    <s v="Small Business"/>
    <x v="2"/>
    <s v="Pens"/>
    <x v="846"/>
    <n v="8"/>
    <n v="3033.64"/>
    <n v="20"/>
    <x v="882"/>
    <n v="13986.69"/>
    <n v="5428.61"/>
    <x v="1"/>
    <s v="Card"/>
    <x v="6"/>
    <x v="0"/>
  </r>
  <r>
    <s v="ORD100885"/>
    <d v="2026-04-13T00:00:00"/>
    <x v="1"/>
    <s v="Chandigarh"/>
    <x v="2"/>
    <s v="Consumer"/>
    <x v="2"/>
    <s v="Notebook"/>
    <x v="847"/>
    <n v="7"/>
    <n v="2665.79"/>
    <n v="5"/>
    <x v="883"/>
    <n v="11187.44"/>
    <n v="6540.06"/>
    <x v="1"/>
    <s v="Net Banking"/>
    <x v="7"/>
    <x v="1"/>
  </r>
  <r>
    <s v="ORD100886"/>
    <d v="2025-04-17T00:00:00"/>
    <x v="2"/>
    <s v="Bengaluru"/>
    <x v="2"/>
    <s v="Corporate"/>
    <x v="1"/>
    <s v="Bookshelf"/>
    <x v="848"/>
    <n v="12"/>
    <n v="593.89"/>
    <n v="5"/>
    <x v="884"/>
    <n v="4824.66"/>
    <n v="1945.69"/>
    <x v="0"/>
    <s v="Cash"/>
    <x v="7"/>
    <x v="0"/>
  </r>
  <r>
    <s v="ORD100887"/>
    <d v="2026-01-25T00:00:00"/>
    <x v="2"/>
    <s v="Bengaluru"/>
    <x v="4"/>
    <s v="Small Business"/>
    <x v="1"/>
    <s v="Chair"/>
    <x v="849"/>
    <n v="9"/>
    <n v="2523.89"/>
    <n v="0"/>
    <x v="885"/>
    <n v="17320.009999999998"/>
    <n v="5395"/>
    <x v="2"/>
    <s v="Card"/>
    <x v="9"/>
    <x v="1"/>
  </r>
  <r>
    <s v="ORD100888"/>
    <d v="2025-08-03T00:00:00"/>
    <x v="1"/>
    <s v="Chandigarh"/>
    <x v="2"/>
    <s v="Consumer"/>
    <x v="2"/>
    <s v="Notebook"/>
    <x v="850"/>
    <n v="1"/>
    <n v="1750.65"/>
    <n v="15"/>
    <x v="886"/>
    <n v="1202.5"/>
    <n v="285.55"/>
    <x v="2"/>
    <s v="Net Banking"/>
    <x v="6"/>
    <x v="0"/>
  </r>
  <r>
    <s v="ORD100889"/>
    <d v="2025-10-25T00:00:00"/>
    <x v="2"/>
    <s v="Bengaluru"/>
    <x v="7"/>
    <s v="Corporate"/>
    <x v="1"/>
    <s v="Chair"/>
    <x v="851"/>
    <n v="4"/>
    <n v="909.74"/>
    <n v="0"/>
    <x v="887"/>
    <n v="2505.44"/>
    <n v="1133.52"/>
    <x v="0"/>
    <s v="Card"/>
    <x v="1"/>
    <x v="0"/>
  </r>
  <r>
    <s v="ORD100890"/>
    <d v="2025-10-27T00:00:00"/>
    <x v="2"/>
    <s v="Chennai"/>
    <x v="1"/>
    <s v="Small Business"/>
    <x v="2"/>
    <s v="Printer Ink"/>
    <x v="852"/>
    <n v="8"/>
    <n v="3096.64"/>
    <n v="20"/>
    <x v="888"/>
    <n v="12369.44"/>
    <n v="7449.06"/>
    <x v="0"/>
    <s v="Net Banking"/>
    <x v="1"/>
    <x v="0"/>
  </r>
  <r>
    <s v="ORD100891"/>
    <d v="2025-06-30T00:00:00"/>
    <x v="3"/>
    <s v="Bhubaneswar"/>
    <x v="3"/>
    <s v="Consumer"/>
    <x v="1"/>
    <s v="Cabinet"/>
    <x v="853"/>
    <n v="4"/>
    <n v="1584.29"/>
    <n v="20"/>
    <x v="889"/>
    <n v="3554.23"/>
    <n v="1515.5"/>
    <x v="2"/>
    <s v="Net Banking"/>
    <x v="10"/>
    <x v="0"/>
  </r>
  <r>
    <s v="ORD100892"/>
    <d v="2025-11-10T00:00:00"/>
    <x v="2"/>
    <s v="Chennai"/>
    <x v="1"/>
    <s v="Small Business"/>
    <x v="1"/>
    <s v="Table"/>
    <x v="854"/>
    <n v="12"/>
    <n v="4011.52"/>
    <n v="5"/>
    <x v="890"/>
    <n v="34730.5"/>
    <n v="11000.83"/>
    <x v="0"/>
    <s v="Cash"/>
    <x v="8"/>
    <x v="0"/>
  </r>
  <r>
    <s v="ORD100893"/>
    <d v="2025-05-12T00:00:00"/>
    <x v="1"/>
    <s v="Delhi"/>
    <x v="5"/>
    <s v="Consumer"/>
    <x v="1"/>
    <s v="Cabinet"/>
    <x v="855"/>
    <n v="10"/>
    <n v="4758.78"/>
    <n v="5"/>
    <x v="891"/>
    <n v="27667.21"/>
    <n v="17541.2"/>
    <x v="0"/>
    <s v="Cash"/>
    <x v="0"/>
    <x v="0"/>
  </r>
  <r>
    <s v="ORD100894"/>
    <d v="2026-01-30T00:00:00"/>
    <x v="0"/>
    <s v="Ahmedabad"/>
    <x v="7"/>
    <s v="Small Business"/>
    <x v="1"/>
    <s v="Table"/>
    <x v="856"/>
    <n v="12"/>
    <n v="1165.72"/>
    <n v="0"/>
    <x v="892"/>
    <n v="11112.68"/>
    <n v="2875.96"/>
    <x v="2"/>
    <s v="Cash"/>
    <x v="9"/>
    <x v="1"/>
  </r>
  <r>
    <s v="ORD100895"/>
    <d v="2025-11-16T00:00:00"/>
    <x v="0"/>
    <s v="Mumbai"/>
    <x v="1"/>
    <s v="Small Business"/>
    <x v="0"/>
    <s v="Mouse"/>
    <x v="857"/>
    <n v="5"/>
    <n v="3882.09"/>
    <n v="15"/>
    <x v="893"/>
    <n v="12269.95"/>
    <n v="4228.93"/>
    <x v="2"/>
    <s v="Cash"/>
    <x v="8"/>
    <x v="0"/>
  </r>
  <r>
    <s v="ORD100896"/>
    <d v="2025-04-24T00:00:00"/>
    <x v="3"/>
    <s v="Kolkata"/>
    <x v="1"/>
    <s v="Small Business"/>
    <x v="0"/>
    <s v="Mouse"/>
    <x v="858"/>
    <n v="11"/>
    <n v="1919.23"/>
    <n v="5"/>
    <x v="894"/>
    <n v="13984.48"/>
    <n v="6071.47"/>
    <x v="0"/>
    <s v="UPI"/>
    <x v="7"/>
    <x v="0"/>
  </r>
  <r>
    <s v="ORD100897"/>
    <d v="2025-04-14T00:00:00"/>
    <x v="2"/>
    <s v="Bengaluru"/>
    <x v="3"/>
    <s v="Small Business"/>
    <x v="2"/>
    <s v="Pens"/>
    <x v="859"/>
    <n v="7"/>
    <n v="3617.93"/>
    <n v="5"/>
    <x v="895"/>
    <n v="14150.19"/>
    <n v="9909.0400000000009"/>
    <x v="1"/>
    <s v="Net Banking"/>
    <x v="7"/>
    <x v="0"/>
  </r>
  <r>
    <s v="ORD100898"/>
    <d v="2025-10-01T00:00:00"/>
    <x v="3"/>
    <s v="Bhubaneswar"/>
    <x v="4"/>
    <s v="Small Business"/>
    <x v="1"/>
    <s v="Bookshelf"/>
    <x v="860"/>
    <n v="8"/>
    <n v="3932.92"/>
    <n v="0"/>
    <x v="896"/>
    <n v="20690.169999999998"/>
    <n v="10773.19"/>
    <x v="1"/>
    <s v="Card"/>
    <x v="1"/>
    <x v="0"/>
  </r>
  <r>
    <s v="ORD100899"/>
    <d v="2025-01-14T00:00:00"/>
    <x v="2"/>
    <s v="Bengaluru"/>
    <x v="7"/>
    <s v="Small Business"/>
    <x v="0"/>
    <s v="Monitor"/>
    <x v="861"/>
    <n v="5"/>
    <n v="2821.55"/>
    <n v="10"/>
    <x v="897"/>
    <n v="9244.84"/>
    <n v="3452.14"/>
    <x v="0"/>
    <s v="Net Banking"/>
    <x v="9"/>
    <x v="0"/>
  </r>
  <r>
    <s v="ORD100900"/>
    <d v="2026-05-14T00:00:00"/>
    <x v="0"/>
    <s v="Ahmedabad"/>
    <x v="2"/>
    <s v="Corporate"/>
    <x v="2"/>
    <s v="Folders"/>
    <x v="862"/>
    <n v="6"/>
    <n v="2041.09"/>
    <n v="15"/>
    <x v="898"/>
    <n v="5744.77"/>
    <n v="4664.79"/>
    <x v="2"/>
    <s v="Net Banking"/>
    <x v="0"/>
    <x v="1"/>
  </r>
  <r>
    <s v="ORD100901"/>
    <d v="2026-04-20T00:00:00"/>
    <x v="3"/>
    <s v="Bhubaneswar"/>
    <x v="6"/>
    <s v="Corporate"/>
    <x v="1"/>
    <s v="Cabinet"/>
    <x v="863"/>
    <n v="7"/>
    <n v="594.51"/>
    <n v="5"/>
    <x v="899"/>
    <n v="2267.9"/>
    <n v="1685.59"/>
    <x v="0"/>
    <s v="Cash"/>
    <x v="7"/>
    <x v="1"/>
  </r>
  <r>
    <s v="ORD100902"/>
    <d v="2025-12-27T00:00:00"/>
    <x v="3"/>
    <s v="Bhubaneswar"/>
    <x v="2"/>
    <s v="Consumer"/>
    <x v="2"/>
    <s v="Folders"/>
    <x v="864"/>
    <n v="7"/>
    <n v="257.27"/>
    <n v="5"/>
    <x v="900"/>
    <n v="949.96"/>
    <n v="760.89"/>
    <x v="2"/>
    <s v="Net Banking"/>
    <x v="11"/>
    <x v="0"/>
  </r>
  <r>
    <s v="ORD100903"/>
    <d v="2026-06-14T00:00:00"/>
    <x v="2"/>
    <s v="Bengaluru"/>
    <x v="0"/>
    <s v="Corporate"/>
    <x v="2"/>
    <s v="Notebook"/>
    <x v="865"/>
    <n v="14"/>
    <n v="4373.01"/>
    <n v="20"/>
    <x v="901"/>
    <n v="35770.1"/>
    <n v="13207.61"/>
    <x v="1"/>
    <s v="Card"/>
    <x v="10"/>
    <x v="1"/>
  </r>
  <r>
    <s v="ORD100904"/>
    <d v="2025-11-23T00:00:00"/>
    <x v="3"/>
    <s v="Bhubaneswar"/>
    <x v="4"/>
    <s v="Small Business"/>
    <x v="1"/>
    <s v="Cabinet"/>
    <x v="866"/>
    <n v="15"/>
    <n v="2346.6"/>
    <n v="10"/>
    <x v="902"/>
    <n v="20073.64"/>
    <n v="11605.46"/>
    <x v="1"/>
    <s v="UPI"/>
    <x v="8"/>
    <x v="0"/>
  </r>
  <r>
    <s v="ORD100905"/>
    <d v="2025-12-24T00:00:00"/>
    <x v="1"/>
    <s v="Delhi"/>
    <x v="5"/>
    <s v="Consumer"/>
    <x v="0"/>
    <s v="Keyboard"/>
    <x v="302"/>
    <n v="11"/>
    <n v="4332.5"/>
    <n v="15"/>
    <x v="903"/>
    <n v="25641.82"/>
    <n v="14867.06"/>
    <x v="2"/>
    <s v="Card"/>
    <x v="11"/>
    <x v="0"/>
  </r>
  <r>
    <s v="ORD100906"/>
    <d v="2025-11-06T00:00:00"/>
    <x v="1"/>
    <s v="Delhi"/>
    <x v="2"/>
    <s v="Consumer"/>
    <x v="1"/>
    <s v="Chair"/>
    <x v="366"/>
    <n v="7"/>
    <n v="1938.53"/>
    <n v="0"/>
    <x v="904"/>
    <n v="7645.81"/>
    <n v="5923.9"/>
    <x v="0"/>
    <s v="UPI"/>
    <x v="8"/>
    <x v="0"/>
  </r>
  <r>
    <s v="ORD100907"/>
    <d v="2026-03-24T00:00:00"/>
    <x v="3"/>
    <s v="Kolkata"/>
    <x v="5"/>
    <s v="Corporate"/>
    <x v="0"/>
    <s v="Laptop"/>
    <x v="867"/>
    <n v="7"/>
    <n v="2591.87"/>
    <n v="10"/>
    <x v="905"/>
    <n v="11129.84"/>
    <n v="5198.9399999999996"/>
    <x v="0"/>
    <s v="Card"/>
    <x v="3"/>
    <x v="1"/>
  </r>
  <r>
    <s v="ORD100908"/>
    <d v="2026-03-21T00:00:00"/>
    <x v="1"/>
    <s v="Chandigarh"/>
    <x v="0"/>
    <s v="Small Business"/>
    <x v="2"/>
    <s v="Printer Ink"/>
    <x v="868"/>
    <n v="11"/>
    <n v="317.02999999999997"/>
    <n v="10"/>
    <x v="906"/>
    <n v="1925.42"/>
    <n v="1213.18"/>
    <x v="2"/>
    <s v="Net Banking"/>
    <x v="3"/>
    <x v="1"/>
  </r>
  <r>
    <s v="ORD100909"/>
    <d v="2026-03-08T00:00:00"/>
    <x v="1"/>
    <s v="Chandigarh"/>
    <x v="2"/>
    <s v="Corporate"/>
    <x v="1"/>
    <s v="Table"/>
    <x v="869"/>
    <n v="8"/>
    <n v="1272.9100000000001"/>
    <n v="0"/>
    <x v="907"/>
    <n v="6685.35"/>
    <n v="3497.93"/>
    <x v="2"/>
    <s v="UPI"/>
    <x v="3"/>
    <x v="1"/>
  </r>
  <r>
    <s v="ORD100910"/>
    <d v="2026-06-01T00:00:00"/>
    <x v="1"/>
    <s v="Delhi"/>
    <x v="2"/>
    <s v="Small Business"/>
    <x v="0"/>
    <s v="Keyboard"/>
    <x v="870"/>
    <n v="2"/>
    <n v="2612.8000000000002"/>
    <n v="20"/>
    <x v="908"/>
    <n v="2424.08"/>
    <n v="1756.4"/>
    <x v="0"/>
    <s v="Net Banking"/>
    <x v="10"/>
    <x v="1"/>
  </r>
  <r>
    <s v="ORD100911"/>
    <d v="2026-02-02T00:00:00"/>
    <x v="2"/>
    <s v="Bengaluru"/>
    <x v="0"/>
    <s v="Small Business"/>
    <x v="1"/>
    <s v="Cabinet"/>
    <x v="871"/>
    <n v="5"/>
    <n v="1020.67"/>
    <n v="5"/>
    <x v="909"/>
    <n v="3094.09"/>
    <n v="1754.09"/>
    <x v="1"/>
    <s v="UPI"/>
    <x v="2"/>
    <x v="1"/>
  </r>
  <r>
    <s v="ORD100912"/>
    <d v="2025-01-22T00:00:00"/>
    <x v="1"/>
    <s v="Delhi"/>
    <x v="7"/>
    <s v="Small Business"/>
    <x v="1"/>
    <s v="Bookshelf"/>
    <x v="752"/>
    <n v="6"/>
    <n v="3457.55"/>
    <n v="0"/>
    <x v="910"/>
    <n v="13814.65"/>
    <n v="6930.65"/>
    <x v="1"/>
    <s v="Net Banking"/>
    <x v="9"/>
    <x v="0"/>
  </r>
  <r>
    <s v="ORD100913"/>
    <d v="2025-08-11T00:00:00"/>
    <x v="1"/>
    <s v="Chandigarh"/>
    <x v="5"/>
    <s v="Consumer"/>
    <x v="2"/>
    <s v="Paper"/>
    <x v="872"/>
    <n v="9"/>
    <n v="1082.3800000000001"/>
    <n v="15"/>
    <x v="911"/>
    <n v="5543.58"/>
    <n v="2736.63"/>
    <x v="1"/>
    <s v="Card"/>
    <x v="6"/>
    <x v="0"/>
  </r>
  <r>
    <s v="ORD100914"/>
    <d v="2026-04-08T00:00:00"/>
    <x v="3"/>
    <s v="Kolkata"/>
    <x v="0"/>
    <s v="Small Business"/>
    <x v="2"/>
    <s v="Paper"/>
    <x v="873"/>
    <n v="10"/>
    <n v="320.16000000000003"/>
    <n v="5"/>
    <x v="912"/>
    <n v="2318.37"/>
    <n v="723.15"/>
    <x v="0"/>
    <s v="Net Banking"/>
    <x v="7"/>
    <x v="1"/>
  </r>
  <r>
    <s v="ORD100915"/>
    <d v="2026-03-27T00:00:00"/>
    <x v="3"/>
    <s v="Kolkata"/>
    <x v="2"/>
    <s v="Corporate"/>
    <x v="0"/>
    <s v="Headphones"/>
    <x v="874"/>
    <n v="5"/>
    <n v="3515.36"/>
    <n v="20"/>
    <x v="913"/>
    <n v="11433.38"/>
    <n v="2628.06"/>
    <x v="1"/>
    <s v="Cash"/>
    <x v="3"/>
    <x v="1"/>
  </r>
  <r>
    <s v="ORD100916"/>
    <d v="2026-06-14T00:00:00"/>
    <x v="1"/>
    <s v="Delhi"/>
    <x v="4"/>
    <s v="Small Business"/>
    <x v="0"/>
    <s v="Mouse"/>
    <x v="875"/>
    <n v="1"/>
    <n v="3305.19"/>
    <n v="5"/>
    <x v="914"/>
    <n v="2328.6999999999998"/>
    <n v="811.23"/>
    <x v="1"/>
    <s v="UPI"/>
    <x v="10"/>
    <x v="1"/>
  </r>
  <r>
    <s v="ORD100917"/>
    <d v="2025-10-01T00:00:00"/>
    <x v="1"/>
    <s v="Delhi"/>
    <x v="5"/>
    <s v="Consumer"/>
    <x v="2"/>
    <s v="Paper"/>
    <x v="533"/>
    <n v="13"/>
    <n v="616.66999999999996"/>
    <n v="10"/>
    <x v="915"/>
    <n v="4300.6000000000004"/>
    <n v="2914.44"/>
    <x v="2"/>
    <s v="Card"/>
    <x v="1"/>
    <x v="0"/>
  </r>
  <r>
    <s v="ORD100918"/>
    <d v="2025-05-25T00:00:00"/>
    <x v="3"/>
    <s v="Kolkata"/>
    <x v="1"/>
    <s v="Small Business"/>
    <x v="2"/>
    <s v="Printer Ink"/>
    <x v="876"/>
    <n v="7"/>
    <n v="3503.21"/>
    <n v="20"/>
    <x v="916"/>
    <n v="10906.09"/>
    <n v="8711.89"/>
    <x v="1"/>
    <s v="Cash"/>
    <x v="0"/>
    <x v="0"/>
  </r>
  <r>
    <s v="ORD100919"/>
    <d v="2026-05-27T00:00:00"/>
    <x v="3"/>
    <s v="Bhubaneswar"/>
    <x v="6"/>
    <s v="Small Business"/>
    <x v="1"/>
    <s v="Chair"/>
    <x v="877"/>
    <n v="6"/>
    <n v="4868.3500000000004"/>
    <n v="5"/>
    <x v="917"/>
    <n v="21475.200000000001"/>
    <n v="6274.4"/>
    <x v="1"/>
    <s v="Cash"/>
    <x v="0"/>
    <x v="1"/>
  </r>
  <r>
    <s v="ORD100920"/>
    <d v="2026-02-14T00:00:00"/>
    <x v="3"/>
    <s v="Kolkata"/>
    <x v="1"/>
    <s v="Consumer"/>
    <x v="0"/>
    <s v="Headphones"/>
    <x v="878"/>
    <n v="15"/>
    <n v="3538.77"/>
    <n v="20"/>
    <x v="918"/>
    <n v="30959.15"/>
    <n v="11506.09"/>
    <x v="2"/>
    <s v="Net Banking"/>
    <x v="2"/>
    <x v="1"/>
  </r>
  <r>
    <s v="ORD100921"/>
    <d v="2026-03-26T00:00:00"/>
    <x v="1"/>
    <s v="Delhi"/>
    <x v="6"/>
    <s v="Consumer"/>
    <x v="1"/>
    <s v="Cabinet"/>
    <x v="879"/>
    <n v="4"/>
    <n v="1661.74"/>
    <n v="20"/>
    <x v="919"/>
    <n v="4269"/>
    <n v="1048.57"/>
    <x v="2"/>
    <s v="UPI"/>
    <x v="3"/>
    <x v="1"/>
  </r>
  <r>
    <s v="ORD100922"/>
    <d v="2026-05-28T00:00:00"/>
    <x v="0"/>
    <s v="Mumbai"/>
    <x v="6"/>
    <s v="Corporate"/>
    <x v="2"/>
    <s v="Pens"/>
    <x v="880"/>
    <n v="2"/>
    <n v="2613.35"/>
    <n v="0"/>
    <x v="920"/>
    <n v="3645.18"/>
    <n v="1581.52"/>
    <x v="0"/>
    <s v="UPI"/>
    <x v="0"/>
    <x v="1"/>
  </r>
  <r>
    <s v="ORD100923"/>
    <d v="2025-12-10T00:00:00"/>
    <x v="0"/>
    <s v="Mumbai"/>
    <x v="4"/>
    <s v="Small Business"/>
    <x v="2"/>
    <s v="Pens"/>
    <x v="881"/>
    <n v="13"/>
    <n v="1039.1400000000001"/>
    <n v="5"/>
    <x v="921"/>
    <n v="8576.76"/>
    <n v="4256.62"/>
    <x v="1"/>
    <s v="Card"/>
    <x v="11"/>
    <x v="0"/>
  </r>
  <r>
    <s v="ORD100924"/>
    <d v="2025-11-25T00:00:00"/>
    <x v="2"/>
    <s v="Bengaluru"/>
    <x v="1"/>
    <s v="Consumer"/>
    <x v="1"/>
    <s v="Table"/>
    <x v="882"/>
    <n v="2"/>
    <n v="957.81"/>
    <n v="0"/>
    <x v="922"/>
    <n v="1228.71"/>
    <n v="686.91"/>
    <x v="1"/>
    <s v="UPI"/>
    <x v="8"/>
    <x v="0"/>
  </r>
  <r>
    <s v="ORD100925"/>
    <d v="2025-09-06T00:00:00"/>
    <x v="2"/>
    <s v="Chennai"/>
    <x v="1"/>
    <s v="Small Business"/>
    <x v="0"/>
    <s v="Headphones"/>
    <x v="883"/>
    <n v="9"/>
    <n v="2740.77"/>
    <n v="15"/>
    <x v="923"/>
    <n v="12202.22"/>
    <n v="8764.67"/>
    <x v="1"/>
    <s v="Net Banking"/>
    <x v="4"/>
    <x v="0"/>
  </r>
  <r>
    <s v="ORD100926"/>
    <d v="2025-02-08T00:00:00"/>
    <x v="1"/>
    <s v="Delhi"/>
    <x v="0"/>
    <s v="Corporate"/>
    <x v="0"/>
    <s v="Monitor"/>
    <x v="884"/>
    <n v="15"/>
    <n v="1973.06"/>
    <n v="5"/>
    <x v="924"/>
    <n v="20038.3"/>
    <n v="8077.8"/>
    <x v="2"/>
    <s v="UPI"/>
    <x v="2"/>
    <x v="0"/>
  </r>
  <r>
    <s v="ORD100927"/>
    <d v="2025-05-15T00:00:00"/>
    <x v="0"/>
    <s v="Ahmedabad"/>
    <x v="2"/>
    <s v="Consumer"/>
    <x v="2"/>
    <s v="Paper"/>
    <x v="885"/>
    <n v="12"/>
    <n v="842.93"/>
    <n v="10"/>
    <x v="925"/>
    <n v="5138.47"/>
    <n v="3965.17"/>
    <x v="0"/>
    <s v="UPI"/>
    <x v="0"/>
    <x v="0"/>
  </r>
  <r>
    <s v="ORD100928"/>
    <d v="2025-04-06T00:00:00"/>
    <x v="3"/>
    <s v="Kolkata"/>
    <x v="7"/>
    <s v="Consumer"/>
    <x v="0"/>
    <s v="Keyboard"/>
    <x v="886"/>
    <n v="6"/>
    <n v="4151.76"/>
    <n v="20"/>
    <x v="926"/>
    <n v="13855.08"/>
    <n v="6073.37"/>
    <x v="1"/>
    <s v="Card"/>
    <x v="7"/>
    <x v="0"/>
  </r>
  <r>
    <s v="ORD100929"/>
    <d v="2026-05-28T00:00:00"/>
    <x v="1"/>
    <s v="Delhi"/>
    <x v="2"/>
    <s v="Consumer"/>
    <x v="0"/>
    <s v="Headphones"/>
    <x v="887"/>
    <n v="5"/>
    <n v="548.79999999999995"/>
    <n v="0"/>
    <x v="927"/>
    <n v="2231.46"/>
    <n v="512.54"/>
    <x v="1"/>
    <s v="Card"/>
    <x v="0"/>
    <x v="1"/>
  </r>
  <r>
    <s v="ORD100930"/>
    <d v="2025-01-12T00:00:00"/>
    <x v="3"/>
    <s v="Bhubaneswar"/>
    <x v="1"/>
    <s v="Corporate"/>
    <x v="1"/>
    <s v="Desk"/>
    <x v="888"/>
    <n v="10"/>
    <n v="2459.0300000000002"/>
    <n v="15"/>
    <x v="928"/>
    <n v="13318.21"/>
    <n v="7583.55"/>
    <x v="1"/>
    <s v="Net Banking"/>
    <x v="9"/>
    <x v="0"/>
  </r>
  <r>
    <s v="ORD100931"/>
    <d v="2025-05-25T00:00:00"/>
    <x v="3"/>
    <s v="Kolkata"/>
    <x v="5"/>
    <s v="Corporate"/>
    <x v="0"/>
    <s v="Mouse"/>
    <x v="889"/>
    <n v="1"/>
    <n v="4479.53"/>
    <n v="0"/>
    <x v="929"/>
    <n v="2811.93"/>
    <n v="1667.6"/>
    <x v="0"/>
    <s v="UPI"/>
    <x v="0"/>
    <x v="0"/>
  </r>
  <r>
    <s v="ORD100932"/>
    <d v="2025-05-31T00:00:00"/>
    <x v="0"/>
    <s v="Mumbai"/>
    <x v="5"/>
    <s v="Consumer"/>
    <x v="1"/>
    <s v="Bookshelf"/>
    <x v="890"/>
    <n v="7"/>
    <n v="3281.06"/>
    <n v="15"/>
    <x v="930"/>
    <n v="15319.07"/>
    <n v="4203.24"/>
    <x v="2"/>
    <s v="Cash"/>
    <x v="0"/>
    <x v="0"/>
  </r>
  <r>
    <s v="ORD100933"/>
    <d v="2025-05-06T00:00:00"/>
    <x v="3"/>
    <s v="Kolkata"/>
    <x v="7"/>
    <s v="Small Business"/>
    <x v="2"/>
    <s v="Pens"/>
    <x v="891"/>
    <n v="10"/>
    <n v="3381.93"/>
    <n v="10"/>
    <x v="931"/>
    <n v="21717.99"/>
    <n v="8719.3799999999992"/>
    <x v="0"/>
    <s v="UPI"/>
    <x v="0"/>
    <x v="0"/>
  </r>
  <r>
    <s v="ORD100934"/>
    <d v="2025-03-20T00:00:00"/>
    <x v="2"/>
    <s v="Bengaluru"/>
    <x v="3"/>
    <s v="Consumer"/>
    <x v="1"/>
    <s v="Bookshelf"/>
    <x v="892"/>
    <n v="8"/>
    <n v="3970.71"/>
    <n v="5"/>
    <x v="932"/>
    <n v="21810.6"/>
    <n v="8366.7999999999993"/>
    <x v="0"/>
    <s v="UPI"/>
    <x v="3"/>
    <x v="0"/>
  </r>
  <r>
    <s v="ORD100935"/>
    <d v="2025-02-07T00:00:00"/>
    <x v="2"/>
    <s v="Chennai"/>
    <x v="2"/>
    <s v="Consumer"/>
    <x v="2"/>
    <s v="Pens"/>
    <x v="893"/>
    <n v="9"/>
    <n v="4969.42"/>
    <n v="20"/>
    <x v="933"/>
    <n v="24015.11"/>
    <n v="11764.71"/>
    <x v="1"/>
    <s v="Cash"/>
    <x v="2"/>
    <x v="0"/>
  </r>
  <r>
    <s v="ORD100936"/>
    <d v="2026-02-25T00:00:00"/>
    <x v="0"/>
    <s v="Ahmedabad"/>
    <x v="2"/>
    <s v="Small Business"/>
    <x v="1"/>
    <s v="Chair"/>
    <x v="894"/>
    <n v="8"/>
    <n v="1080.8900000000001"/>
    <n v="5"/>
    <x v="934"/>
    <n v="6449.48"/>
    <n v="1765.28"/>
    <x v="2"/>
    <s v="Net Banking"/>
    <x v="2"/>
    <x v="1"/>
  </r>
  <r>
    <s v="ORD100937"/>
    <d v="2026-04-24T00:00:00"/>
    <x v="0"/>
    <s v="Ahmedabad"/>
    <x v="2"/>
    <s v="Consumer"/>
    <x v="2"/>
    <s v="Pens"/>
    <x v="895"/>
    <n v="7"/>
    <n v="1571.19"/>
    <n v="10"/>
    <x v="935"/>
    <n v="5548.24"/>
    <n v="4350.26"/>
    <x v="2"/>
    <s v="Net Banking"/>
    <x v="7"/>
    <x v="1"/>
  </r>
  <r>
    <s v="ORD100938"/>
    <d v="2025-12-16T00:00:00"/>
    <x v="1"/>
    <s v="Delhi"/>
    <x v="3"/>
    <s v="Corporate"/>
    <x v="1"/>
    <s v="Cabinet"/>
    <x v="896"/>
    <n v="2"/>
    <n v="3300.22"/>
    <n v="15"/>
    <x v="936"/>
    <n v="4330.62"/>
    <n v="1279.75"/>
    <x v="0"/>
    <s v="UPI"/>
    <x v="11"/>
    <x v="0"/>
  </r>
  <r>
    <s v="ORD100939"/>
    <d v="2026-03-22T00:00:00"/>
    <x v="3"/>
    <s v="Bhubaneswar"/>
    <x v="3"/>
    <s v="Consumer"/>
    <x v="1"/>
    <s v="Bookshelf"/>
    <x v="897"/>
    <n v="2"/>
    <n v="1475.19"/>
    <n v="0"/>
    <x v="937"/>
    <n v="1947.64"/>
    <n v="1002.74"/>
    <x v="1"/>
    <s v="Net Banking"/>
    <x v="3"/>
    <x v="1"/>
  </r>
  <r>
    <s v="ORD100940"/>
    <d v="2026-02-04T00:00:00"/>
    <x v="3"/>
    <s v="Kolkata"/>
    <x v="1"/>
    <s v="Corporate"/>
    <x v="1"/>
    <s v="Bookshelf"/>
    <x v="898"/>
    <n v="10"/>
    <n v="4074.51"/>
    <n v="0"/>
    <x v="938"/>
    <n v="27165.31"/>
    <n v="13579.79"/>
    <x v="2"/>
    <s v="Cash"/>
    <x v="2"/>
    <x v="1"/>
  </r>
  <r>
    <s v="ORD100941"/>
    <d v="2026-06-30T00:00:00"/>
    <x v="3"/>
    <s v="Bhubaneswar"/>
    <x v="3"/>
    <s v="Corporate"/>
    <x v="0"/>
    <s v="Headphones"/>
    <x v="899"/>
    <n v="5"/>
    <n v="3687.14"/>
    <n v="15"/>
    <x v="939"/>
    <n v="11704.8"/>
    <n v="3965.54"/>
    <x v="1"/>
    <s v="Cash"/>
    <x v="10"/>
    <x v="1"/>
  </r>
  <r>
    <s v="ORD100942"/>
    <d v="2025-07-15T00:00:00"/>
    <x v="2"/>
    <s v="Bengaluru"/>
    <x v="2"/>
    <s v="Small Business"/>
    <x v="0"/>
    <s v="Keyboard"/>
    <x v="206"/>
    <n v="1"/>
    <n v="2213.21"/>
    <n v="10"/>
    <x v="940"/>
    <n v="1557.72"/>
    <n v="434.17"/>
    <x v="1"/>
    <s v="Card"/>
    <x v="5"/>
    <x v="0"/>
  </r>
  <r>
    <s v="ORD100943"/>
    <d v="2025-10-01T00:00:00"/>
    <x v="2"/>
    <s v="Chennai"/>
    <x v="4"/>
    <s v="Consumer"/>
    <x v="0"/>
    <s v="Mouse"/>
    <x v="900"/>
    <n v="2"/>
    <n v="946.46"/>
    <n v="15"/>
    <x v="941"/>
    <n v="1076.8800000000001"/>
    <n v="532.1"/>
    <x v="2"/>
    <s v="UPI"/>
    <x v="1"/>
    <x v="0"/>
  </r>
  <r>
    <s v="ORD100944"/>
    <d v="2026-03-12T00:00:00"/>
    <x v="2"/>
    <s v="Chennai"/>
    <x v="1"/>
    <s v="Corporate"/>
    <x v="2"/>
    <s v="Pens"/>
    <x v="901"/>
    <n v="13"/>
    <n v="1619.36"/>
    <n v="0"/>
    <x v="942"/>
    <n v="14579.1"/>
    <n v="6472.58"/>
    <x v="1"/>
    <s v="Net Banking"/>
    <x v="3"/>
    <x v="1"/>
  </r>
  <r>
    <s v="ORD100945"/>
    <d v="2025-04-14T00:00:00"/>
    <x v="3"/>
    <s v="Bhubaneswar"/>
    <x v="0"/>
    <s v="Corporate"/>
    <x v="2"/>
    <s v="Folders"/>
    <x v="902"/>
    <n v="7"/>
    <n v="2440.44"/>
    <n v="0"/>
    <x v="943"/>
    <n v="13487.03"/>
    <n v="3596.05"/>
    <x v="0"/>
    <s v="Cash"/>
    <x v="7"/>
    <x v="0"/>
  </r>
  <r>
    <s v="ORD100946"/>
    <d v="2025-07-17T00:00:00"/>
    <x v="0"/>
    <s v="Ahmedabad"/>
    <x v="7"/>
    <s v="Corporate"/>
    <x v="0"/>
    <s v="Mouse"/>
    <x v="903"/>
    <n v="14"/>
    <n v="2325.61"/>
    <n v="0"/>
    <x v="944"/>
    <n v="23539.38"/>
    <n v="9019.16"/>
    <x v="1"/>
    <s v="Cash"/>
    <x v="5"/>
    <x v="0"/>
  </r>
  <r>
    <s v="ORD100947"/>
    <d v="2025-05-10T00:00:00"/>
    <x v="0"/>
    <s v="Ahmedabad"/>
    <x v="5"/>
    <s v="Consumer"/>
    <x v="2"/>
    <s v="Folders"/>
    <x v="904"/>
    <n v="10"/>
    <n v="396.86"/>
    <n v="5"/>
    <x v="945"/>
    <n v="2528.06"/>
    <n v="1242.1099999999999"/>
    <x v="0"/>
    <s v="Cash"/>
    <x v="0"/>
    <x v="0"/>
  </r>
  <r>
    <s v="ORD100948"/>
    <d v="2025-05-03T00:00:00"/>
    <x v="2"/>
    <s v="Bengaluru"/>
    <x v="1"/>
    <s v="Corporate"/>
    <x v="2"/>
    <s v="Paper"/>
    <x v="905"/>
    <n v="13"/>
    <n v="1624.24"/>
    <n v="0"/>
    <x v="946"/>
    <n v="15670.66"/>
    <n v="5444.46"/>
    <x v="0"/>
    <s v="Cash"/>
    <x v="0"/>
    <x v="0"/>
  </r>
  <r>
    <s v="ORD100949"/>
    <d v="2025-01-06T00:00:00"/>
    <x v="2"/>
    <s v="Bengaluru"/>
    <x v="4"/>
    <s v="Corporate"/>
    <x v="1"/>
    <s v="Chair"/>
    <x v="906"/>
    <n v="8"/>
    <n v="3419.3"/>
    <n v="20"/>
    <x v="947"/>
    <n v="15559.3"/>
    <n v="6324.22"/>
    <x v="2"/>
    <s v="Cash"/>
    <x v="9"/>
    <x v="0"/>
  </r>
  <r>
    <s v="ORD100950"/>
    <d v="2025-07-01T00:00:00"/>
    <x v="0"/>
    <s v="Ahmedabad"/>
    <x v="7"/>
    <s v="Consumer"/>
    <x v="0"/>
    <s v="Mouse"/>
    <x v="907"/>
    <n v="12"/>
    <n v="3021.86"/>
    <n v="20"/>
    <x v="948"/>
    <n v="23734.45"/>
    <n v="5275.41"/>
    <x v="2"/>
    <s v="Card"/>
    <x v="5"/>
    <x v="0"/>
  </r>
  <r>
    <s v="ORD100951"/>
    <d v="2026-06-29T00:00:00"/>
    <x v="3"/>
    <s v="Bhubaneswar"/>
    <x v="6"/>
    <s v="Corporate"/>
    <x v="1"/>
    <s v="Desk"/>
    <x v="908"/>
    <n v="14"/>
    <n v="817.64"/>
    <n v="5"/>
    <x v="949"/>
    <n v="6718.25"/>
    <n v="4156.3599999999997"/>
    <x v="0"/>
    <s v="Card"/>
    <x v="10"/>
    <x v="1"/>
  </r>
  <r>
    <s v="ORD100952"/>
    <d v="2026-01-13T00:00:00"/>
    <x v="2"/>
    <s v="Chennai"/>
    <x v="6"/>
    <s v="Corporate"/>
    <x v="1"/>
    <s v="Cabinet"/>
    <x v="909"/>
    <n v="9"/>
    <n v="2607.2399999999998"/>
    <n v="20"/>
    <x v="950"/>
    <n v="12446.7"/>
    <n v="6325.43"/>
    <x v="2"/>
    <s v="UPI"/>
    <x v="9"/>
    <x v="1"/>
  </r>
  <r>
    <s v="ORD100953"/>
    <d v="2025-06-08T00:00:00"/>
    <x v="1"/>
    <s v="Delhi"/>
    <x v="2"/>
    <s v="Corporate"/>
    <x v="1"/>
    <s v="Bookshelf"/>
    <x v="910"/>
    <n v="2"/>
    <n v="4572.71"/>
    <n v="15"/>
    <x v="951"/>
    <n v="6083.77"/>
    <n v="1689.84"/>
    <x v="1"/>
    <s v="Net Banking"/>
    <x v="10"/>
    <x v="0"/>
  </r>
  <r>
    <s v="ORD100954"/>
    <d v="2025-01-05T00:00:00"/>
    <x v="3"/>
    <s v="Kolkata"/>
    <x v="4"/>
    <s v="Small Business"/>
    <x v="1"/>
    <s v="Cabinet"/>
    <x v="911"/>
    <n v="2"/>
    <n v="1373.46"/>
    <n v="15"/>
    <x v="952"/>
    <n v="1887.61"/>
    <n v="447.27"/>
    <x v="2"/>
    <s v="UPI"/>
    <x v="9"/>
    <x v="0"/>
  </r>
  <r>
    <s v="ORD100955"/>
    <d v="2025-11-19T00:00:00"/>
    <x v="3"/>
    <s v="Bhubaneswar"/>
    <x v="4"/>
    <s v="Consumer"/>
    <x v="1"/>
    <s v="Table"/>
    <x v="912"/>
    <n v="2"/>
    <n v="3636.42"/>
    <n v="15"/>
    <x v="953"/>
    <n v="3855.1"/>
    <n v="2326.81"/>
    <x v="0"/>
    <s v="Card"/>
    <x v="8"/>
    <x v="0"/>
  </r>
  <r>
    <s v="ORD100956"/>
    <d v="2026-01-10T00:00:00"/>
    <x v="1"/>
    <s v="Chandigarh"/>
    <x v="0"/>
    <s v="Consumer"/>
    <x v="2"/>
    <s v="Paper"/>
    <x v="913"/>
    <n v="10"/>
    <n v="2228.86"/>
    <n v="0"/>
    <x v="954"/>
    <n v="17699.29"/>
    <n v="4589.3100000000004"/>
    <x v="2"/>
    <s v="Net Banking"/>
    <x v="9"/>
    <x v="1"/>
  </r>
  <r>
    <s v="ORD100957"/>
    <d v="2025-03-12T00:00:00"/>
    <x v="2"/>
    <s v="Bengaluru"/>
    <x v="4"/>
    <s v="Consumer"/>
    <x v="2"/>
    <s v="Printer Ink"/>
    <x v="914"/>
    <n v="8"/>
    <n v="1001.84"/>
    <n v="0"/>
    <x v="955"/>
    <n v="6153.26"/>
    <n v="1861.46"/>
    <x v="2"/>
    <s v="Net Banking"/>
    <x v="3"/>
    <x v="0"/>
  </r>
  <r>
    <s v="ORD100958"/>
    <d v="2026-06-13T00:00:00"/>
    <x v="0"/>
    <s v="Ahmedabad"/>
    <x v="6"/>
    <s v="Consumer"/>
    <x v="2"/>
    <s v="Folders"/>
    <x v="915"/>
    <n v="4"/>
    <n v="2721.28"/>
    <n v="15"/>
    <x v="956"/>
    <n v="5796.58"/>
    <n v="3455.77"/>
    <x v="2"/>
    <s v="Net Banking"/>
    <x v="10"/>
    <x v="1"/>
  </r>
  <r>
    <s v="ORD100959"/>
    <d v="2026-03-30T00:00:00"/>
    <x v="1"/>
    <s v="Chandigarh"/>
    <x v="3"/>
    <s v="Corporate"/>
    <x v="1"/>
    <s v="Bookshelf"/>
    <x v="192"/>
    <n v="9"/>
    <n v="4965.1000000000004"/>
    <n v="15"/>
    <x v="957"/>
    <n v="25346.799999999999"/>
    <n v="12636.21"/>
    <x v="1"/>
    <s v="Net Banking"/>
    <x v="3"/>
    <x v="1"/>
  </r>
  <r>
    <s v="ORD100960"/>
    <d v="2025-08-31T00:00:00"/>
    <x v="1"/>
    <s v="Delhi"/>
    <x v="4"/>
    <s v="Corporate"/>
    <x v="1"/>
    <s v="Desk"/>
    <x v="916"/>
    <n v="14"/>
    <n v="4771.1099999999997"/>
    <n v="10"/>
    <x v="958"/>
    <n v="36115.29"/>
    <n v="24000.7"/>
    <x v="1"/>
    <s v="Net Banking"/>
    <x v="6"/>
    <x v="0"/>
  </r>
  <r>
    <s v="ORD100961"/>
    <d v="2025-07-17T00:00:00"/>
    <x v="2"/>
    <s v="Chennai"/>
    <x v="2"/>
    <s v="Consumer"/>
    <x v="0"/>
    <s v="Headphones"/>
    <x v="917"/>
    <n v="8"/>
    <n v="1566.24"/>
    <n v="10"/>
    <x v="959"/>
    <n v="7024.37"/>
    <n v="4252.5600000000004"/>
    <x v="2"/>
    <s v="Card"/>
    <x v="5"/>
    <x v="0"/>
  </r>
  <r>
    <s v="ORD100962"/>
    <d v="2025-08-21T00:00:00"/>
    <x v="1"/>
    <s v="Chandigarh"/>
    <x v="2"/>
    <s v="Consumer"/>
    <x v="0"/>
    <s v="Monitor"/>
    <x v="918"/>
    <n v="1"/>
    <n v="1232.6199999999999"/>
    <n v="10"/>
    <x v="960"/>
    <n v="743.38"/>
    <n v="365.98"/>
    <x v="0"/>
    <s v="Card"/>
    <x v="6"/>
    <x v="0"/>
  </r>
  <r>
    <s v="ORD100963"/>
    <d v="2025-09-11T00:00:00"/>
    <x v="2"/>
    <s v="Chennai"/>
    <x v="5"/>
    <s v="Corporate"/>
    <x v="2"/>
    <s v="Pens"/>
    <x v="919"/>
    <n v="11"/>
    <n v="2919.88"/>
    <n v="10"/>
    <x v="961"/>
    <n v="21788.15"/>
    <n v="7118.66"/>
    <x v="2"/>
    <s v="Cash"/>
    <x v="4"/>
    <x v="0"/>
  </r>
  <r>
    <s v="ORD100964"/>
    <d v="2026-02-12T00:00:00"/>
    <x v="3"/>
    <s v="Bhubaneswar"/>
    <x v="3"/>
    <s v="Consumer"/>
    <x v="0"/>
    <s v="Monitor"/>
    <x v="920"/>
    <n v="12"/>
    <n v="746.75"/>
    <n v="20"/>
    <x v="962"/>
    <n v="5555.87"/>
    <n v="1612.93"/>
    <x v="1"/>
    <s v="Cash"/>
    <x v="2"/>
    <x v="1"/>
  </r>
  <r>
    <s v="ORD100965"/>
    <d v="2025-06-02T00:00:00"/>
    <x v="3"/>
    <s v="Bhubaneswar"/>
    <x v="7"/>
    <s v="Small Business"/>
    <x v="0"/>
    <s v="Laptop"/>
    <x v="921"/>
    <n v="1"/>
    <n v="1872.79"/>
    <n v="5"/>
    <x v="963"/>
    <n v="1053.5999999999999"/>
    <n v="725.55"/>
    <x v="2"/>
    <s v="Card"/>
    <x v="10"/>
    <x v="0"/>
  </r>
  <r>
    <s v="ORD100966"/>
    <d v="2025-09-10T00:00:00"/>
    <x v="3"/>
    <s v="Bhubaneswar"/>
    <x v="4"/>
    <s v="Corporate"/>
    <x v="2"/>
    <s v="Folders"/>
    <x v="922"/>
    <n v="8"/>
    <n v="4870.26"/>
    <n v="10"/>
    <x v="964"/>
    <n v="20580.849999999999"/>
    <n v="14485.02"/>
    <x v="2"/>
    <s v="Cash"/>
    <x v="4"/>
    <x v="0"/>
  </r>
  <r>
    <s v="ORD100967"/>
    <d v="2025-09-20T00:00:00"/>
    <x v="2"/>
    <s v="Bengaluru"/>
    <x v="5"/>
    <s v="Corporate"/>
    <x v="2"/>
    <s v="Printer Ink"/>
    <x v="923"/>
    <n v="2"/>
    <n v="4138.5600000000004"/>
    <n v="20"/>
    <x v="965"/>
    <n v="4344.17"/>
    <n v="2277.5300000000002"/>
    <x v="2"/>
    <s v="Net Banking"/>
    <x v="4"/>
    <x v="0"/>
  </r>
  <r>
    <s v="ORD100968"/>
    <d v="2025-11-11T00:00:00"/>
    <x v="2"/>
    <s v="Chennai"/>
    <x v="7"/>
    <s v="Consumer"/>
    <x v="0"/>
    <s v="Laptop"/>
    <x v="924"/>
    <n v="12"/>
    <n v="1288.94"/>
    <n v="20"/>
    <x v="966"/>
    <n v="7543.6"/>
    <n v="4830.22"/>
    <x v="1"/>
    <s v="Net Banking"/>
    <x v="8"/>
    <x v="0"/>
  </r>
  <r>
    <s v="ORD100969"/>
    <d v="2026-06-28T00:00:00"/>
    <x v="1"/>
    <s v="Chandigarh"/>
    <x v="0"/>
    <s v="Corporate"/>
    <x v="0"/>
    <s v="Monitor"/>
    <x v="925"/>
    <n v="6"/>
    <n v="4938.95"/>
    <n v="20"/>
    <x v="967"/>
    <n v="18154.09"/>
    <n v="5552.87"/>
    <x v="1"/>
    <s v="UPI"/>
    <x v="10"/>
    <x v="1"/>
  </r>
  <r>
    <s v="ORD100970"/>
    <d v="2025-02-26T00:00:00"/>
    <x v="0"/>
    <s v="Mumbai"/>
    <x v="1"/>
    <s v="Small Business"/>
    <x v="2"/>
    <s v="Notebook"/>
    <x v="926"/>
    <n v="15"/>
    <n v="661.68"/>
    <n v="10"/>
    <x v="968"/>
    <n v="5725.59"/>
    <n v="3207.09"/>
    <x v="2"/>
    <s v="Cash"/>
    <x v="2"/>
    <x v="0"/>
  </r>
  <r>
    <s v="ORD100971"/>
    <d v="2025-04-02T00:00:00"/>
    <x v="1"/>
    <s v="Delhi"/>
    <x v="2"/>
    <s v="Consumer"/>
    <x v="1"/>
    <s v="Desk"/>
    <x v="927"/>
    <n v="5"/>
    <n v="3282.1"/>
    <n v="15"/>
    <x v="969"/>
    <n v="9337.23"/>
    <n v="4611.6899999999996"/>
    <x v="2"/>
    <s v="Cash"/>
    <x v="7"/>
    <x v="0"/>
  </r>
  <r>
    <s v="ORD100972"/>
    <d v="2026-06-07T00:00:00"/>
    <x v="3"/>
    <s v="Kolkata"/>
    <x v="2"/>
    <s v="Consumer"/>
    <x v="1"/>
    <s v="Cabinet"/>
    <x v="928"/>
    <n v="5"/>
    <n v="1713.16"/>
    <n v="15"/>
    <x v="970"/>
    <n v="4328.01"/>
    <n v="2952.92"/>
    <x v="2"/>
    <s v="UPI"/>
    <x v="10"/>
    <x v="1"/>
  </r>
  <r>
    <s v="ORD100973"/>
    <d v="2025-10-04T00:00:00"/>
    <x v="2"/>
    <s v="Chennai"/>
    <x v="5"/>
    <s v="Small Business"/>
    <x v="1"/>
    <s v="Bookshelf"/>
    <x v="929"/>
    <n v="2"/>
    <n v="2900.33"/>
    <n v="5"/>
    <x v="971"/>
    <n v="3942.01"/>
    <n v="1568.62"/>
    <x v="1"/>
    <s v="Net Banking"/>
    <x v="1"/>
    <x v="0"/>
  </r>
  <r>
    <s v="ORD100974"/>
    <d v="2026-06-19T00:00:00"/>
    <x v="0"/>
    <s v="Mumbai"/>
    <x v="3"/>
    <s v="Consumer"/>
    <x v="0"/>
    <s v="Monitor"/>
    <x v="930"/>
    <n v="6"/>
    <n v="2323.7600000000002"/>
    <n v="10"/>
    <x v="972"/>
    <n v="10120.44"/>
    <n v="2427.86"/>
    <x v="2"/>
    <s v="Net Banking"/>
    <x v="10"/>
    <x v="1"/>
  </r>
  <r>
    <s v="ORD100975"/>
    <d v="2025-10-10T00:00:00"/>
    <x v="2"/>
    <s v="Bengaluru"/>
    <x v="2"/>
    <s v="Corporate"/>
    <x v="0"/>
    <s v="Keyboard"/>
    <x v="931"/>
    <n v="11"/>
    <n v="1048.82"/>
    <n v="0"/>
    <x v="973"/>
    <n v="9128.82"/>
    <n v="2408.1999999999998"/>
    <x v="2"/>
    <s v="Cash"/>
    <x v="1"/>
    <x v="0"/>
  </r>
  <r>
    <s v="ORD100976"/>
    <d v="2025-10-24T00:00:00"/>
    <x v="0"/>
    <s v="Mumbai"/>
    <x v="1"/>
    <s v="Small Business"/>
    <x v="0"/>
    <s v="Mouse"/>
    <x v="932"/>
    <n v="13"/>
    <n v="1813.5"/>
    <n v="15"/>
    <x v="974"/>
    <n v="11711.98"/>
    <n v="8327.19"/>
    <x v="2"/>
    <s v="UPI"/>
    <x v="1"/>
    <x v="0"/>
  </r>
  <r>
    <s v="ORD100977"/>
    <d v="2025-03-24T00:00:00"/>
    <x v="3"/>
    <s v="Bhubaneswar"/>
    <x v="5"/>
    <s v="Consumer"/>
    <x v="0"/>
    <s v="Laptop"/>
    <x v="933"/>
    <n v="7"/>
    <n v="4574.03"/>
    <n v="15"/>
    <x v="975"/>
    <n v="19005.73"/>
    <n v="8209.75"/>
    <x v="2"/>
    <s v="Card"/>
    <x v="3"/>
    <x v="0"/>
  </r>
  <r>
    <s v="ORD100978"/>
    <d v="2026-04-28T00:00:00"/>
    <x v="3"/>
    <s v="Kolkata"/>
    <x v="6"/>
    <s v="Consumer"/>
    <x v="1"/>
    <s v="Cabinet"/>
    <x v="934"/>
    <n v="7"/>
    <n v="3812.81"/>
    <n v="10"/>
    <x v="976"/>
    <n v="15085.36"/>
    <n v="8935.34"/>
    <x v="0"/>
    <s v="Cash"/>
    <x v="7"/>
    <x v="1"/>
  </r>
  <r>
    <s v="ORD100979"/>
    <d v="2026-03-30T00:00:00"/>
    <x v="3"/>
    <s v="Kolkata"/>
    <x v="5"/>
    <s v="Small Business"/>
    <x v="2"/>
    <s v="Folders"/>
    <x v="935"/>
    <n v="15"/>
    <n v="2896.03"/>
    <n v="15"/>
    <x v="977"/>
    <n v="26547.52"/>
    <n v="10376.86"/>
    <x v="2"/>
    <s v="UPI"/>
    <x v="3"/>
    <x v="1"/>
  </r>
  <r>
    <s v="ORD100980"/>
    <d v="2026-03-30T00:00:00"/>
    <x v="2"/>
    <s v="Bengaluru"/>
    <x v="2"/>
    <s v="Consumer"/>
    <x v="2"/>
    <s v="Paper"/>
    <x v="936"/>
    <n v="9"/>
    <n v="2549.0100000000002"/>
    <n v="20"/>
    <x v="978"/>
    <n v="11037.53"/>
    <n v="7315.34"/>
    <x v="0"/>
    <s v="Cash"/>
    <x v="3"/>
    <x v="1"/>
  </r>
  <r>
    <s v="ORD100981"/>
    <d v="2025-05-14T00:00:00"/>
    <x v="3"/>
    <s v="Bhubaneswar"/>
    <x v="4"/>
    <s v="Small Business"/>
    <x v="2"/>
    <s v="Paper"/>
    <x v="937"/>
    <n v="11"/>
    <n v="1248.79"/>
    <n v="5"/>
    <x v="979"/>
    <n v="9951.9599999999991"/>
    <n v="3097.9"/>
    <x v="2"/>
    <s v="Net Banking"/>
    <x v="0"/>
    <x v="0"/>
  </r>
  <r>
    <s v="ORD100982"/>
    <d v="2025-08-25T00:00:00"/>
    <x v="1"/>
    <s v="Chandigarh"/>
    <x v="0"/>
    <s v="Consumer"/>
    <x v="1"/>
    <s v="Desk"/>
    <x v="938"/>
    <n v="11"/>
    <n v="2871.86"/>
    <n v="20"/>
    <x v="980"/>
    <n v="17528.43"/>
    <n v="7743.94"/>
    <x v="1"/>
    <s v="Net Banking"/>
    <x v="6"/>
    <x v="0"/>
  </r>
  <r>
    <s v="ORD100983"/>
    <d v="2025-04-22T00:00:00"/>
    <x v="1"/>
    <s v="Delhi"/>
    <x v="3"/>
    <s v="Small Business"/>
    <x v="1"/>
    <s v="Cabinet"/>
    <x v="939"/>
    <n v="15"/>
    <n v="4155.51"/>
    <n v="20"/>
    <x v="981"/>
    <n v="38016.800000000003"/>
    <n v="11849.32"/>
    <x v="1"/>
    <s v="Cash"/>
    <x v="7"/>
    <x v="0"/>
  </r>
  <r>
    <s v="ORD100984"/>
    <d v="2026-04-05T00:00:00"/>
    <x v="2"/>
    <s v="Bengaluru"/>
    <x v="2"/>
    <s v="Consumer"/>
    <x v="2"/>
    <s v="Folders"/>
    <x v="940"/>
    <n v="12"/>
    <n v="354.83"/>
    <n v="0"/>
    <x v="982"/>
    <n v="2366.91"/>
    <n v="1891.05"/>
    <x v="1"/>
    <s v="Net Banking"/>
    <x v="7"/>
    <x v="1"/>
  </r>
  <r>
    <s v="ORD100985"/>
    <d v="2026-05-08T00:00:00"/>
    <x v="0"/>
    <s v="Mumbai"/>
    <x v="1"/>
    <s v="Consumer"/>
    <x v="0"/>
    <s v="Keyboard"/>
    <x v="941"/>
    <n v="8"/>
    <n v="1776.57"/>
    <n v="20"/>
    <x v="983"/>
    <n v="8579.11"/>
    <n v="2790.94"/>
    <x v="1"/>
    <s v="Card"/>
    <x v="0"/>
    <x v="1"/>
  </r>
  <r>
    <s v="ORD100986"/>
    <d v="2025-03-14T00:00:00"/>
    <x v="3"/>
    <s v="Kolkata"/>
    <x v="3"/>
    <s v="Corporate"/>
    <x v="2"/>
    <s v="Notebook"/>
    <x v="942"/>
    <n v="15"/>
    <n v="4526.45"/>
    <n v="20"/>
    <x v="984"/>
    <n v="31358.57"/>
    <n v="22958.83"/>
    <x v="2"/>
    <s v="Card"/>
    <x v="3"/>
    <x v="0"/>
  </r>
  <r>
    <s v="ORD100987"/>
    <d v="2026-02-03T00:00:00"/>
    <x v="3"/>
    <s v="Kolkata"/>
    <x v="4"/>
    <s v="Small Business"/>
    <x v="0"/>
    <s v="Keyboard"/>
    <x v="943"/>
    <n v="15"/>
    <n v="1578.99"/>
    <n v="5"/>
    <x v="985"/>
    <n v="17342.95"/>
    <n v="5157.66"/>
    <x v="2"/>
    <s v="UPI"/>
    <x v="2"/>
    <x v="1"/>
  </r>
  <r>
    <s v="ORD100988"/>
    <d v="2025-05-30T00:00:00"/>
    <x v="0"/>
    <s v="Ahmedabad"/>
    <x v="4"/>
    <s v="Corporate"/>
    <x v="1"/>
    <s v="Cabinet"/>
    <x v="944"/>
    <n v="13"/>
    <n v="4634.8500000000004"/>
    <n v="10"/>
    <x v="986"/>
    <n v="43744.05"/>
    <n v="10483.700000000001"/>
    <x v="1"/>
    <s v="Card"/>
    <x v="0"/>
    <x v="0"/>
  </r>
  <r>
    <s v="ORD100989"/>
    <d v="2026-05-13T00:00:00"/>
    <x v="2"/>
    <s v="Bengaluru"/>
    <x v="7"/>
    <s v="Small Business"/>
    <x v="2"/>
    <s v="Notebook"/>
    <x v="945"/>
    <n v="2"/>
    <n v="2485.62"/>
    <n v="5"/>
    <x v="987"/>
    <n v="3336.14"/>
    <n v="1386.54"/>
    <x v="0"/>
    <s v="Cash"/>
    <x v="0"/>
    <x v="1"/>
  </r>
  <r>
    <s v="ORD100990"/>
    <d v="2026-02-01T00:00:00"/>
    <x v="1"/>
    <s v="Chandigarh"/>
    <x v="7"/>
    <s v="Consumer"/>
    <x v="0"/>
    <s v="Monitor"/>
    <x v="946"/>
    <n v="13"/>
    <n v="2476.65"/>
    <n v="20"/>
    <x v="988"/>
    <n v="20146.86"/>
    <n v="5610.3"/>
    <x v="2"/>
    <s v="Net Banking"/>
    <x v="2"/>
    <x v="1"/>
  </r>
  <r>
    <s v="ORD100991"/>
    <d v="2025-10-31T00:00:00"/>
    <x v="2"/>
    <s v="Bengaluru"/>
    <x v="5"/>
    <s v="Consumer"/>
    <x v="0"/>
    <s v="Mouse"/>
    <x v="947"/>
    <n v="13"/>
    <n v="3408.11"/>
    <n v="0"/>
    <x v="989"/>
    <n v="35117.800000000003"/>
    <n v="9187.6299999999992"/>
    <x v="1"/>
    <s v="Cash"/>
    <x v="1"/>
    <x v="0"/>
  </r>
  <r>
    <s v="ORD100992"/>
    <d v="2026-03-13T00:00:00"/>
    <x v="2"/>
    <s v="Bengaluru"/>
    <x v="1"/>
    <s v="Corporate"/>
    <x v="0"/>
    <s v="Headphones"/>
    <x v="948"/>
    <n v="10"/>
    <n v="1242.33"/>
    <n v="15"/>
    <x v="990"/>
    <n v="6118.57"/>
    <n v="4441.2299999999996"/>
    <x v="2"/>
    <s v="UPI"/>
    <x v="3"/>
    <x v="1"/>
  </r>
  <r>
    <s v="ORD100993"/>
    <d v="2026-01-16T00:00:00"/>
    <x v="1"/>
    <s v="Delhi"/>
    <x v="2"/>
    <s v="Small Business"/>
    <x v="1"/>
    <s v="Cabinet"/>
    <x v="949"/>
    <n v="2"/>
    <n v="4841.04"/>
    <n v="15"/>
    <x v="991"/>
    <n v="5028.3500000000004"/>
    <n v="3201.42"/>
    <x v="1"/>
    <s v="UPI"/>
    <x v="9"/>
    <x v="1"/>
  </r>
  <r>
    <s v="ORD100994"/>
    <d v="2025-04-02T00:00:00"/>
    <x v="3"/>
    <s v="Bhubaneswar"/>
    <x v="7"/>
    <s v="Corporate"/>
    <x v="1"/>
    <s v="Desk"/>
    <x v="950"/>
    <n v="5"/>
    <n v="2275.9699999999998"/>
    <n v="10"/>
    <x v="992"/>
    <n v="8043.01"/>
    <n v="2198.85"/>
    <x v="0"/>
    <s v="UPI"/>
    <x v="7"/>
    <x v="0"/>
  </r>
  <r>
    <s v="ORD100995"/>
    <d v="2025-04-01T00:00:00"/>
    <x v="0"/>
    <s v="Mumbai"/>
    <x v="4"/>
    <s v="Small Business"/>
    <x v="1"/>
    <s v="Table"/>
    <x v="951"/>
    <n v="12"/>
    <n v="2391.48"/>
    <n v="5"/>
    <x v="993"/>
    <n v="16682.62"/>
    <n v="10580.25"/>
    <x v="1"/>
    <s v="UPI"/>
    <x v="7"/>
    <x v="0"/>
  </r>
  <r>
    <s v="ORD100996"/>
    <d v="2025-09-11T00:00:00"/>
    <x v="0"/>
    <s v="Ahmedabad"/>
    <x v="0"/>
    <s v="Small Business"/>
    <x v="0"/>
    <s v="Headphones"/>
    <x v="952"/>
    <n v="6"/>
    <n v="2475.38"/>
    <n v="15"/>
    <x v="994"/>
    <n v="9597.32"/>
    <n v="3027.12"/>
    <x v="0"/>
    <s v="Cash"/>
    <x v="4"/>
    <x v="0"/>
  </r>
  <r>
    <s v="ORD100997"/>
    <d v="2025-03-18T00:00:00"/>
    <x v="1"/>
    <s v="Delhi"/>
    <x v="2"/>
    <s v="Small Business"/>
    <x v="0"/>
    <s v="Monitor"/>
    <x v="953"/>
    <n v="1"/>
    <n v="4936.32"/>
    <n v="0"/>
    <x v="995"/>
    <n v="3941.69"/>
    <n v="994.63"/>
    <x v="1"/>
    <s v="UPI"/>
    <x v="3"/>
    <x v="0"/>
  </r>
  <r>
    <s v="ORD100998"/>
    <d v="2025-12-15T00:00:00"/>
    <x v="3"/>
    <s v="Kolkata"/>
    <x v="0"/>
    <s v="Consumer"/>
    <x v="1"/>
    <s v="Chair"/>
    <x v="954"/>
    <n v="10"/>
    <n v="2283.92"/>
    <n v="15"/>
    <x v="996"/>
    <n v="15155.33"/>
    <n v="4257.99"/>
    <x v="2"/>
    <s v="Net Banking"/>
    <x v="11"/>
    <x v="0"/>
  </r>
  <r>
    <s v="ORD100999"/>
    <d v="2026-01-06T00:00:00"/>
    <x v="1"/>
    <s v="Delhi"/>
    <x v="4"/>
    <s v="Consumer"/>
    <x v="0"/>
    <s v="Mouse"/>
    <x v="955"/>
    <n v="13"/>
    <n v="3159.52"/>
    <n v="15"/>
    <x v="997"/>
    <n v="22392.37"/>
    <n v="12520.33"/>
    <x v="0"/>
    <s v="Card"/>
    <x v="9"/>
    <x v="1"/>
  </r>
  <r>
    <s v="ORD101000"/>
    <d v="2025-12-22T00:00:00"/>
    <x v="2"/>
    <s v="Chennai"/>
    <x v="4"/>
    <s v="Consumer"/>
    <x v="1"/>
    <s v="Desk"/>
    <x v="956"/>
    <n v="13"/>
    <n v="1983.17"/>
    <n v="15"/>
    <x v="998"/>
    <n v="14172.89"/>
    <n v="7741.14"/>
    <x v="0"/>
    <s v="Card"/>
    <x v="11"/>
    <x v="0"/>
  </r>
  <r>
    <s v="ORD101001"/>
    <d v="2025-10-03T00:00:00"/>
    <x v="0"/>
    <s v="Mumbai"/>
    <x v="1"/>
    <s v="Small Business"/>
    <x v="0"/>
    <s v="Headphones"/>
    <x v="957"/>
    <n v="12"/>
    <n v="1166.81"/>
    <n v="10"/>
    <x v="999"/>
    <n v="7367.47"/>
    <n v="5234.08"/>
    <x v="2"/>
    <s v="Net Banking"/>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7"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A54:B58" firstHeaderRow="1" firstDataRow="1" firstDataCol="1"/>
  <pivotFields count="19">
    <pivotField compact="0" outline="0" showAll="0"/>
    <pivotField compact="0" numFmtId="164" outline="0" showAll="0"/>
    <pivotField compact="0" outline="0" showAll="0"/>
    <pivotField compact="0" outline="0" showAll="0"/>
    <pivotField compact="0" outline="0" showAll="0"/>
    <pivotField compact="0" outline="0" showAll="0">
      <items count="4">
        <item x="1"/>
        <item x="0"/>
        <item x="2"/>
        <item t="default"/>
      </items>
    </pivotField>
    <pivotField axis="axisRow" compact="0" outline="0" showAll="0">
      <items count="4">
        <item x="0"/>
        <item x="1"/>
        <item x="2"/>
        <item t="default"/>
      </items>
    </pivotField>
    <pivotField compact="0" outline="0" showAll="0"/>
    <pivotField compact="0" outline="0" showAll="0"/>
    <pivotField compact="0" outline="0" showAll="0"/>
    <pivotField compact="0" numFmtId="4" outline="0" showAll="0"/>
    <pivotField compact="0" outline="0" showAll="0"/>
    <pivotField compact="0" numFmtId="4" outline="0" showAll="0"/>
    <pivotField compact="0" numFmtId="4" outline="0" showAll="0"/>
    <pivotField dataField="1" compact="0" numFmtId="4" outline="0" showAll="0"/>
    <pivotField compact="0" outline="0" showAll="0"/>
    <pivotField compact="0" outline="0" showAll="0"/>
    <pivotField compact="0" outline="0" showAll="0"/>
    <pivotField compact="0" outline="0" showAll="0"/>
  </pivotFields>
  <rowFields count="1">
    <field x="6"/>
  </rowFields>
  <rowItems count="4">
    <i>
      <x/>
    </i>
    <i>
      <x v="1"/>
    </i>
    <i>
      <x v="2"/>
    </i>
    <i t="grand">
      <x/>
    </i>
  </rowItems>
  <colItems count="1">
    <i/>
  </colItems>
  <dataFields count="1">
    <dataField name="Sum of Profit" fld="14" baseField="0" baseItem="0" numFmtId="4"/>
  </dataFields>
  <chartFormats count="6">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6" count="1" selected="0">
            <x v="0"/>
          </reference>
        </references>
      </pivotArea>
    </chartFormat>
    <chartFormat chart="4" format="7">
      <pivotArea type="data" outline="0" fieldPosition="0">
        <references count="2">
          <reference field="4294967294" count="1" selected="0">
            <x v="0"/>
          </reference>
          <reference field="6" count="1" selected="0">
            <x v="1"/>
          </reference>
        </references>
      </pivotArea>
    </chartFormat>
    <chartFormat chart="4" format="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4" minRefreshableVersion="3" useAutoFormatting="1" itemPrintTitles="1" createdVersion="8" indent="0" compact="0" compactData="0" multipleFieldFilters="0" chartFormat="9">
  <location ref="J10:K14" firstHeaderRow="1" firstDataRow="1" firstDataCol="1"/>
  <pivotFields count="19">
    <pivotField compact="0" outline="0" showAll="0"/>
    <pivotField compact="0" numFmtId="164" outline="0" showAll="0"/>
    <pivotField compact="0" outline="0" showAll="0">
      <items count="5">
        <item x="3"/>
        <item x="1"/>
        <item x="2"/>
        <item x="0"/>
        <item t="default"/>
      </items>
    </pivotField>
    <pivotField compact="0" outline="0" showAll="0"/>
    <pivotField compact="0" outline="0" showAll="0">
      <items count="9">
        <item x="3"/>
        <item x="2"/>
        <item x="0"/>
        <item x="7"/>
        <item x="6"/>
        <item x="4"/>
        <item x="1"/>
        <item x="5"/>
        <item t="default"/>
      </items>
    </pivotField>
    <pivotField compact="0" outline="0" showAll="0"/>
    <pivotField axis="axisRow" compact="0" outline="0" showAll="0">
      <items count="4">
        <item x="0"/>
        <item x="1"/>
        <item x="2"/>
        <item t="default"/>
      </items>
    </pivotField>
    <pivotField compact="0" outline="0" showAll="0"/>
    <pivotField compact="0" outline="0" showAll="0"/>
    <pivotField compact="0" outline="0" showAll="0"/>
    <pivotField compact="0" numFmtId="4" outline="0" showAll="0"/>
    <pivotField compact="0" outline="0" showAll="0"/>
    <pivotField dataField="1" compact="0" numFmtId="4" outline="0" showAll="0"/>
    <pivotField compact="0" numFmtId="4" outline="0" showAll="0"/>
    <pivotField compact="0" numFmtId="4" outline="0" showAll="0"/>
    <pivotField compact="0" outline="0" showAll="0">
      <items count="4">
        <item x="2"/>
        <item x="0"/>
        <item x="1"/>
        <item t="default"/>
      </items>
    </pivotField>
    <pivotField compact="0" outline="0" showAll="0"/>
    <pivotField compact="0" outline="0" showAll="0">
      <items count="13">
        <item x="9"/>
        <item x="2"/>
        <item x="3"/>
        <item x="7"/>
        <item x="0"/>
        <item x="10"/>
        <item x="5"/>
        <item x="6"/>
        <item x="4"/>
        <item x="1"/>
        <item x="8"/>
        <item x="11"/>
        <item t="default"/>
      </items>
    </pivotField>
    <pivotField compact="0" outline="0" showAll="0">
      <items count="3">
        <item x="0"/>
        <item sd="0" x="1"/>
        <item t="default"/>
      </items>
    </pivotField>
  </pivotFields>
  <rowFields count="1">
    <field x="6"/>
  </rowFields>
  <rowItems count="4">
    <i>
      <x/>
    </i>
    <i>
      <x v="1"/>
    </i>
    <i>
      <x v="2"/>
    </i>
    <i t="grand">
      <x/>
    </i>
  </rowItems>
  <colItems count="1">
    <i/>
  </colItems>
  <dataFields count="1">
    <dataField name="Sum of Revenue"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4" minRefreshableVersion="3" useAutoFormatting="1" itemPrintTitles="1" createdVersion="8" indent="0" compact="0" compactData="0" multipleFieldFilters="0" chartFormat="9">
  <location ref="J3:K8" firstHeaderRow="1" firstDataRow="1" firstDataCol="1"/>
  <pivotFields count="19">
    <pivotField compact="0" outline="0" showAll="0"/>
    <pivotField compact="0" numFmtId="164" outline="0" showAll="0"/>
    <pivotField name="South" axis="axisRow" compact="0" outline="0" showAll="0">
      <items count="5">
        <item x="3"/>
        <item x="1"/>
        <item x="2"/>
        <item x="0"/>
        <item t="default"/>
      </items>
    </pivotField>
    <pivotField compact="0" outline="0" showAll="0"/>
    <pivotField compact="0" outline="0" showAll="0">
      <items count="9">
        <item x="3"/>
        <item x="2"/>
        <item x="0"/>
        <item x="7"/>
        <item x="6"/>
        <item x="4"/>
        <item x="1"/>
        <item x="5"/>
        <item t="default"/>
      </items>
    </pivotField>
    <pivotField compact="0" outline="0" showAll="0"/>
    <pivotField compact="0" outline="0" showAll="0">
      <items count="4">
        <item x="0"/>
        <item x="1"/>
        <item x="2"/>
        <item t="default"/>
      </items>
    </pivotField>
    <pivotField compact="0" outline="0" showAll="0"/>
    <pivotField compact="0" outline="0" showAll="0"/>
    <pivotField compact="0" outline="0" showAll="0"/>
    <pivotField compact="0" numFmtId="4" outline="0" showAll="0"/>
    <pivotField compact="0" outline="0" showAll="0"/>
    <pivotField dataField="1" compact="0" numFmtId="4" outline="0" showAll="0"/>
    <pivotField compact="0" numFmtId="4" outline="0" showAll="0"/>
    <pivotField compact="0" numFmtId="4" outline="0" showAll="0"/>
    <pivotField compact="0" outline="0" showAll="0">
      <items count="4">
        <item x="2"/>
        <item x="0"/>
        <item x="1"/>
        <item t="default"/>
      </items>
    </pivotField>
    <pivotField compact="0" outline="0" showAll="0"/>
    <pivotField compact="0" outline="0" showAll="0">
      <items count="13">
        <item x="9"/>
        <item x="2"/>
        <item x="3"/>
        <item x="7"/>
        <item x="0"/>
        <item x="10"/>
        <item x="5"/>
        <item x="6"/>
        <item x="4"/>
        <item x="1"/>
        <item x="8"/>
        <item x="11"/>
        <item t="default"/>
      </items>
    </pivotField>
    <pivotField compact="0" outline="0" showAll="0">
      <items count="3">
        <item x="0"/>
        <item sd="0" x="1"/>
        <item t="default"/>
      </items>
    </pivotField>
  </pivotFields>
  <rowFields count="1">
    <field x="2"/>
  </rowFields>
  <rowItems count="5">
    <i>
      <x/>
    </i>
    <i>
      <x v="1"/>
    </i>
    <i>
      <x v="2"/>
    </i>
    <i>
      <x v="3"/>
    </i>
    <i t="grand">
      <x/>
    </i>
  </rowItems>
  <colItems count="1">
    <i/>
  </colItems>
  <dataFields count="1">
    <dataField name="Sum of Revenue"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4" minRefreshableVersion="3" useAutoFormatting="1" itemPrintTitles="1" createdVersion="8" indent="0" compact="0" compactData="0" multipleFieldFilters="0" chartFormat="9">
  <location ref="M1:N10" firstHeaderRow="1" firstDataRow="1" firstDataCol="1"/>
  <pivotFields count="19">
    <pivotField compact="0" outline="0" showAll="0"/>
    <pivotField compact="0" numFmtId="164" outline="0" showAll="0"/>
    <pivotField compact="0" outline="0" showAll="0">
      <items count="5">
        <item x="3"/>
        <item x="1"/>
        <item x="2"/>
        <item x="0"/>
        <item t="default"/>
      </items>
    </pivotField>
    <pivotField compact="0" outline="0" showAll="0"/>
    <pivotField axis="axisRow" compact="0" outline="0" showAll="0">
      <items count="9">
        <item x="3"/>
        <item x="2"/>
        <item x="0"/>
        <item x="7"/>
        <item x="6"/>
        <item x="4"/>
        <item x="1"/>
        <item x="5"/>
        <item t="default"/>
      </items>
    </pivotField>
    <pivotField compact="0" outline="0" showAll="0"/>
    <pivotField compact="0" outline="0" showAll="0">
      <items count="4">
        <item x="0"/>
        <item x="1"/>
        <item x="2"/>
        <item t="default"/>
      </items>
    </pivotField>
    <pivotField compact="0" outline="0" showAll="0"/>
    <pivotField compact="0" outline="0" showAll="0" measureFilter="1">
      <items count="959">
        <item x="384"/>
        <item x="283"/>
        <item x="192"/>
        <item x="782"/>
        <item x="539"/>
        <item x="101"/>
        <item x="848"/>
        <item x="564"/>
        <item x="898"/>
        <item x="294"/>
        <item x="578"/>
        <item x="598"/>
        <item x="556"/>
        <item x="811"/>
        <item x="459"/>
        <item x="68"/>
        <item x="422"/>
        <item x="544"/>
        <item x="31"/>
        <item x="786"/>
        <item x="897"/>
        <item x="432"/>
        <item x="395"/>
        <item x="654"/>
        <item x="607"/>
        <item x="910"/>
        <item x="73"/>
        <item x="799"/>
        <item x="398"/>
        <item x="34"/>
        <item x="427"/>
        <item x="616"/>
        <item x="929"/>
        <item x="633"/>
        <item x="890"/>
        <item x="732"/>
        <item x="766"/>
        <item x="834"/>
        <item x="263"/>
        <item x="464"/>
        <item x="177"/>
        <item x="325"/>
        <item x="90"/>
        <item x="589"/>
        <item x="311"/>
        <item x="359"/>
        <item x="486"/>
        <item x="171"/>
        <item x="88"/>
        <item x="830"/>
        <item x="320"/>
        <item x="827"/>
        <item x="9"/>
        <item x="333"/>
        <item x="892"/>
        <item x="175"/>
        <item x="760"/>
        <item x="553"/>
        <item x="84"/>
        <item x="665"/>
        <item x="721"/>
        <item x="814"/>
        <item x="10"/>
        <item x="860"/>
        <item x="752"/>
        <item x="526"/>
        <item x="161"/>
        <item x="49"/>
        <item x="944"/>
        <item x="737"/>
        <item x="781"/>
        <item x="603"/>
        <item x="934"/>
        <item x="212"/>
        <item x="805"/>
        <item x="335"/>
        <item x="135"/>
        <item x="896"/>
        <item x="728"/>
        <item x="477"/>
        <item x="33"/>
        <item x="369"/>
        <item x="606"/>
        <item x="949"/>
        <item x="565"/>
        <item x="863"/>
        <item x="855"/>
        <item x="729"/>
        <item x="270"/>
        <item x="396"/>
        <item x="347"/>
        <item x="618"/>
        <item x="669"/>
        <item x="591"/>
        <item x="226"/>
        <item x="278"/>
        <item x="361"/>
        <item x="130"/>
        <item x="109"/>
        <item x="467"/>
        <item x="871"/>
        <item x="46"/>
        <item x="154"/>
        <item x="821"/>
        <item x="939"/>
        <item x="555"/>
        <item x="205"/>
        <item x="590"/>
        <item x="704"/>
        <item x="655"/>
        <item x="244"/>
        <item x="638"/>
        <item x="493"/>
        <item x="644"/>
        <item x="430"/>
        <item x="750"/>
        <item x="697"/>
        <item x="853"/>
        <item x="279"/>
        <item x="23"/>
        <item x="183"/>
        <item x="125"/>
        <item x="879"/>
        <item x="488"/>
        <item x="813"/>
        <item x="909"/>
        <item x="479"/>
        <item x="587"/>
        <item x="866"/>
        <item x="586"/>
        <item x="310"/>
        <item x="771"/>
        <item x="541"/>
        <item x="568"/>
        <item x="928"/>
        <item x="719"/>
        <item x="389"/>
        <item x="122"/>
        <item x="216"/>
        <item x="911"/>
        <item x="717"/>
        <item x="769"/>
        <item x="735"/>
        <item x="66"/>
        <item x="659"/>
        <item x="531"/>
        <item x="123"/>
        <item x="380"/>
        <item x="408"/>
        <item x="727"/>
        <item x="674"/>
        <item x="558"/>
        <item x="366"/>
        <item x="567"/>
        <item x="63"/>
        <item x="275"/>
        <item x="796"/>
        <item x="264"/>
        <item x="527"/>
        <item x="269"/>
        <item x="48"/>
        <item x="744"/>
        <item x="614"/>
        <item x="394"/>
        <item x="954"/>
        <item x="906"/>
        <item x="894"/>
        <item x="447"/>
        <item x="629"/>
        <item x="338"/>
        <item x="391"/>
        <item x="851"/>
        <item x="431"/>
        <item x="198"/>
        <item x="454"/>
        <item x="594"/>
        <item x="423"/>
        <item x="426"/>
        <item x="624"/>
        <item x="571"/>
        <item x="649"/>
        <item x="687"/>
        <item x="823"/>
        <item x="877"/>
        <item x="37"/>
        <item x="367"/>
        <item x="341"/>
        <item x="653"/>
        <item x="57"/>
        <item x="339"/>
        <item x="316"/>
        <item x="16"/>
        <item x="210"/>
        <item x="323"/>
        <item x="308"/>
        <item x="371"/>
        <item x="536"/>
        <item x="736"/>
        <item x="849"/>
        <item x="87"/>
        <item x="579"/>
        <item x="435"/>
        <item x="950"/>
        <item x="200"/>
        <item x="86"/>
        <item x="187"/>
        <item x="110"/>
        <item x="458"/>
        <item x="812"/>
        <item x="20"/>
        <item x="908"/>
        <item x="888"/>
        <item x="927"/>
        <item x="195"/>
        <item x="690"/>
        <item x="416"/>
        <item x="476"/>
        <item x="751"/>
        <item x="133"/>
        <item x="61"/>
        <item x="134"/>
        <item x="238"/>
        <item x="498"/>
        <item x="304"/>
        <item x="24"/>
        <item x="668"/>
        <item x="635"/>
        <item x="99"/>
        <item x="253"/>
        <item x="429"/>
        <item x="19"/>
        <item x="155"/>
        <item x="916"/>
        <item x="634"/>
        <item x="189"/>
        <item x="436"/>
        <item x="251"/>
        <item x="753"/>
        <item x="671"/>
        <item x="293"/>
        <item x="822"/>
        <item x="2"/>
        <item x="627"/>
        <item x="956"/>
        <item x="150"/>
        <item x="538"/>
        <item x="713"/>
        <item x="132"/>
        <item x="404"/>
        <item x="197"/>
        <item x="734"/>
        <item x="41"/>
        <item x="22"/>
        <item x="351"/>
        <item x="160"/>
        <item x="645"/>
        <item x="764"/>
        <item x="632"/>
        <item x="172"/>
        <item x="327"/>
        <item x="443"/>
        <item x="535"/>
        <item x="839"/>
        <item x="761"/>
        <item x="21"/>
        <item x="938"/>
        <item x="140"/>
        <item x="915"/>
        <item x="285"/>
        <item x="17"/>
        <item x="225"/>
        <item x="291"/>
        <item x="646"/>
        <item x="660"/>
        <item x="392"/>
        <item x="4"/>
        <item x="520"/>
        <item x="315"/>
        <item x="596"/>
        <item x="480"/>
        <item x="763"/>
        <item x="904"/>
        <item x="902"/>
        <item x="819"/>
        <item x="329"/>
        <item x="741"/>
        <item x="757"/>
        <item x="800"/>
        <item x="489"/>
        <item x="483"/>
        <item x="194"/>
        <item x="630"/>
        <item x="36"/>
        <item x="174"/>
        <item x="114"/>
        <item x="631"/>
        <item x="38"/>
        <item x="491"/>
        <item x="76"/>
        <item x="166"/>
        <item x="864"/>
        <item x="492"/>
        <item x="328"/>
        <item x="449"/>
        <item x="455"/>
        <item x="185"/>
        <item x="349"/>
        <item x="215"/>
        <item x="793"/>
        <item x="807"/>
        <item x="229"/>
        <item x="506"/>
        <item x="809"/>
        <item x="619"/>
        <item x="353"/>
        <item x="583"/>
        <item x="141"/>
        <item x="266"/>
        <item x="128"/>
        <item x="11"/>
        <item x="940"/>
        <item x="74"/>
        <item x="647"/>
        <item x="343"/>
        <item x="935"/>
        <item x="700"/>
        <item x="434"/>
        <item x="922"/>
        <item x="414"/>
        <item x="453"/>
        <item x="44"/>
        <item x="862"/>
        <item x="806"/>
        <item x="457"/>
        <item x="28"/>
        <item x="828"/>
        <item x="957"/>
        <item x="306"/>
        <item x="345"/>
        <item x="240"/>
        <item x="525"/>
        <item x="295"/>
        <item x="153"/>
        <item x="446"/>
        <item x="810"/>
        <item x="683"/>
        <item x="246"/>
        <item x="254"/>
        <item x="102"/>
        <item x="792"/>
        <item x="878"/>
        <item x="441"/>
        <item x="120"/>
        <item x="213"/>
        <item x="680"/>
        <item x="326"/>
        <item x="303"/>
        <item x="948"/>
        <item x="211"/>
        <item x="415"/>
        <item x="779"/>
        <item x="599"/>
        <item x="500"/>
        <item x="85"/>
        <item x="58"/>
        <item x="288"/>
        <item x="307"/>
        <item x="917"/>
        <item x="883"/>
        <item x="747"/>
        <item x="625"/>
        <item x="733"/>
        <item x="692"/>
        <item x="656"/>
        <item x="313"/>
        <item x="681"/>
        <item x="81"/>
        <item x="173"/>
        <item x="797"/>
        <item x="424"/>
        <item x="247"/>
        <item x="98"/>
        <item x="952"/>
        <item x="104"/>
        <item x="585"/>
        <item x="243"/>
        <item x="808"/>
        <item x="55"/>
        <item x="230"/>
        <item x="70"/>
        <item x="899"/>
        <item x="273"/>
        <item x="35"/>
        <item x="707"/>
        <item x="115"/>
        <item x="874"/>
        <item x="554"/>
        <item x="887"/>
        <item x="740"/>
        <item x="1"/>
        <item x="138"/>
        <item x="941"/>
        <item x="716"/>
        <item x="546"/>
        <item x="258"/>
        <item x="181"/>
        <item x="417"/>
        <item x="469"/>
        <item x="815"/>
        <item x="776"/>
        <item x="314"/>
        <item x="286"/>
        <item x="322"/>
        <item x="840"/>
        <item x="336"/>
        <item x="12"/>
        <item x="180"/>
        <item x="471"/>
        <item x="825"/>
        <item x="695"/>
        <item x="521"/>
        <item x="886"/>
        <item x="791"/>
        <item x="93"/>
        <item x="105"/>
        <item x="482"/>
        <item x="302"/>
        <item x="206"/>
        <item x="472"/>
        <item x="425"/>
        <item x="931"/>
        <item x="643"/>
        <item x="365"/>
        <item x="496"/>
        <item x="100"/>
        <item x="640"/>
        <item x="407"/>
        <item x="103"/>
        <item x="29"/>
        <item x="943"/>
        <item x="573"/>
        <item x="463"/>
        <item x="746"/>
        <item x="611"/>
        <item x="580"/>
        <item x="870"/>
        <item x="419"/>
        <item x="570"/>
        <item x="397"/>
        <item x="418"/>
        <item x="399"/>
        <item x="444"/>
        <item x="789"/>
        <item x="456"/>
        <item x="321"/>
        <item x="433"/>
        <item x="676"/>
        <item x="232"/>
        <item x="494"/>
        <item x="670"/>
        <item x="515"/>
        <item x="241"/>
        <item x="162"/>
        <item x="867"/>
        <item x="499"/>
        <item x="309"/>
        <item x="833"/>
        <item x="52"/>
        <item x="473"/>
        <item x="804"/>
        <item x="296"/>
        <item x="224"/>
        <item x="662"/>
        <item x="193"/>
        <item x="562"/>
        <item x="550"/>
        <item x="699"/>
        <item x="287"/>
        <item x="921"/>
        <item x="342"/>
        <item x="696"/>
        <item x="387"/>
        <item x="508"/>
        <item x="272"/>
        <item x="552"/>
        <item x="214"/>
        <item x="705"/>
        <item x="437"/>
        <item x="749"/>
        <item x="772"/>
        <item x="563"/>
        <item x="108"/>
        <item x="523"/>
        <item x="186"/>
        <item x="924"/>
        <item x="601"/>
        <item x="348"/>
        <item x="305"/>
        <item x="504"/>
        <item x="673"/>
        <item x="710"/>
        <item x="933"/>
        <item x="364"/>
        <item x="75"/>
        <item x="386"/>
        <item x="250"/>
        <item x="450"/>
        <item x="176"/>
        <item x="204"/>
        <item x="50"/>
        <item x="844"/>
        <item x="678"/>
        <item x="920"/>
        <item x="788"/>
        <item x="470"/>
        <item x="930"/>
        <item x="201"/>
        <item x="39"/>
        <item x="82"/>
        <item x="178"/>
        <item x="513"/>
        <item x="495"/>
        <item x="675"/>
        <item x="953"/>
        <item x="838"/>
        <item x="626"/>
        <item x="572"/>
        <item x="126"/>
        <item x="18"/>
        <item x="918"/>
        <item x="465"/>
        <item x="383"/>
        <item x="217"/>
        <item x="715"/>
        <item x="124"/>
        <item x="107"/>
        <item x="756"/>
        <item x="182"/>
        <item x="235"/>
        <item x="352"/>
        <item x="268"/>
        <item x="148"/>
        <item x="946"/>
        <item x="604"/>
        <item x="255"/>
        <item x="256"/>
        <item x="14"/>
        <item x="53"/>
        <item x="925"/>
        <item x="249"/>
        <item x="686"/>
        <item x="79"/>
        <item x="265"/>
        <item x="612"/>
        <item x="677"/>
        <item x="837"/>
        <item x="581"/>
        <item x="233"/>
        <item x="346"/>
        <item x="497"/>
        <item x="560"/>
        <item x="117"/>
        <item x="484"/>
        <item x="301"/>
        <item x="528"/>
        <item x="861"/>
        <item x="691"/>
        <item x="131"/>
        <item x="540"/>
        <item x="884"/>
        <item x="0"/>
        <item x="26"/>
        <item x="324"/>
        <item x="802"/>
        <item x="795"/>
        <item x="40"/>
        <item x="551"/>
        <item x="357"/>
        <item x="119"/>
        <item x="91"/>
        <item x="372"/>
        <item x="588"/>
        <item x="159"/>
        <item x="405"/>
        <item x="282"/>
        <item x="955"/>
        <item x="410"/>
        <item x="623"/>
        <item x="900"/>
        <item x="639"/>
        <item x="932"/>
        <item x="207"/>
        <item x="439"/>
        <item x="400"/>
        <item x="858"/>
        <item x="487"/>
        <item x="290"/>
        <item x="835"/>
        <item x="236"/>
        <item x="875"/>
        <item x="370"/>
        <item x="401"/>
        <item x="754"/>
        <item x="317"/>
        <item x="111"/>
        <item x="142"/>
        <item x="636"/>
        <item x="608"/>
        <item x="147"/>
        <item x="312"/>
        <item x="355"/>
        <item x="209"/>
        <item x="770"/>
        <item x="574"/>
        <item x="199"/>
        <item x="650"/>
        <item x="276"/>
        <item x="298"/>
        <item x="97"/>
        <item x="127"/>
        <item x="947"/>
        <item x="27"/>
        <item x="617"/>
        <item x="777"/>
        <item x="688"/>
        <item x="245"/>
        <item x="96"/>
        <item x="648"/>
        <item x="575"/>
        <item x="95"/>
        <item x="702"/>
        <item x="857"/>
        <item x="889"/>
        <item x="5"/>
        <item x="907"/>
        <item x="516"/>
        <item x="440"/>
        <item x="412"/>
        <item x="818"/>
        <item x="903"/>
        <item x="261"/>
        <item x="532"/>
        <item x="237"/>
        <item x="136"/>
        <item x="360"/>
        <item x="77"/>
        <item x="262"/>
        <item x="780"/>
        <item x="390"/>
        <item x="267"/>
        <item x="179"/>
        <item x="685"/>
        <item x="411"/>
        <item x="257"/>
        <item x="768"/>
        <item x="334"/>
        <item x="708"/>
        <item x="145"/>
        <item x="762"/>
        <item x="765"/>
        <item x="722"/>
        <item x="926"/>
        <item x="376"/>
        <item x="542"/>
        <item x="203"/>
        <item x="71"/>
        <item x="445"/>
        <item x="865"/>
        <item x="143"/>
        <item x="220"/>
        <item x="778"/>
        <item x="83"/>
        <item x="758"/>
        <item x="106"/>
        <item x="137"/>
        <item x="945"/>
        <item x="718"/>
        <item x="801"/>
        <item x="3"/>
        <item x="6"/>
        <item x="689"/>
        <item x="184"/>
        <item x="152"/>
        <item x="577"/>
        <item x="622"/>
        <item x="545"/>
        <item x="139"/>
        <item x="850"/>
        <item x="829"/>
        <item x="759"/>
        <item x="942"/>
        <item x="672"/>
        <item x="60"/>
        <item x="667"/>
        <item x="252"/>
        <item x="169"/>
        <item x="841"/>
        <item x="518"/>
        <item x="378"/>
        <item x="368"/>
        <item x="375"/>
        <item x="406"/>
        <item x="522"/>
        <item x="609"/>
        <item x="168"/>
        <item x="385"/>
        <item x="847"/>
        <item x="248"/>
        <item x="832"/>
        <item x="149"/>
        <item x="15"/>
        <item x="379"/>
        <item x="703"/>
        <item x="259"/>
        <item x="620"/>
        <item x="936"/>
        <item x="59"/>
        <item x="787"/>
        <item x="651"/>
        <item x="831"/>
        <item x="219"/>
        <item x="227"/>
        <item x="330"/>
        <item x="222"/>
        <item x="92"/>
        <item x="318"/>
        <item x="164"/>
        <item x="373"/>
        <item x="803"/>
        <item x="113"/>
        <item x="537"/>
        <item x="196"/>
        <item x="773"/>
        <item x="566"/>
        <item x="755"/>
        <item x="745"/>
        <item x="592"/>
        <item x="905"/>
        <item x="350"/>
        <item x="605"/>
        <item x="507"/>
        <item x="872"/>
        <item x="42"/>
        <item x="533"/>
        <item x="475"/>
        <item x="684"/>
        <item x="873"/>
        <item x="885"/>
        <item x="420"/>
        <item x="80"/>
        <item x="600"/>
        <item x="382"/>
        <item x="337"/>
        <item x="72"/>
        <item x="67"/>
        <item x="409"/>
        <item x="937"/>
        <item x="474"/>
        <item x="637"/>
        <item x="711"/>
        <item x="743"/>
        <item x="393"/>
        <item x="843"/>
        <item x="613"/>
        <item x="54"/>
        <item x="842"/>
        <item x="191"/>
        <item x="421"/>
        <item x="43"/>
        <item x="274"/>
        <item x="30"/>
        <item x="151"/>
        <item x="694"/>
        <item x="502"/>
        <item x="576"/>
        <item x="280"/>
        <item x="69"/>
        <item x="116"/>
        <item x="767"/>
        <item x="913"/>
        <item x="297"/>
        <item x="388"/>
        <item x="529"/>
        <item x="714"/>
        <item x="377"/>
        <item x="157"/>
        <item x="8"/>
        <item x="725"/>
        <item x="881"/>
        <item x="820"/>
        <item x="658"/>
        <item x="442"/>
        <item x="260"/>
        <item x="731"/>
        <item x="534"/>
        <item x="893"/>
        <item x="208"/>
        <item x="748"/>
        <item x="231"/>
        <item x="663"/>
        <item x="242"/>
        <item x="56"/>
        <item x="511"/>
        <item x="859"/>
        <item x="742"/>
        <item x="891"/>
        <item x="846"/>
        <item x="724"/>
        <item x="438"/>
        <item x="602"/>
        <item x="170"/>
        <item x="478"/>
        <item x="146"/>
        <item x="548"/>
        <item x="223"/>
        <item x="514"/>
        <item x="530"/>
        <item x="895"/>
        <item x="428"/>
        <item x="816"/>
        <item x="64"/>
        <item x="739"/>
        <item x="362"/>
        <item x="156"/>
        <item x="901"/>
        <item x="356"/>
        <item x="505"/>
        <item x="344"/>
        <item x="363"/>
        <item x="340"/>
        <item x="826"/>
        <item x="775"/>
        <item x="615"/>
        <item x="561"/>
        <item x="919"/>
        <item x="880"/>
        <item x="706"/>
        <item x="559"/>
        <item x="284"/>
        <item x="331"/>
        <item x="300"/>
        <item x="817"/>
        <item x="112"/>
        <item x="794"/>
        <item x="51"/>
        <item x="557"/>
        <item x="642"/>
        <item x="218"/>
        <item x="584"/>
        <item x="876"/>
        <item x="228"/>
        <item x="923"/>
        <item x="490"/>
        <item x="824"/>
        <item x="292"/>
        <item x="595"/>
        <item x="738"/>
        <item x="512"/>
        <item x="543"/>
        <item x="89"/>
        <item x="628"/>
        <item x="271"/>
        <item x="221"/>
        <item x="234"/>
        <item x="281"/>
        <item x="784"/>
        <item x="852"/>
        <item x="319"/>
        <item x="78"/>
        <item x="666"/>
        <item x="403"/>
        <item x="698"/>
        <item x="785"/>
        <item x="709"/>
        <item x="597"/>
        <item x="774"/>
        <item x="485"/>
        <item x="868"/>
        <item x="144"/>
        <item x="94"/>
        <item x="466"/>
        <item x="452"/>
        <item x="657"/>
        <item x="451"/>
        <item x="524"/>
        <item x="914"/>
        <item x="569"/>
        <item x="693"/>
        <item x="62"/>
        <item x="47"/>
        <item x="190"/>
        <item x="836"/>
        <item x="167"/>
        <item x="720"/>
        <item x="461"/>
        <item x="726"/>
        <item x="277"/>
        <item x="468"/>
        <item x="593"/>
        <item x="951"/>
        <item x="641"/>
        <item x="652"/>
        <item x="381"/>
        <item x="239"/>
        <item x="13"/>
        <item x="413"/>
        <item x="158"/>
        <item x="25"/>
        <item x="299"/>
        <item x="712"/>
        <item x="65"/>
        <item x="723"/>
        <item x="664"/>
        <item x="289"/>
        <item x="374"/>
        <item x="188"/>
        <item x="790"/>
        <item x="730"/>
        <item x="912"/>
        <item x="503"/>
        <item x="202"/>
        <item x="547"/>
        <item x="462"/>
        <item x="856"/>
        <item x="682"/>
        <item x="845"/>
        <item x="582"/>
        <item x="358"/>
        <item x="509"/>
        <item x="519"/>
        <item x="165"/>
        <item x="610"/>
        <item x="448"/>
        <item x="402"/>
        <item x="118"/>
        <item x="129"/>
        <item x="549"/>
        <item x="121"/>
        <item x="510"/>
        <item x="621"/>
        <item x="869"/>
        <item x="354"/>
        <item x="163"/>
        <item x="501"/>
        <item x="45"/>
        <item x="32"/>
        <item x="783"/>
        <item x="854"/>
        <item x="460"/>
        <item x="701"/>
        <item x="332"/>
        <item x="661"/>
        <item x="798"/>
        <item x="882"/>
        <item x="7"/>
        <item x="517"/>
        <item x="481"/>
        <item x="679"/>
        <item t="default"/>
      </items>
    </pivotField>
    <pivotField compact="0" outline="0" showAll="0"/>
    <pivotField compact="0" numFmtId="4" outline="0" showAll="0"/>
    <pivotField compact="0" outline="0" showAll="0"/>
    <pivotField dataField="1" compact="0" numFmtId="4" outline="0" showAll="0"/>
    <pivotField compact="0" numFmtId="4" outline="0" showAll="0"/>
    <pivotField compact="0" numFmtId="4" outline="0" showAll="0"/>
    <pivotField compact="0" outline="0" showAll="0">
      <items count="4">
        <item x="2"/>
        <item x="0"/>
        <item x="1"/>
        <item t="default"/>
      </items>
    </pivotField>
    <pivotField compact="0" outline="0" showAll="0"/>
    <pivotField compact="0" outline="0" showAll="0">
      <items count="13">
        <item x="9"/>
        <item x="2"/>
        <item x="3"/>
        <item x="7"/>
        <item x="0"/>
        <item x="10"/>
        <item x="5"/>
        <item x="6"/>
        <item x="4"/>
        <item x="1"/>
        <item x="8"/>
        <item x="11"/>
        <item t="default"/>
      </items>
    </pivotField>
    <pivotField compact="0" outline="0" showAll="0">
      <items count="3">
        <item x="0"/>
        <item sd="0" x="1"/>
        <item t="default"/>
      </items>
    </pivotField>
  </pivotFields>
  <rowFields count="1">
    <field x="4"/>
  </rowFields>
  <rowItems count="9">
    <i>
      <x/>
    </i>
    <i>
      <x v="1"/>
    </i>
    <i>
      <x v="2"/>
    </i>
    <i>
      <x v="3"/>
    </i>
    <i>
      <x v="4"/>
    </i>
    <i>
      <x v="5"/>
    </i>
    <i>
      <x v="6"/>
    </i>
    <i>
      <x v="7"/>
    </i>
    <i t="grand">
      <x/>
    </i>
  </rowItems>
  <colItems count="1">
    <i/>
  </colItems>
  <dataFields count="1">
    <dataField name="Sum of Revenue" fld="12" baseField="0" baseItem="0"/>
  </dataField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4" minRefreshableVersion="3" useAutoFormatting="1" itemPrintTitles="1" createdVersion="8" indent="0" compact="0" compactData="0" multipleFieldFilters="0" chartFormat="9">
  <location ref="J17:K28" firstHeaderRow="1" firstDataRow="1" firstDataCol="1"/>
  <pivotFields count="19">
    <pivotField compact="0" outline="0" showAll="0"/>
    <pivotField compact="0" numFmtId="164" outline="0" showAll="0"/>
    <pivotField compact="0" outline="0" showAll="0">
      <items count="5">
        <item x="3"/>
        <item x="1"/>
        <item x="2"/>
        <item x="0"/>
        <item t="default"/>
      </items>
    </pivotField>
    <pivotField compact="0" outline="0" showAll="0"/>
    <pivotField compact="0" outline="0" showAll="0">
      <items count="9">
        <item x="3"/>
        <item x="2"/>
        <item x="0"/>
        <item x="7"/>
        <item x="6"/>
        <item x="4"/>
        <item x="1"/>
        <item x="5"/>
        <item t="default"/>
      </items>
    </pivotField>
    <pivotField compact="0" outline="0" showAll="0"/>
    <pivotField compact="0" outline="0" showAll="0">
      <items count="4">
        <item x="0"/>
        <item x="1"/>
        <item x="2"/>
        <item t="default"/>
      </items>
    </pivotField>
    <pivotField compact="0" outline="0" showAll="0"/>
    <pivotField axis="axisRow" compact="0" outline="0" showAll="0" measureFilter="1">
      <items count="959">
        <item x="384"/>
        <item x="283"/>
        <item x="192"/>
        <item x="782"/>
        <item x="539"/>
        <item x="101"/>
        <item x="848"/>
        <item x="564"/>
        <item x="898"/>
        <item x="294"/>
        <item x="578"/>
        <item x="598"/>
        <item x="556"/>
        <item x="811"/>
        <item x="459"/>
        <item x="68"/>
        <item x="422"/>
        <item x="544"/>
        <item x="31"/>
        <item x="786"/>
        <item x="897"/>
        <item x="432"/>
        <item x="395"/>
        <item x="654"/>
        <item x="607"/>
        <item x="910"/>
        <item x="73"/>
        <item x="799"/>
        <item x="398"/>
        <item x="34"/>
        <item x="427"/>
        <item x="616"/>
        <item x="929"/>
        <item x="633"/>
        <item x="890"/>
        <item x="732"/>
        <item x="766"/>
        <item x="834"/>
        <item x="263"/>
        <item x="464"/>
        <item x="177"/>
        <item x="325"/>
        <item x="90"/>
        <item x="589"/>
        <item x="311"/>
        <item x="359"/>
        <item x="486"/>
        <item x="171"/>
        <item x="88"/>
        <item x="830"/>
        <item x="320"/>
        <item x="827"/>
        <item x="9"/>
        <item x="333"/>
        <item x="892"/>
        <item x="175"/>
        <item x="760"/>
        <item x="553"/>
        <item x="84"/>
        <item x="665"/>
        <item x="721"/>
        <item x="814"/>
        <item x="10"/>
        <item x="860"/>
        <item x="752"/>
        <item x="526"/>
        <item x="161"/>
        <item x="49"/>
        <item x="944"/>
        <item x="737"/>
        <item x="781"/>
        <item x="603"/>
        <item x="934"/>
        <item x="212"/>
        <item x="805"/>
        <item x="335"/>
        <item x="135"/>
        <item x="896"/>
        <item x="728"/>
        <item x="477"/>
        <item x="33"/>
        <item x="369"/>
        <item x="606"/>
        <item x="949"/>
        <item x="565"/>
        <item x="863"/>
        <item x="855"/>
        <item x="729"/>
        <item x="270"/>
        <item x="396"/>
        <item x="347"/>
        <item x="618"/>
        <item x="669"/>
        <item x="591"/>
        <item x="226"/>
        <item x="278"/>
        <item x="361"/>
        <item x="130"/>
        <item x="109"/>
        <item x="467"/>
        <item x="871"/>
        <item x="46"/>
        <item x="154"/>
        <item x="821"/>
        <item x="939"/>
        <item x="555"/>
        <item x="205"/>
        <item x="590"/>
        <item x="704"/>
        <item x="655"/>
        <item x="244"/>
        <item x="638"/>
        <item x="493"/>
        <item x="644"/>
        <item x="430"/>
        <item x="750"/>
        <item x="697"/>
        <item x="853"/>
        <item x="279"/>
        <item x="23"/>
        <item x="183"/>
        <item x="125"/>
        <item x="879"/>
        <item x="488"/>
        <item x="813"/>
        <item x="909"/>
        <item x="479"/>
        <item x="587"/>
        <item x="866"/>
        <item x="586"/>
        <item x="310"/>
        <item x="771"/>
        <item x="541"/>
        <item x="568"/>
        <item x="928"/>
        <item x="719"/>
        <item x="389"/>
        <item x="122"/>
        <item x="216"/>
        <item x="911"/>
        <item x="717"/>
        <item x="769"/>
        <item x="735"/>
        <item x="66"/>
        <item x="659"/>
        <item x="531"/>
        <item x="123"/>
        <item x="380"/>
        <item x="408"/>
        <item x="727"/>
        <item x="674"/>
        <item x="558"/>
        <item x="366"/>
        <item x="567"/>
        <item x="63"/>
        <item x="275"/>
        <item x="796"/>
        <item x="264"/>
        <item x="527"/>
        <item x="269"/>
        <item x="48"/>
        <item x="744"/>
        <item x="614"/>
        <item x="394"/>
        <item x="954"/>
        <item x="906"/>
        <item x="894"/>
        <item x="447"/>
        <item x="629"/>
        <item x="338"/>
        <item x="391"/>
        <item x="851"/>
        <item x="431"/>
        <item x="198"/>
        <item x="454"/>
        <item x="594"/>
        <item x="423"/>
        <item x="426"/>
        <item x="624"/>
        <item x="571"/>
        <item x="649"/>
        <item x="687"/>
        <item x="823"/>
        <item x="877"/>
        <item x="37"/>
        <item x="367"/>
        <item x="341"/>
        <item x="653"/>
        <item x="57"/>
        <item x="339"/>
        <item x="316"/>
        <item x="16"/>
        <item x="210"/>
        <item x="323"/>
        <item x="308"/>
        <item x="371"/>
        <item x="536"/>
        <item x="736"/>
        <item x="849"/>
        <item x="87"/>
        <item x="579"/>
        <item x="435"/>
        <item x="950"/>
        <item x="200"/>
        <item x="86"/>
        <item x="187"/>
        <item x="110"/>
        <item x="458"/>
        <item x="812"/>
        <item x="20"/>
        <item x="908"/>
        <item x="888"/>
        <item x="927"/>
        <item x="195"/>
        <item x="690"/>
        <item x="416"/>
        <item x="476"/>
        <item x="751"/>
        <item x="133"/>
        <item x="61"/>
        <item x="134"/>
        <item x="238"/>
        <item x="498"/>
        <item x="304"/>
        <item x="24"/>
        <item x="668"/>
        <item x="635"/>
        <item x="99"/>
        <item x="253"/>
        <item x="429"/>
        <item x="19"/>
        <item x="155"/>
        <item x="916"/>
        <item x="634"/>
        <item x="189"/>
        <item x="436"/>
        <item x="251"/>
        <item x="753"/>
        <item x="671"/>
        <item x="293"/>
        <item x="822"/>
        <item x="2"/>
        <item x="627"/>
        <item x="956"/>
        <item x="150"/>
        <item x="538"/>
        <item x="713"/>
        <item x="132"/>
        <item x="404"/>
        <item x="197"/>
        <item x="734"/>
        <item x="41"/>
        <item x="22"/>
        <item x="351"/>
        <item x="160"/>
        <item x="645"/>
        <item x="764"/>
        <item x="632"/>
        <item x="172"/>
        <item x="327"/>
        <item x="443"/>
        <item x="535"/>
        <item x="839"/>
        <item x="761"/>
        <item x="21"/>
        <item x="938"/>
        <item x="140"/>
        <item x="915"/>
        <item x="285"/>
        <item x="17"/>
        <item x="225"/>
        <item x="291"/>
        <item x="646"/>
        <item x="660"/>
        <item x="392"/>
        <item x="4"/>
        <item x="520"/>
        <item x="315"/>
        <item x="596"/>
        <item x="480"/>
        <item x="763"/>
        <item x="904"/>
        <item x="902"/>
        <item x="819"/>
        <item x="329"/>
        <item x="741"/>
        <item x="757"/>
        <item x="800"/>
        <item x="489"/>
        <item x="483"/>
        <item x="194"/>
        <item x="630"/>
        <item x="36"/>
        <item x="174"/>
        <item x="114"/>
        <item x="631"/>
        <item x="38"/>
        <item x="491"/>
        <item x="76"/>
        <item x="166"/>
        <item x="864"/>
        <item x="492"/>
        <item x="328"/>
        <item x="449"/>
        <item x="455"/>
        <item x="185"/>
        <item x="349"/>
        <item x="215"/>
        <item x="793"/>
        <item x="807"/>
        <item x="229"/>
        <item x="506"/>
        <item x="809"/>
        <item x="619"/>
        <item x="353"/>
        <item x="583"/>
        <item x="141"/>
        <item x="266"/>
        <item x="128"/>
        <item x="11"/>
        <item x="940"/>
        <item x="74"/>
        <item x="647"/>
        <item x="343"/>
        <item x="935"/>
        <item x="700"/>
        <item x="434"/>
        <item x="922"/>
        <item x="414"/>
        <item x="453"/>
        <item x="44"/>
        <item x="862"/>
        <item x="806"/>
        <item x="457"/>
        <item x="28"/>
        <item x="828"/>
        <item x="957"/>
        <item x="306"/>
        <item x="345"/>
        <item x="240"/>
        <item x="525"/>
        <item x="295"/>
        <item x="153"/>
        <item x="446"/>
        <item x="810"/>
        <item x="683"/>
        <item x="246"/>
        <item x="254"/>
        <item x="102"/>
        <item x="792"/>
        <item x="878"/>
        <item x="441"/>
        <item x="120"/>
        <item x="213"/>
        <item x="680"/>
        <item x="326"/>
        <item x="303"/>
        <item x="948"/>
        <item x="211"/>
        <item x="415"/>
        <item x="779"/>
        <item x="599"/>
        <item x="500"/>
        <item x="85"/>
        <item x="58"/>
        <item x="288"/>
        <item x="307"/>
        <item x="917"/>
        <item x="883"/>
        <item x="747"/>
        <item x="625"/>
        <item x="733"/>
        <item x="692"/>
        <item x="656"/>
        <item x="313"/>
        <item x="681"/>
        <item x="81"/>
        <item x="173"/>
        <item x="797"/>
        <item x="424"/>
        <item x="247"/>
        <item x="98"/>
        <item x="952"/>
        <item x="104"/>
        <item x="585"/>
        <item x="243"/>
        <item x="808"/>
        <item x="55"/>
        <item x="230"/>
        <item x="70"/>
        <item x="899"/>
        <item x="273"/>
        <item x="35"/>
        <item x="707"/>
        <item x="115"/>
        <item x="874"/>
        <item x="554"/>
        <item x="887"/>
        <item x="740"/>
        <item x="1"/>
        <item x="138"/>
        <item x="941"/>
        <item x="716"/>
        <item x="546"/>
        <item x="258"/>
        <item x="181"/>
        <item x="417"/>
        <item x="469"/>
        <item x="815"/>
        <item x="776"/>
        <item x="314"/>
        <item x="286"/>
        <item x="322"/>
        <item x="840"/>
        <item x="336"/>
        <item x="12"/>
        <item x="180"/>
        <item x="471"/>
        <item x="825"/>
        <item x="695"/>
        <item x="521"/>
        <item x="886"/>
        <item x="791"/>
        <item x="93"/>
        <item x="105"/>
        <item x="482"/>
        <item x="302"/>
        <item x="206"/>
        <item x="472"/>
        <item x="425"/>
        <item x="931"/>
        <item x="643"/>
        <item x="365"/>
        <item x="496"/>
        <item x="100"/>
        <item x="640"/>
        <item x="407"/>
        <item x="103"/>
        <item x="29"/>
        <item x="943"/>
        <item x="573"/>
        <item x="463"/>
        <item x="746"/>
        <item x="611"/>
        <item x="580"/>
        <item x="870"/>
        <item x="419"/>
        <item x="570"/>
        <item x="397"/>
        <item x="418"/>
        <item x="399"/>
        <item x="444"/>
        <item x="789"/>
        <item x="456"/>
        <item x="321"/>
        <item x="433"/>
        <item x="676"/>
        <item x="232"/>
        <item x="494"/>
        <item x="670"/>
        <item x="515"/>
        <item x="241"/>
        <item x="162"/>
        <item x="867"/>
        <item x="499"/>
        <item x="309"/>
        <item x="833"/>
        <item x="52"/>
        <item x="473"/>
        <item x="804"/>
        <item x="296"/>
        <item x="224"/>
        <item x="662"/>
        <item x="193"/>
        <item x="562"/>
        <item x="550"/>
        <item x="699"/>
        <item x="287"/>
        <item x="921"/>
        <item x="342"/>
        <item x="696"/>
        <item x="387"/>
        <item x="508"/>
        <item x="272"/>
        <item x="552"/>
        <item x="214"/>
        <item x="705"/>
        <item x="437"/>
        <item x="749"/>
        <item x="772"/>
        <item x="563"/>
        <item x="108"/>
        <item x="523"/>
        <item x="186"/>
        <item x="924"/>
        <item x="601"/>
        <item x="348"/>
        <item x="305"/>
        <item x="504"/>
        <item x="673"/>
        <item x="710"/>
        <item x="933"/>
        <item x="364"/>
        <item x="75"/>
        <item x="386"/>
        <item x="250"/>
        <item x="450"/>
        <item x="176"/>
        <item x="204"/>
        <item x="50"/>
        <item x="844"/>
        <item x="678"/>
        <item x="920"/>
        <item x="788"/>
        <item x="470"/>
        <item x="930"/>
        <item x="201"/>
        <item x="39"/>
        <item x="82"/>
        <item x="178"/>
        <item x="513"/>
        <item x="495"/>
        <item x="675"/>
        <item x="953"/>
        <item x="838"/>
        <item x="626"/>
        <item x="572"/>
        <item x="126"/>
        <item x="18"/>
        <item x="918"/>
        <item x="465"/>
        <item x="383"/>
        <item x="217"/>
        <item x="715"/>
        <item x="124"/>
        <item x="107"/>
        <item x="756"/>
        <item x="182"/>
        <item x="235"/>
        <item x="352"/>
        <item x="268"/>
        <item x="148"/>
        <item x="946"/>
        <item x="604"/>
        <item x="255"/>
        <item x="256"/>
        <item x="14"/>
        <item x="53"/>
        <item x="925"/>
        <item x="249"/>
        <item x="686"/>
        <item x="79"/>
        <item x="265"/>
        <item x="612"/>
        <item x="677"/>
        <item x="837"/>
        <item x="581"/>
        <item x="233"/>
        <item x="346"/>
        <item x="497"/>
        <item x="560"/>
        <item x="117"/>
        <item x="484"/>
        <item x="301"/>
        <item x="528"/>
        <item x="861"/>
        <item x="691"/>
        <item x="131"/>
        <item x="540"/>
        <item x="884"/>
        <item x="0"/>
        <item x="26"/>
        <item x="324"/>
        <item x="802"/>
        <item x="795"/>
        <item x="40"/>
        <item x="551"/>
        <item x="357"/>
        <item x="119"/>
        <item x="91"/>
        <item x="372"/>
        <item x="588"/>
        <item x="159"/>
        <item x="405"/>
        <item x="282"/>
        <item x="955"/>
        <item x="410"/>
        <item x="623"/>
        <item x="900"/>
        <item x="639"/>
        <item x="932"/>
        <item x="207"/>
        <item x="439"/>
        <item x="400"/>
        <item x="858"/>
        <item x="487"/>
        <item x="290"/>
        <item x="835"/>
        <item x="236"/>
        <item x="875"/>
        <item x="370"/>
        <item x="401"/>
        <item x="754"/>
        <item x="317"/>
        <item x="111"/>
        <item x="142"/>
        <item x="636"/>
        <item x="608"/>
        <item x="147"/>
        <item x="312"/>
        <item x="355"/>
        <item x="209"/>
        <item x="770"/>
        <item x="574"/>
        <item x="199"/>
        <item x="650"/>
        <item x="276"/>
        <item x="298"/>
        <item x="97"/>
        <item x="127"/>
        <item x="947"/>
        <item x="27"/>
        <item x="617"/>
        <item x="777"/>
        <item x="688"/>
        <item x="245"/>
        <item x="96"/>
        <item x="648"/>
        <item x="575"/>
        <item x="95"/>
        <item x="702"/>
        <item x="857"/>
        <item x="889"/>
        <item x="5"/>
        <item x="907"/>
        <item x="516"/>
        <item x="440"/>
        <item x="412"/>
        <item x="818"/>
        <item x="903"/>
        <item x="261"/>
        <item x="532"/>
        <item x="237"/>
        <item x="136"/>
        <item x="360"/>
        <item x="77"/>
        <item x="262"/>
        <item x="780"/>
        <item x="390"/>
        <item x="267"/>
        <item x="179"/>
        <item x="685"/>
        <item x="411"/>
        <item x="257"/>
        <item x="768"/>
        <item x="334"/>
        <item x="708"/>
        <item x="145"/>
        <item x="762"/>
        <item x="765"/>
        <item x="722"/>
        <item x="926"/>
        <item x="376"/>
        <item x="542"/>
        <item x="203"/>
        <item x="71"/>
        <item x="445"/>
        <item x="865"/>
        <item x="143"/>
        <item x="220"/>
        <item x="778"/>
        <item x="83"/>
        <item x="758"/>
        <item x="106"/>
        <item x="137"/>
        <item x="945"/>
        <item x="718"/>
        <item x="801"/>
        <item x="3"/>
        <item x="6"/>
        <item x="689"/>
        <item x="184"/>
        <item x="152"/>
        <item x="577"/>
        <item x="622"/>
        <item x="545"/>
        <item x="139"/>
        <item x="850"/>
        <item x="829"/>
        <item x="759"/>
        <item x="942"/>
        <item x="672"/>
        <item x="60"/>
        <item x="667"/>
        <item x="252"/>
        <item x="169"/>
        <item x="841"/>
        <item x="518"/>
        <item x="378"/>
        <item x="368"/>
        <item x="375"/>
        <item x="406"/>
        <item x="522"/>
        <item x="609"/>
        <item x="168"/>
        <item x="385"/>
        <item x="847"/>
        <item x="248"/>
        <item x="832"/>
        <item x="149"/>
        <item x="15"/>
        <item x="379"/>
        <item x="703"/>
        <item x="259"/>
        <item x="620"/>
        <item x="936"/>
        <item x="59"/>
        <item x="787"/>
        <item x="651"/>
        <item x="831"/>
        <item x="219"/>
        <item x="227"/>
        <item x="330"/>
        <item x="222"/>
        <item x="92"/>
        <item x="318"/>
        <item x="164"/>
        <item x="373"/>
        <item x="803"/>
        <item x="113"/>
        <item x="537"/>
        <item x="196"/>
        <item x="773"/>
        <item x="566"/>
        <item x="755"/>
        <item x="745"/>
        <item x="592"/>
        <item x="905"/>
        <item x="350"/>
        <item x="605"/>
        <item x="507"/>
        <item x="872"/>
        <item x="42"/>
        <item x="533"/>
        <item x="475"/>
        <item x="684"/>
        <item x="873"/>
        <item x="885"/>
        <item x="420"/>
        <item x="80"/>
        <item x="600"/>
        <item x="382"/>
        <item x="337"/>
        <item x="72"/>
        <item x="67"/>
        <item x="409"/>
        <item x="937"/>
        <item x="474"/>
        <item x="637"/>
        <item x="711"/>
        <item x="743"/>
        <item x="393"/>
        <item x="843"/>
        <item x="613"/>
        <item x="54"/>
        <item x="842"/>
        <item x="191"/>
        <item x="421"/>
        <item x="43"/>
        <item x="274"/>
        <item x="30"/>
        <item x="151"/>
        <item x="694"/>
        <item x="502"/>
        <item x="576"/>
        <item x="280"/>
        <item x="69"/>
        <item x="116"/>
        <item x="767"/>
        <item x="913"/>
        <item x="297"/>
        <item x="388"/>
        <item x="529"/>
        <item x="714"/>
        <item x="377"/>
        <item x="157"/>
        <item x="8"/>
        <item x="725"/>
        <item x="881"/>
        <item x="820"/>
        <item x="658"/>
        <item x="442"/>
        <item x="260"/>
        <item x="731"/>
        <item x="534"/>
        <item x="893"/>
        <item x="208"/>
        <item x="748"/>
        <item x="231"/>
        <item x="663"/>
        <item x="242"/>
        <item x="56"/>
        <item x="511"/>
        <item x="859"/>
        <item x="742"/>
        <item x="891"/>
        <item x="846"/>
        <item x="724"/>
        <item x="438"/>
        <item x="602"/>
        <item x="170"/>
        <item x="478"/>
        <item x="146"/>
        <item x="548"/>
        <item x="223"/>
        <item x="514"/>
        <item x="530"/>
        <item x="895"/>
        <item x="428"/>
        <item x="816"/>
        <item x="64"/>
        <item x="739"/>
        <item x="362"/>
        <item x="156"/>
        <item x="901"/>
        <item x="356"/>
        <item x="505"/>
        <item x="344"/>
        <item x="363"/>
        <item x="340"/>
        <item x="826"/>
        <item x="775"/>
        <item x="615"/>
        <item x="561"/>
        <item x="919"/>
        <item x="880"/>
        <item x="706"/>
        <item x="559"/>
        <item x="284"/>
        <item x="331"/>
        <item x="300"/>
        <item x="817"/>
        <item x="112"/>
        <item x="794"/>
        <item x="51"/>
        <item x="557"/>
        <item x="642"/>
        <item x="218"/>
        <item x="584"/>
        <item x="876"/>
        <item x="228"/>
        <item x="923"/>
        <item x="490"/>
        <item x="824"/>
        <item x="292"/>
        <item x="595"/>
        <item x="738"/>
        <item x="512"/>
        <item x="543"/>
        <item x="89"/>
        <item x="628"/>
        <item x="271"/>
        <item x="221"/>
        <item x="234"/>
        <item x="281"/>
        <item x="784"/>
        <item x="852"/>
        <item x="319"/>
        <item x="78"/>
        <item x="666"/>
        <item x="403"/>
        <item x="698"/>
        <item x="785"/>
        <item x="709"/>
        <item x="597"/>
        <item x="774"/>
        <item x="485"/>
        <item x="868"/>
        <item x="144"/>
        <item x="94"/>
        <item x="466"/>
        <item x="452"/>
        <item x="657"/>
        <item x="451"/>
        <item x="524"/>
        <item x="914"/>
        <item x="569"/>
        <item x="693"/>
        <item x="62"/>
        <item x="47"/>
        <item x="190"/>
        <item x="836"/>
        <item x="167"/>
        <item x="720"/>
        <item x="461"/>
        <item x="726"/>
        <item x="277"/>
        <item x="468"/>
        <item x="593"/>
        <item x="951"/>
        <item x="641"/>
        <item x="652"/>
        <item x="381"/>
        <item x="239"/>
        <item x="13"/>
        <item x="413"/>
        <item x="158"/>
        <item x="25"/>
        <item x="299"/>
        <item x="712"/>
        <item x="65"/>
        <item x="723"/>
        <item x="664"/>
        <item x="289"/>
        <item x="374"/>
        <item x="188"/>
        <item x="790"/>
        <item x="730"/>
        <item x="912"/>
        <item x="503"/>
        <item x="202"/>
        <item x="547"/>
        <item x="462"/>
        <item x="856"/>
        <item x="682"/>
        <item x="845"/>
        <item x="582"/>
        <item x="358"/>
        <item x="509"/>
        <item x="519"/>
        <item x="165"/>
        <item x="610"/>
        <item x="448"/>
        <item x="402"/>
        <item x="118"/>
        <item x="129"/>
        <item x="549"/>
        <item x="121"/>
        <item x="510"/>
        <item x="621"/>
        <item x="869"/>
        <item x="354"/>
        <item x="163"/>
        <item x="501"/>
        <item x="45"/>
        <item x="32"/>
        <item x="783"/>
        <item x="854"/>
        <item x="460"/>
        <item x="701"/>
        <item x="332"/>
        <item x="661"/>
        <item x="798"/>
        <item x="882"/>
        <item x="7"/>
        <item x="517"/>
        <item x="481"/>
        <item x="679"/>
        <item t="default"/>
      </items>
    </pivotField>
    <pivotField compact="0" outline="0" showAll="0"/>
    <pivotField compact="0" numFmtId="4" outline="0" showAll="0"/>
    <pivotField compact="0" outline="0" showAll="0"/>
    <pivotField dataField="1" compact="0" numFmtId="4" outline="0" showAll="0"/>
    <pivotField compact="0" numFmtId="4" outline="0" showAll="0"/>
    <pivotField compact="0" numFmtId="4" outline="0" showAll="0"/>
    <pivotField compact="0" outline="0" showAll="0">
      <items count="4">
        <item x="2"/>
        <item x="0"/>
        <item x="1"/>
        <item t="default"/>
      </items>
    </pivotField>
    <pivotField compact="0" outline="0" showAll="0"/>
    <pivotField compact="0" outline="0" showAll="0">
      <items count="13">
        <item x="9"/>
        <item x="2"/>
        <item x="3"/>
        <item x="7"/>
        <item x="0"/>
        <item x="10"/>
        <item x="5"/>
        <item x="6"/>
        <item x="4"/>
        <item x="1"/>
        <item x="8"/>
        <item x="11"/>
        <item t="default"/>
      </items>
    </pivotField>
    <pivotField compact="0" outline="0" showAll="0">
      <items count="3">
        <item x="0"/>
        <item sd="0" x="1"/>
        <item t="default"/>
      </items>
    </pivotField>
  </pivotFields>
  <rowFields count="1">
    <field x="8"/>
  </rowFields>
  <rowItems count="11">
    <i>
      <x v="2"/>
    </i>
    <i>
      <x v="33"/>
    </i>
    <i>
      <x v="41"/>
    </i>
    <i>
      <x v="344"/>
    </i>
    <i>
      <x v="355"/>
    </i>
    <i>
      <x v="451"/>
    </i>
    <i>
      <x v="886"/>
    </i>
    <i>
      <x v="907"/>
    </i>
    <i>
      <x v="908"/>
    </i>
    <i>
      <x v="930"/>
    </i>
    <i t="grand">
      <x/>
    </i>
  </rowItems>
  <colItems count="1">
    <i/>
  </colItems>
  <dataFields count="1">
    <dataField name="Sum of Revenue" fld="12" baseField="0" baseItem="0"/>
  </dataField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6"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F40:G44" firstHeaderRow="1" firstDataRow="1" firstDataCol="1"/>
  <pivotFields count="19">
    <pivotField compact="0" outline="0" showAll="0"/>
    <pivotField compact="0" numFmtId="16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4" outline="0" showAll="0"/>
    <pivotField compact="0" outline="0" showAll="0"/>
    <pivotField dataField="1" compact="0" numFmtId="4" outline="0" showAll="0"/>
    <pivotField compact="0" numFmtId="4" outline="0" showAll="0"/>
    <pivotField compact="0" numFmtId="4" outline="0" showAll="0"/>
    <pivotField axis="axisRow" compact="0" outline="0" showAll="0">
      <items count="4">
        <item x="2"/>
        <item x="0"/>
        <item x="1"/>
        <item t="default"/>
      </items>
    </pivotField>
    <pivotField compact="0" outline="0" showAll="0"/>
    <pivotField compact="0" outline="0" showAll="0"/>
    <pivotField compact="0" outline="0" showAll="0"/>
  </pivotFields>
  <rowFields count="1">
    <field x="15"/>
  </rowFields>
  <rowItems count="4">
    <i>
      <x/>
    </i>
    <i>
      <x v="1"/>
    </i>
    <i>
      <x v="2"/>
    </i>
    <i t="grand">
      <x/>
    </i>
  </rowItems>
  <colItems count="1">
    <i/>
  </colItems>
  <dataFields count="1">
    <dataField name="Sum of Revenue" fld="12" baseField="0" baseItem="0" numFmtId="4"/>
  </dataFields>
  <chartFormats count="16">
    <chartFormat chart="1" format="4" series="1">
      <pivotArea type="data" outline="0" fieldPosition="0">
        <references count="1">
          <reference field="4294967294" count="1" selected="0">
            <x v="0"/>
          </reference>
        </references>
      </pivotArea>
    </chartFormat>
    <chartFormat chart="1" format="5">
      <pivotArea type="data" outline="0" fieldPosition="0">
        <references count="2">
          <reference field="4294967294" count="1" selected="0">
            <x v="0"/>
          </reference>
          <reference field="15" count="1" selected="0">
            <x v="0"/>
          </reference>
        </references>
      </pivotArea>
    </chartFormat>
    <chartFormat chart="1" format="6">
      <pivotArea type="data" outline="0" fieldPosition="0">
        <references count="2">
          <reference field="4294967294" count="1" selected="0">
            <x v="0"/>
          </reference>
          <reference field="15" count="1" selected="0">
            <x v="1"/>
          </reference>
        </references>
      </pivotArea>
    </chartFormat>
    <chartFormat chart="1" format="7">
      <pivotArea type="data" outline="0" fieldPosition="0">
        <references count="2">
          <reference field="4294967294" count="1" selected="0">
            <x v="0"/>
          </reference>
          <reference field="15" count="1" selected="0">
            <x v="2"/>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5" count="1" selected="0">
            <x v="0"/>
          </reference>
        </references>
      </pivotArea>
    </chartFormat>
    <chartFormat chart="2" format="10">
      <pivotArea type="data" outline="0" fieldPosition="0">
        <references count="2">
          <reference field="4294967294" count="1" selected="0">
            <x v="0"/>
          </reference>
          <reference field="15" count="1" selected="0">
            <x v="1"/>
          </reference>
        </references>
      </pivotArea>
    </chartFormat>
    <chartFormat chart="2" format="11">
      <pivotArea type="data" outline="0" fieldPosition="0">
        <references count="2">
          <reference field="4294967294" count="1" selected="0">
            <x v="0"/>
          </reference>
          <reference field="15" count="1" selected="0">
            <x v="2"/>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15" count="1" selected="0">
            <x v="0"/>
          </reference>
        </references>
      </pivotArea>
    </chartFormat>
    <chartFormat chart="3" format="14">
      <pivotArea type="data" outline="0" fieldPosition="0">
        <references count="2">
          <reference field="4294967294" count="1" selected="0">
            <x v="0"/>
          </reference>
          <reference field="15" count="1" selected="0">
            <x v="1"/>
          </reference>
        </references>
      </pivotArea>
    </chartFormat>
    <chartFormat chart="3" format="15">
      <pivotArea type="data" outline="0" fieldPosition="0">
        <references count="2">
          <reference field="4294967294" count="1" selected="0">
            <x v="0"/>
          </reference>
          <reference field="15" count="1" selected="0">
            <x v="2"/>
          </reference>
        </references>
      </pivotArea>
    </chartFormat>
    <chartFormat chart="4" format="16" series="1">
      <pivotArea type="data" outline="0" fieldPosition="0">
        <references count="1">
          <reference field="4294967294" count="1" selected="0">
            <x v="0"/>
          </reference>
        </references>
      </pivotArea>
    </chartFormat>
    <chartFormat chart="4" format="17">
      <pivotArea type="data" outline="0" fieldPosition="0">
        <references count="2">
          <reference field="4294967294" count="1" selected="0">
            <x v="0"/>
          </reference>
          <reference field="15" count="1" selected="0">
            <x v="0"/>
          </reference>
        </references>
      </pivotArea>
    </chartFormat>
    <chartFormat chart="4" format="18">
      <pivotArea type="data" outline="0" fieldPosition="0">
        <references count="2">
          <reference field="4294967294" count="1" selected="0">
            <x v="0"/>
          </reference>
          <reference field="15" count="1" selected="0">
            <x v="1"/>
          </reference>
        </references>
      </pivotArea>
    </chartFormat>
    <chartFormat chart="4" format="19">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6" cacheId="1" applyNumberFormats="0" applyBorderFormats="0" applyFontFormats="0" applyPatternFormats="0" applyAlignmentFormats="0" applyWidthHeightFormats="1" dataCaption="Values" updatedVersion="4" minRefreshableVersion="3" useAutoFormatting="1" itemPrintTitles="1" createdVersion="8" indent="0" compact="0" compactData="0" multipleFieldFilters="0" chartFormat="9">
  <location ref="M17:N21" firstHeaderRow="1" firstDataRow="1" firstDataCol="1"/>
  <pivotFields count="19">
    <pivotField compact="0" outline="0" showAll="0"/>
    <pivotField compact="0" numFmtId="164" outline="0" showAll="0"/>
    <pivotField compact="0" outline="0" showAll="0">
      <items count="5">
        <item x="3"/>
        <item x="1"/>
        <item x="2"/>
        <item x="0"/>
        <item t="default"/>
      </items>
    </pivotField>
    <pivotField compact="0" outline="0" showAll="0"/>
    <pivotField compact="0" outline="0" showAll="0">
      <items count="9">
        <item x="3"/>
        <item x="2"/>
        <item x="0"/>
        <item x="7"/>
        <item x="6"/>
        <item x="4"/>
        <item x="1"/>
        <item x="5"/>
        <item t="default"/>
      </items>
    </pivotField>
    <pivotField compact="0" outline="0" showAll="0"/>
    <pivotField compact="0" outline="0" showAll="0">
      <items count="4">
        <item x="0"/>
        <item x="1"/>
        <item x="2"/>
        <item t="default"/>
      </items>
    </pivotField>
    <pivotField compact="0" outline="0" showAll="0"/>
    <pivotField compact="0" outline="0" showAll="0" measureFilter="1">
      <items count="959">
        <item x="384"/>
        <item x="283"/>
        <item x="192"/>
        <item x="782"/>
        <item x="539"/>
        <item x="101"/>
        <item x="848"/>
        <item x="564"/>
        <item x="898"/>
        <item x="294"/>
        <item x="578"/>
        <item x="598"/>
        <item x="556"/>
        <item x="811"/>
        <item x="459"/>
        <item x="68"/>
        <item x="422"/>
        <item x="544"/>
        <item x="31"/>
        <item x="786"/>
        <item x="897"/>
        <item x="432"/>
        <item x="395"/>
        <item x="654"/>
        <item x="607"/>
        <item x="910"/>
        <item x="73"/>
        <item x="799"/>
        <item x="398"/>
        <item x="34"/>
        <item x="427"/>
        <item x="616"/>
        <item x="929"/>
        <item x="633"/>
        <item x="890"/>
        <item x="732"/>
        <item x="766"/>
        <item x="834"/>
        <item x="263"/>
        <item x="464"/>
        <item x="177"/>
        <item x="325"/>
        <item x="90"/>
        <item x="589"/>
        <item x="311"/>
        <item x="359"/>
        <item x="486"/>
        <item x="171"/>
        <item x="88"/>
        <item x="830"/>
        <item x="320"/>
        <item x="827"/>
        <item x="9"/>
        <item x="333"/>
        <item x="892"/>
        <item x="175"/>
        <item x="760"/>
        <item x="553"/>
        <item x="84"/>
        <item x="665"/>
        <item x="721"/>
        <item x="814"/>
        <item x="10"/>
        <item x="860"/>
        <item x="752"/>
        <item x="526"/>
        <item x="161"/>
        <item x="49"/>
        <item x="944"/>
        <item x="737"/>
        <item x="781"/>
        <item x="603"/>
        <item x="934"/>
        <item x="212"/>
        <item x="805"/>
        <item x="335"/>
        <item x="135"/>
        <item x="896"/>
        <item x="728"/>
        <item x="477"/>
        <item x="33"/>
        <item x="369"/>
        <item x="606"/>
        <item x="949"/>
        <item x="565"/>
        <item x="863"/>
        <item x="855"/>
        <item x="729"/>
        <item x="270"/>
        <item x="396"/>
        <item x="347"/>
        <item x="618"/>
        <item x="669"/>
        <item x="591"/>
        <item x="226"/>
        <item x="278"/>
        <item x="361"/>
        <item x="130"/>
        <item x="109"/>
        <item x="467"/>
        <item x="871"/>
        <item x="46"/>
        <item x="154"/>
        <item x="821"/>
        <item x="939"/>
        <item x="555"/>
        <item x="205"/>
        <item x="590"/>
        <item x="704"/>
        <item x="655"/>
        <item x="244"/>
        <item x="638"/>
        <item x="493"/>
        <item x="644"/>
        <item x="430"/>
        <item x="750"/>
        <item x="697"/>
        <item x="853"/>
        <item x="279"/>
        <item x="23"/>
        <item x="183"/>
        <item x="125"/>
        <item x="879"/>
        <item x="488"/>
        <item x="813"/>
        <item x="909"/>
        <item x="479"/>
        <item x="587"/>
        <item x="866"/>
        <item x="586"/>
        <item x="310"/>
        <item x="771"/>
        <item x="541"/>
        <item x="568"/>
        <item x="928"/>
        <item x="719"/>
        <item x="389"/>
        <item x="122"/>
        <item x="216"/>
        <item x="911"/>
        <item x="717"/>
        <item x="769"/>
        <item x="735"/>
        <item x="66"/>
        <item x="659"/>
        <item x="531"/>
        <item x="123"/>
        <item x="380"/>
        <item x="408"/>
        <item x="727"/>
        <item x="674"/>
        <item x="558"/>
        <item x="366"/>
        <item x="567"/>
        <item x="63"/>
        <item x="275"/>
        <item x="796"/>
        <item x="264"/>
        <item x="527"/>
        <item x="269"/>
        <item x="48"/>
        <item x="744"/>
        <item x="614"/>
        <item x="394"/>
        <item x="954"/>
        <item x="906"/>
        <item x="894"/>
        <item x="447"/>
        <item x="629"/>
        <item x="338"/>
        <item x="391"/>
        <item x="851"/>
        <item x="431"/>
        <item x="198"/>
        <item x="454"/>
        <item x="594"/>
        <item x="423"/>
        <item x="426"/>
        <item x="624"/>
        <item x="571"/>
        <item x="649"/>
        <item x="687"/>
        <item x="823"/>
        <item x="877"/>
        <item x="37"/>
        <item x="367"/>
        <item x="341"/>
        <item x="653"/>
        <item x="57"/>
        <item x="339"/>
        <item x="316"/>
        <item x="16"/>
        <item x="210"/>
        <item x="323"/>
        <item x="308"/>
        <item x="371"/>
        <item x="536"/>
        <item x="736"/>
        <item x="849"/>
        <item x="87"/>
        <item x="579"/>
        <item x="435"/>
        <item x="950"/>
        <item x="200"/>
        <item x="86"/>
        <item x="187"/>
        <item x="110"/>
        <item x="458"/>
        <item x="812"/>
        <item x="20"/>
        <item x="908"/>
        <item x="888"/>
        <item x="927"/>
        <item x="195"/>
        <item x="690"/>
        <item x="416"/>
        <item x="476"/>
        <item x="751"/>
        <item x="133"/>
        <item x="61"/>
        <item x="134"/>
        <item x="238"/>
        <item x="498"/>
        <item x="304"/>
        <item x="24"/>
        <item x="668"/>
        <item x="635"/>
        <item x="99"/>
        <item x="253"/>
        <item x="429"/>
        <item x="19"/>
        <item x="155"/>
        <item x="916"/>
        <item x="634"/>
        <item x="189"/>
        <item x="436"/>
        <item x="251"/>
        <item x="753"/>
        <item x="671"/>
        <item x="293"/>
        <item x="822"/>
        <item x="2"/>
        <item x="627"/>
        <item x="956"/>
        <item x="150"/>
        <item x="538"/>
        <item x="713"/>
        <item x="132"/>
        <item x="404"/>
        <item x="197"/>
        <item x="734"/>
        <item x="41"/>
        <item x="22"/>
        <item x="351"/>
        <item x="160"/>
        <item x="645"/>
        <item x="764"/>
        <item x="632"/>
        <item x="172"/>
        <item x="327"/>
        <item x="443"/>
        <item x="535"/>
        <item x="839"/>
        <item x="761"/>
        <item x="21"/>
        <item x="938"/>
        <item x="140"/>
        <item x="915"/>
        <item x="285"/>
        <item x="17"/>
        <item x="225"/>
        <item x="291"/>
        <item x="646"/>
        <item x="660"/>
        <item x="392"/>
        <item x="4"/>
        <item x="520"/>
        <item x="315"/>
        <item x="596"/>
        <item x="480"/>
        <item x="763"/>
        <item x="904"/>
        <item x="902"/>
        <item x="819"/>
        <item x="329"/>
        <item x="741"/>
        <item x="757"/>
        <item x="800"/>
        <item x="489"/>
        <item x="483"/>
        <item x="194"/>
        <item x="630"/>
        <item x="36"/>
        <item x="174"/>
        <item x="114"/>
        <item x="631"/>
        <item x="38"/>
        <item x="491"/>
        <item x="76"/>
        <item x="166"/>
        <item x="864"/>
        <item x="492"/>
        <item x="328"/>
        <item x="449"/>
        <item x="455"/>
        <item x="185"/>
        <item x="349"/>
        <item x="215"/>
        <item x="793"/>
        <item x="807"/>
        <item x="229"/>
        <item x="506"/>
        <item x="809"/>
        <item x="619"/>
        <item x="353"/>
        <item x="583"/>
        <item x="141"/>
        <item x="266"/>
        <item x="128"/>
        <item x="11"/>
        <item x="940"/>
        <item x="74"/>
        <item x="647"/>
        <item x="343"/>
        <item x="935"/>
        <item x="700"/>
        <item x="434"/>
        <item x="922"/>
        <item x="414"/>
        <item x="453"/>
        <item x="44"/>
        <item x="862"/>
        <item x="806"/>
        <item x="457"/>
        <item x="28"/>
        <item x="828"/>
        <item x="957"/>
        <item x="306"/>
        <item x="345"/>
        <item x="240"/>
        <item x="525"/>
        <item x="295"/>
        <item x="153"/>
        <item x="446"/>
        <item x="810"/>
        <item x="683"/>
        <item x="246"/>
        <item x="254"/>
        <item x="102"/>
        <item x="792"/>
        <item x="878"/>
        <item x="441"/>
        <item x="120"/>
        <item x="213"/>
        <item x="680"/>
        <item x="326"/>
        <item x="303"/>
        <item x="948"/>
        <item x="211"/>
        <item x="415"/>
        <item x="779"/>
        <item x="599"/>
        <item x="500"/>
        <item x="85"/>
        <item x="58"/>
        <item x="288"/>
        <item x="307"/>
        <item x="917"/>
        <item x="883"/>
        <item x="747"/>
        <item x="625"/>
        <item x="733"/>
        <item x="692"/>
        <item x="656"/>
        <item x="313"/>
        <item x="681"/>
        <item x="81"/>
        <item x="173"/>
        <item x="797"/>
        <item x="424"/>
        <item x="247"/>
        <item x="98"/>
        <item x="952"/>
        <item x="104"/>
        <item x="585"/>
        <item x="243"/>
        <item x="808"/>
        <item x="55"/>
        <item x="230"/>
        <item x="70"/>
        <item x="899"/>
        <item x="273"/>
        <item x="35"/>
        <item x="707"/>
        <item x="115"/>
        <item x="874"/>
        <item x="554"/>
        <item x="887"/>
        <item x="740"/>
        <item x="1"/>
        <item x="138"/>
        <item x="941"/>
        <item x="716"/>
        <item x="546"/>
        <item x="258"/>
        <item x="181"/>
        <item x="417"/>
        <item x="469"/>
        <item x="815"/>
        <item x="776"/>
        <item x="314"/>
        <item x="286"/>
        <item x="322"/>
        <item x="840"/>
        <item x="336"/>
        <item x="12"/>
        <item x="180"/>
        <item x="471"/>
        <item x="825"/>
        <item x="695"/>
        <item x="521"/>
        <item x="886"/>
        <item x="791"/>
        <item x="93"/>
        <item x="105"/>
        <item x="482"/>
        <item x="302"/>
        <item x="206"/>
        <item x="472"/>
        <item x="425"/>
        <item x="931"/>
        <item x="643"/>
        <item x="365"/>
        <item x="496"/>
        <item x="100"/>
        <item x="640"/>
        <item x="407"/>
        <item x="103"/>
        <item x="29"/>
        <item x="943"/>
        <item x="573"/>
        <item x="463"/>
        <item x="746"/>
        <item x="611"/>
        <item x="580"/>
        <item x="870"/>
        <item x="419"/>
        <item x="570"/>
        <item x="397"/>
        <item x="418"/>
        <item x="399"/>
        <item x="444"/>
        <item x="789"/>
        <item x="456"/>
        <item x="321"/>
        <item x="433"/>
        <item x="676"/>
        <item x="232"/>
        <item x="494"/>
        <item x="670"/>
        <item x="515"/>
        <item x="241"/>
        <item x="162"/>
        <item x="867"/>
        <item x="499"/>
        <item x="309"/>
        <item x="833"/>
        <item x="52"/>
        <item x="473"/>
        <item x="804"/>
        <item x="296"/>
        <item x="224"/>
        <item x="662"/>
        <item x="193"/>
        <item x="562"/>
        <item x="550"/>
        <item x="699"/>
        <item x="287"/>
        <item x="921"/>
        <item x="342"/>
        <item x="696"/>
        <item x="387"/>
        <item x="508"/>
        <item x="272"/>
        <item x="552"/>
        <item x="214"/>
        <item x="705"/>
        <item x="437"/>
        <item x="749"/>
        <item x="772"/>
        <item x="563"/>
        <item x="108"/>
        <item x="523"/>
        <item x="186"/>
        <item x="924"/>
        <item x="601"/>
        <item x="348"/>
        <item x="305"/>
        <item x="504"/>
        <item x="673"/>
        <item x="710"/>
        <item x="933"/>
        <item x="364"/>
        <item x="75"/>
        <item x="386"/>
        <item x="250"/>
        <item x="450"/>
        <item x="176"/>
        <item x="204"/>
        <item x="50"/>
        <item x="844"/>
        <item x="678"/>
        <item x="920"/>
        <item x="788"/>
        <item x="470"/>
        <item x="930"/>
        <item x="201"/>
        <item x="39"/>
        <item x="82"/>
        <item x="178"/>
        <item x="513"/>
        <item x="495"/>
        <item x="675"/>
        <item x="953"/>
        <item x="838"/>
        <item x="626"/>
        <item x="572"/>
        <item x="126"/>
        <item x="18"/>
        <item x="918"/>
        <item x="465"/>
        <item x="383"/>
        <item x="217"/>
        <item x="715"/>
        <item x="124"/>
        <item x="107"/>
        <item x="756"/>
        <item x="182"/>
        <item x="235"/>
        <item x="352"/>
        <item x="268"/>
        <item x="148"/>
        <item x="946"/>
        <item x="604"/>
        <item x="255"/>
        <item x="256"/>
        <item x="14"/>
        <item x="53"/>
        <item x="925"/>
        <item x="249"/>
        <item x="686"/>
        <item x="79"/>
        <item x="265"/>
        <item x="612"/>
        <item x="677"/>
        <item x="837"/>
        <item x="581"/>
        <item x="233"/>
        <item x="346"/>
        <item x="497"/>
        <item x="560"/>
        <item x="117"/>
        <item x="484"/>
        <item x="301"/>
        <item x="528"/>
        <item x="861"/>
        <item x="691"/>
        <item x="131"/>
        <item x="540"/>
        <item x="884"/>
        <item x="0"/>
        <item x="26"/>
        <item x="324"/>
        <item x="802"/>
        <item x="795"/>
        <item x="40"/>
        <item x="551"/>
        <item x="357"/>
        <item x="119"/>
        <item x="91"/>
        <item x="372"/>
        <item x="588"/>
        <item x="159"/>
        <item x="405"/>
        <item x="282"/>
        <item x="955"/>
        <item x="410"/>
        <item x="623"/>
        <item x="900"/>
        <item x="639"/>
        <item x="932"/>
        <item x="207"/>
        <item x="439"/>
        <item x="400"/>
        <item x="858"/>
        <item x="487"/>
        <item x="290"/>
        <item x="835"/>
        <item x="236"/>
        <item x="875"/>
        <item x="370"/>
        <item x="401"/>
        <item x="754"/>
        <item x="317"/>
        <item x="111"/>
        <item x="142"/>
        <item x="636"/>
        <item x="608"/>
        <item x="147"/>
        <item x="312"/>
        <item x="355"/>
        <item x="209"/>
        <item x="770"/>
        <item x="574"/>
        <item x="199"/>
        <item x="650"/>
        <item x="276"/>
        <item x="298"/>
        <item x="97"/>
        <item x="127"/>
        <item x="947"/>
        <item x="27"/>
        <item x="617"/>
        <item x="777"/>
        <item x="688"/>
        <item x="245"/>
        <item x="96"/>
        <item x="648"/>
        <item x="575"/>
        <item x="95"/>
        <item x="702"/>
        <item x="857"/>
        <item x="889"/>
        <item x="5"/>
        <item x="907"/>
        <item x="516"/>
        <item x="440"/>
        <item x="412"/>
        <item x="818"/>
        <item x="903"/>
        <item x="261"/>
        <item x="532"/>
        <item x="237"/>
        <item x="136"/>
        <item x="360"/>
        <item x="77"/>
        <item x="262"/>
        <item x="780"/>
        <item x="390"/>
        <item x="267"/>
        <item x="179"/>
        <item x="685"/>
        <item x="411"/>
        <item x="257"/>
        <item x="768"/>
        <item x="334"/>
        <item x="708"/>
        <item x="145"/>
        <item x="762"/>
        <item x="765"/>
        <item x="722"/>
        <item x="926"/>
        <item x="376"/>
        <item x="542"/>
        <item x="203"/>
        <item x="71"/>
        <item x="445"/>
        <item x="865"/>
        <item x="143"/>
        <item x="220"/>
        <item x="778"/>
        <item x="83"/>
        <item x="758"/>
        <item x="106"/>
        <item x="137"/>
        <item x="945"/>
        <item x="718"/>
        <item x="801"/>
        <item x="3"/>
        <item x="6"/>
        <item x="689"/>
        <item x="184"/>
        <item x="152"/>
        <item x="577"/>
        <item x="622"/>
        <item x="545"/>
        <item x="139"/>
        <item x="850"/>
        <item x="829"/>
        <item x="759"/>
        <item x="942"/>
        <item x="672"/>
        <item x="60"/>
        <item x="667"/>
        <item x="252"/>
        <item x="169"/>
        <item x="841"/>
        <item x="518"/>
        <item x="378"/>
        <item x="368"/>
        <item x="375"/>
        <item x="406"/>
        <item x="522"/>
        <item x="609"/>
        <item x="168"/>
        <item x="385"/>
        <item x="847"/>
        <item x="248"/>
        <item x="832"/>
        <item x="149"/>
        <item x="15"/>
        <item x="379"/>
        <item x="703"/>
        <item x="259"/>
        <item x="620"/>
        <item x="936"/>
        <item x="59"/>
        <item x="787"/>
        <item x="651"/>
        <item x="831"/>
        <item x="219"/>
        <item x="227"/>
        <item x="330"/>
        <item x="222"/>
        <item x="92"/>
        <item x="318"/>
        <item x="164"/>
        <item x="373"/>
        <item x="803"/>
        <item x="113"/>
        <item x="537"/>
        <item x="196"/>
        <item x="773"/>
        <item x="566"/>
        <item x="755"/>
        <item x="745"/>
        <item x="592"/>
        <item x="905"/>
        <item x="350"/>
        <item x="605"/>
        <item x="507"/>
        <item x="872"/>
        <item x="42"/>
        <item x="533"/>
        <item x="475"/>
        <item x="684"/>
        <item x="873"/>
        <item x="885"/>
        <item x="420"/>
        <item x="80"/>
        <item x="600"/>
        <item x="382"/>
        <item x="337"/>
        <item x="72"/>
        <item x="67"/>
        <item x="409"/>
        <item x="937"/>
        <item x="474"/>
        <item x="637"/>
        <item x="711"/>
        <item x="743"/>
        <item x="393"/>
        <item x="843"/>
        <item x="613"/>
        <item x="54"/>
        <item x="842"/>
        <item x="191"/>
        <item x="421"/>
        <item x="43"/>
        <item x="274"/>
        <item x="30"/>
        <item x="151"/>
        <item x="694"/>
        <item x="502"/>
        <item x="576"/>
        <item x="280"/>
        <item x="69"/>
        <item x="116"/>
        <item x="767"/>
        <item x="913"/>
        <item x="297"/>
        <item x="388"/>
        <item x="529"/>
        <item x="714"/>
        <item x="377"/>
        <item x="157"/>
        <item x="8"/>
        <item x="725"/>
        <item x="881"/>
        <item x="820"/>
        <item x="658"/>
        <item x="442"/>
        <item x="260"/>
        <item x="731"/>
        <item x="534"/>
        <item x="893"/>
        <item x="208"/>
        <item x="748"/>
        <item x="231"/>
        <item x="663"/>
        <item x="242"/>
        <item x="56"/>
        <item x="511"/>
        <item x="859"/>
        <item x="742"/>
        <item x="891"/>
        <item x="846"/>
        <item x="724"/>
        <item x="438"/>
        <item x="602"/>
        <item x="170"/>
        <item x="478"/>
        <item x="146"/>
        <item x="548"/>
        <item x="223"/>
        <item x="514"/>
        <item x="530"/>
        <item x="895"/>
        <item x="428"/>
        <item x="816"/>
        <item x="64"/>
        <item x="739"/>
        <item x="362"/>
        <item x="156"/>
        <item x="901"/>
        <item x="356"/>
        <item x="505"/>
        <item x="344"/>
        <item x="363"/>
        <item x="340"/>
        <item x="826"/>
        <item x="775"/>
        <item x="615"/>
        <item x="561"/>
        <item x="919"/>
        <item x="880"/>
        <item x="706"/>
        <item x="559"/>
        <item x="284"/>
        <item x="331"/>
        <item x="300"/>
        <item x="817"/>
        <item x="112"/>
        <item x="794"/>
        <item x="51"/>
        <item x="557"/>
        <item x="642"/>
        <item x="218"/>
        <item x="584"/>
        <item x="876"/>
        <item x="228"/>
        <item x="923"/>
        <item x="490"/>
        <item x="824"/>
        <item x="292"/>
        <item x="595"/>
        <item x="738"/>
        <item x="512"/>
        <item x="543"/>
        <item x="89"/>
        <item x="628"/>
        <item x="271"/>
        <item x="221"/>
        <item x="234"/>
        <item x="281"/>
        <item x="784"/>
        <item x="852"/>
        <item x="319"/>
        <item x="78"/>
        <item x="666"/>
        <item x="403"/>
        <item x="698"/>
        <item x="785"/>
        <item x="709"/>
        <item x="597"/>
        <item x="774"/>
        <item x="485"/>
        <item x="868"/>
        <item x="144"/>
        <item x="94"/>
        <item x="466"/>
        <item x="452"/>
        <item x="657"/>
        <item x="451"/>
        <item x="524"/>
        <item x="914"/>
        <item x="569"/>
        <item x="693"/>
        <item x="62"/>
        <item x="47"/>
        <item x="190"/>
        <item x="836"/>
        <item x="167"/>
        <item x="720"/>
        <item x="461"/>
        <item x="726"/>
        <item x="277"/>
        <item x="468"/>
        <item x="593"/>
        <item x="951"/>
        <item x="641"/>
        <item x="652"/>
        <item x="381"/>
        <item x="239"/>
        <item x="13"/>
        <item x="413"/>
        <item x="158"/>
        <item x="25"/>
        <item x="299"/>
        <item x="712"/>
        <item x="65"/>
        <item x="723"/>
        <item x="664"/>
        <item x="289"/>
        <item x="374"/>
        <item x="188"/>
        <item x="790"/>
        <item x="730"/>
        <item x="912"/>
        <item x="503"/>
        <item x="202"/>
        <item x="547"/>
        <item x="462"/>
        <item x="856"/>
        <item x="682"/>
        <item x="845"/>
        <item x="582"/>
        <item x="358"/>
        <item x="509"/>
        <item x="519"/>
        <item x="165"/>
        <item x="610"/>
        <item x="448"/>
        <item x="402"/>
        <item x="118"/>
        <item x="129"/>
        <item x="549"/>
        <item x="121"/>
        <item x="510"/>
        <item x="621"/>
        <item x="869"/>
        <item x="354"/>
        <item x="163"/>
        <item x="501"/>
        <item x="45"/>
        <item x="32"/>
        <item x="783"/>
        <item x="854"/>
        <item x="460"/>
        <item x="701"/>
        <item x="332"/>
        <item x="661"/>
        <item x="798"/>
        <item x="882"/>
        <item x="7"/>
        <item x="517"/>
        <item x="481"/>
        <item x="679"/>
        <item t="default"/>
      </items>
    </pivotField>
    <pivotField compact="0" outline="0" showAll="0"/>
    <pivotField compact="0" numFmtId="4" outline="0" showAll="0"/>
    <pivotField compact="0" outline="0" showAll="0"/>
    <pivotField dataField="1" compact="0" numFmtId="4" outline="0" showAll="0"/>
    <pivotField compact="0" numFmtId="4" outline="0" showAll="0"/>
    <pivotField compact="0" numFmtId="4" outline="0" showAll="0"/>
    <pivotField axis="axisRow" compact="0" outline="0" showAll="0">
      <items count="4">
        <item x="2"/>
        <item x="0"/>
        <item x="1"/>
        <item t="default"/>
      </items>
    </pivotField>
    <pivotField compact="0" outline="0" showAll="0"/>
    <pivotField compact="0" outline="0" showAll="0">
      <items count="13">
        <item x="9"/>
        <item x="2"/>
        <item x="3"/>
        <item x="7"/>
        <item x="0"/>
        <item x="10"/>
        <item x="5"/>
        <item x="6"/>
        <item x="4"/>
        <item x="1"/>
        <item x="8"/>
        <item x="11"/>
        <item t="default"/>
      </items>
    </pivotField>
    <pivotField compact="0" outline="0" showAll="0">
      <items count="3">
        <item x="0"/>
        <item sd="0" x="1"/>
        <item t="default"/>
      </items>
    </pivotField>
  </pivotFields>
  <rowFields count="1">
    <field x="15"/>
  </rowFields>
  <rowItems count="4">
    <i>
      <x/>
    </i>
    <i>
      <x v="1"/>
    </i>
    <i>
      <x v="2"/>
    </i>
    <i t="grand">
      <x/>
    </i>
  </rowItems>
  <colItems count="1">
    <i/>
  </colItems>
  <dataFields count="1">
    <dataField name="Sum of Revenue" fld="12" baseField="0" baseItem="0"/>
  </dataField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27:B31" firstHeaderRow="1" firstDataRow="1" firstDataCol="1"/>
  <pivotFields count="19">
    <pivotField compact="0" outline="0" showAll="0"/>
    <pivotField compact="0" numFmtId="164" outline="0" showAll="0"/>
    <pivotField compact="0" outline="0" showAll="0"/>
    <pivotField compact="0" outline="0" showAll="0"/>
    <pivotField compact="0" outline="0" showAll="0"/>
    <pivotField compact="0" outline="0" showAll="0"/>
    <pivotField axis="axisRow" compact="0" outline="0" showAll="0">
      <items count="4">
        <item x="0"/>
        <item x="1"/>
        <item x="2"/>
        <item t="default"/>
      </items>
    </pivotField>
    <pivotField compact="0" outline="0" showAll="0"/>
    <pivotField compact="0" outline="0" showAll="0"/>
    <pivotField compact="0" outline="0" showAll="0"/>
    <pivotField compact="0" numFmtId="4" outline="0" showAll="0"/>
    <pivotField compact="0" outline="0" showAll="0"/>
    <pivotField dataField="1" compact="0" numFmtId="4" outline="0" showAll="0"/>
    <pivotField compact="0" numFmtId="4" outline="0" showAll="0"/>
    <pivotField compact="0" numFmtId="4" outline="0" showAll="0"/>
    <pivotField compact="0" outline="0" showAll="0"/>
    <pivotField compact="0" outline="0" showAll="0"/>
    <pivotField compact="0" outline="0" showAll="0"/>
    <pivotField compact="0" outline="0" showAll="0"/>
  </pivotFields>
  <rowFields count="1">
    <field x="6"/>
  </rowFields>
  <rowItems count="4">
    <i>
      <x/>
    </i>
    <i>
      <x v="1"/>
    </i>
    <i>
      <x v="2"/>
    </i>
    <i t="grand">
      <x/>
    </i>
  </rowItems>
  <colItems count="1">
    <i/>
  </colItems>
  <dataFields count="1">
    <dataField name="Sum of Revenue" fld="12" baseField="0" baseItem="0" numFmtId="4"/>
  </dataFields>
  <chartFormats count="16">
    <chartFormat chart="1" format="4" series="1">
      <pivotArea type="data" outline="0" fieldPosition="0">
        <references count="1">
          <reference field="4294967294" count="1" selected="0">
            <x v="0"/>
          </reference>
        </references>
      </pivotArea>
    </chartFormat>
    <chartFormat chart="1" format="5">
      <pivotArea type="data" outline="0" fieldPosition="0">
        <references count="2">
          <reference field="4294967294" count="1" selected="0">
            <x v="0"/>
          </reference>
          <reference field="6" count="1" selected="0">
            <x v="0"/>
          </reference>
        </references>
      </pivotArea>
    </chartFormat>
    <chartFormat chart="1" format="6">
      <pivotArea type="data" outline="0" fieldPosition="0">
        <references count="2">
          <reference field="4294967294" count="1" selected="0">
            <x v="0"/>
          </reference>
          <reference field="6" count="1" selected="0">
            <x v="1"/>
          </reference>
        </references>
      </pivotArea>
    </chartFormat>
    <chartFormat chart="1" format="7">
      <pivotArea type="data" outline="0" fieldPosition="0">
        <references count="2">
          <reference field="4294967294" count="1" selected="0">
            <x v="0"/>
          </reference>
          <reference field="6" count="1" selected="0">
            <x v="2"/>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6" count="1" selected="0">
            <x v="0"/>
          </reference>
        </references>
      </pivotArea>
    </chartFormat>
    <chartFormat chart="2" format="10">
      <pivotArea type="data" outline="0" fieldPosition="0">
        <references count="2">
          <reference field="4294967294" count="1" selected="0">
            <x v="0"/>
          </reference>
          <reference field="6" count="1" selected="0">
            <x v="1"/>
          </reference>
        </references>
      </pivotArea>
    </chartFormat>
    <chartFormat chart="2" format="11">
      <pivotArea type="data" outline="0" fieldPosition="0">
        <references count="2">
          <reference field="4294967294" count="1" selected="0">
            <x v="0"/>
          </reference>
          <reference field="6" count="1" selected="0">
            <x v="2"/>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6" count="1" selected="0">
            <x v="0"/>
          </reference>
        </references>
      </pivotArea>
    </chartFormat>
    <chartFormat chart="3" format="14">
      <pivotArea type="data" outline="0" fieldPosition="0">
        <references count="2">
          <reference field="4294967294" count="1" selected="0">
            <x v="0"/>
          </reference>
          <reference field="6" count="1" selected="0">
            <x v="1"/>
          </reference>
        </references>
      </pivotArea>
    </chartFormat>
    <chartFormat chart="3" format="15">
      <pivotArea type="data" outline="0" fieldPosition="0">
        <references count="2">
          <reference field="4294967294" count="1" selected="0">
            <x v="0"/>
          </reference>
          <reference field="6" count="1" selected="0">
            <x v="2"/>
          </reference>
        </references>
      </pivotArea>
    </chartFormat>
    <chartFormat chart="4" format="16" series="1">
      <pivotArea type="data" outline="0" fieldPosition="0">
        <references count="1">
          <reference field="4294967294" count="1" selected="0">
            <x v="0"/>
          </reference>
        </references>
      </pivotArea>
    </chartFormat>
    <chartFormat chart="4" format="17">
      <pivotArea type="data" outline="0" fieldPosition="0">
        <references count="2">
          <reference field="4294967294" count="1" selected="0">
            <x v="0"/>
          </reference>
          <reference field="6" count="1" selected="0">
            <x v="0"/>
          </reference>
        </references>
      </pivotArea>
    </chartFormat>
    <chartFormat chart="4" format="18">
      <pivotArea type="data" outline="0" fieldPosition="0">
        <references count="2">
          <reference field="4294967294" count="1" selected="0">
            <x v="0"/>
          </reference>
          <reference field="6" count="1" selected="0">
            <x v="1"/>
          </reference>
        </references>
      </pivotArea>
    </chartFormat>
    <chartFormat chart="4" format="19">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PivotTable1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F27:G36" firstHeaderRow="1" firstDataRow="1" firstDataCol="1"/>
  <pivotFields count="19">
    <pivotField compact="0" outline="0" showAll="0"/>
    <pivotField compact="0" numFmtId="164" outline="0" showAll="0"/>
    <pivotField compact="0" outline="0" showAll="0"/>
    <pivotField compact="0" outline="0" showAll="0"/>
    <pivotField axis="axisRow" compact="0" outline="0" showAll="0" sortType="descending">
      <items count="9">
        <item x="3"/>
        <item n="Karan" x="2"/>
        <item x="0"/>
        <item x="7"/>
        <item x="6"/>
        <item x="4"/>
        <item x="1"/>
        <item x="5"/>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numFmtId="4" outline="0" showAll="0"/>
    <pivotField compact="0" outline="0" showAll="0"/>
    <pivotField dataField="1" compact="0" numFmtId="4" outline="0" showAll="0"/>
    <pivotField compact="0" numFmtId="4" outline="0" showAll="0"/>
    <pivotField compact="0" numFmtId="4" outline="0" showAll="0"/>
    <pivotField compact="0" outline="0" showAll="0"/>
    <pivotField compact="0" outline="0" showAll="0"/>
    <pivotField compact="0" outline="0" showAll="0"/>
    <pivotField compact="0" outline="0" showAll="0"/>
  </pivotFields>
  <rowFields count="1">
    <field x="4"/>
  </rowFields>
  <rowItems count="9">
    <i>
      <x v="5"/>
    </i>
    <i>
      <x v="1"/>
    </i>
    <i>
      <x v="3"/>
    </i>
    <i>
      <x v="2"/>
    </i>
    <i>
      <x v="7"/>
    </i>
    <i>
      <x v="4"/>
    </i>
    <i>
      <x/>
    </i>
    <i>
      <x v="6"/>
    </i>
    <i t="grand">
      <x/>
    </i>
  </rowItems>
  <colItems count="1">
    <i/>
  </colItems>
  <dataFields count="1">
    <dataField name="Sum of Revenue" fld="12" baseField="0" baseItem="0" numFmtId="4"/>
  </dataFields>
  <chartFormats count="6">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name="PivotTable8" cacheId="1" applyNumberFormats="0" applyBorderFormats="0" applyFontFormats="0" applyPatternFormats="0" applyAlignmentFormats="0" applyWidthHeightFormats="1" dataCaption="Values" updatedVersion="4" minRefreshableVersion="3" useAutoFormatting="1" itemPrintTitles="1" createdVersion="8" indent="0" compact="0" compactData="0" multipleFieldFilters="0" chartFormat="9">
  <location ref="F3:G8" firstHeaderRow="1" firstDataRow="1" firstDataCol="1"/>
  <pivotFields count="19">
    <pivotField compact="0" outline="0" showAll="0"/>
    <pivotField compact="0" numFmtId="164" outline="0" showAll="0"/>
    <pivotField axis="axisRow" compact="0" outline="0" showAll="0">
      <items count="5">
        <item x="3"/>
        <item x="1"/>
        <item x="2"/>
        <item x="0"/>
        <item t="default"/>
      </items>
    </pivotField>
    <pivotField compact="0" outline="0" showAll="0"/>
    <pivotField compact="0" outline="0" showAll="0">
      <items count="9">
        <item x="3"/>
        <item x="2"/>
        <item x="0"/>
        <item x="7"/>
        <item x="6"/>
        <item x="4"/>
        <item x="1"/>
        <item x="5"/>
        <item t="default"/>
      </items>
    </pivotField>
    <pivotField compact="0" outline="0" showAll="0"/>
    <pivotField compact="0" outline="0" showAll="0">
      <items count="4">
        <item x="0"/>
        <item x="1"/>
        <item x="2"/>
        <item t="default"/>
      </items>
    </pivotField>
    <pivotField compact="0" outline="0" showAll="0"/>
    <pivotField compact="0" outline="0" showAll="0"/>
    <pivotField compact="0" outline="0" showAll="0"/>
    <pivotField compact="0" numFmtId="4" outline="0" showAll="0"/>
    <pivotField compact="0" outline="0" showAll="0"/>
    <pivotField dataField="1" compact="0" numFmtId="4" outline="0" showAll="0"/>
    <pivotField compact="0" numFmtId="4" outline="0" showAll="0"/>
    <pivotField compact="0" numFmtId="4" outline="0" showAll="0"/>
    <pivotField compact="0" outline="0" showAll="0">
      <items count="4">
        <item x="2"/>
        <item x="0"/>
        <item x="1"/>
        <item t="default"/>
      </items>
    </pivotField>
    <pivotField compact="0" outline="0" showAll="0"/>
    <pivotField compact="0" outline="0" showAll="0">
      <items count="13">
        <item x="9"/>
        <item x="2"/>
        <item x="3"/>
        <item x="7"/>
        <item x="0"/>
        <item x="10"/>
        <item x="5"/>
        <item x="6"/>
        <item x="4"/>
        <item x="1"/>
        <item x="8"/>
        <item x="11"/>
        <item t="default"/>
      </items>
    </pivotField>
    <pivotField compact="0" outline="0" showAll="0">
      <items count="3">
        <item x="0"/>
        <item sd="0" x="1"/>
        <item t="default"/>
      </items>
    </pivotField>
  </pivotFields>
  <rowFields count="1">
    <field x="2"/>
  </rowFields>
  <rowItems count="5">
    <i>
      <x/>
    </i>
    <i>
      <x v="1"/>
    </i>
    <i>
      <x v="2"/>
    </i>
    <i>
      <x v="3"/>
    </i>
    <i t="grand">
      <x/>
    </i>
  </rowItems>
  <colItems count="1">
    <i/>
  </colItems>
  <dataFields count="1">
    <dataField name="Sum of Revenue"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5"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40:B51" firstHeaderRow="1" firstDataRow="1" firstDataCol="1"/>
  <pivotFields count="19">
    <pivotField compact="0" outline="0" showAll="0"/>
    <pivotField compact="0" numFmtId="164"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measureFilter="1">
      <items count="958">
        <item x="384"/>
        <item x="283"/>
        <item x="192"/>
        <item x="782"/>
        <item x="539"/>
        <item x="101"/>
        <item x="848"/>
        <item x="564"/>
        <item x="898"/>
        <item x="294"/>
        <item x="578"/>
        <item x="598"/>
        <item x="556"/>
        <item x="811"/>
        <item x="459"/>
        <item x="68"/>
        <item x="422"/>
        <item x="544"/>
        <item x="31"/>
        <item x="786"/>
        <item x="897"/>
        <item x="432"/>
        <item x="395"/>
        <item x="654"/>
        <item x="607"/>
        <item x="910"/>
        <item x="73"/>
        <item x="799"/>
        <item x="398"/>
        <item x="34"/>
        <item x="427"/>
        <item x="616"/>
        <item x="929"/>
        <item x="633"/>
        <item x="890"/>
        <item x="732"/>
        <item x="766"/>
        <item x="834"/>
        <item x="263"/>
        <item x="464"/>
        <item x="177"/>
        <item x="325"/>
        <item x="90"/>
        <item x="589"/>
        <item x="311"/>
        <item x="359"/>
        <item x="486"/>
        <item x="171"/>
        <item x="88"/>
        <item x="830"/>
        <item x="320"/>
        <item x="827"/>
        <item x="9"/>
        <item x="333"/>
        <item x="892"/>
        <item x="175"/>
        <item x="760"/>
        <item x="553"/>
        <item x="84"/>
        <item x="665"/>
        <item x="721"/>
        <item x="814"/>
        <item x="10"/>
        <item x="860"/>
        <item x="752"/>
        <item x="526"/>
        <item x="161"/>
        <item x="49"/>
        <item x="944"/>
        <item x="737"/>
        <item x="781"/>
        <item x="603"/>
        <item x="934"/>
        <item x="212"/>
        <item x="805"/>
        <item x="335"/>
        <item x="135"/>
        <item x="896"/>
        <item x="728"/>
        <item x="477"/>
        <item x="33"/>
        <item x="369"/>
        <item x="606"/>
        <item x="949"/>
        <item x="565"/>
        <item x="863"/>
        <item x="855"/>
        <item x="729"/>
        <item x="270"/>
        <item x="396"/>
        <item x="347"/>
        <item x="618"/>
        <item x="669"/>
        <item x="591"/>
        <item x="226"/>
        <item x="278"/>
        <item x="361"/>
        <item x="130"/>
        <item x="109"/>
        <item x="467"/>
        <item x="871"/>
        <item x="46"/>
        <item x="154"/>
        <item x="821"/>
        <item x="939"/>
        <item x="555"/>
        <item x="205"/>
        <item x="590"/>
        <item x="704"/>
        <item x="655"/>
        <item x="244"/>
        <item x="638"/>
        <item x="493"/>
        <item x="644"/>
        <item x="430"/>
        <item x="750"/>
        <item x="697"/>
        <item x="853"/>
        <item x="279"/>
        <item x="23"/>
        <item x="183"/>
        <item x="125"/>
        <item x="879"/>
        <item x="488"/>
        <item x="813"/>
        <item x="909"/>
        <item x="479"/>
        <item x="587"/>
        <item x="866"/>
        <item x="586"/>
        <item x="310"/>
        <item x="771"/>
        <item x="541"/>
        <item x="568"/>
        <item x="928"/>
        <item x="719"/>
        <item x="389"/>
        <item x="122"/>
        <item x="216"/>
        <item x="911"/>
        <item x="717"/>
        <item x="769"/>
        <item x="735"/>
        <item x="66"/>
        <item x="659"/>
        <item x="531"/>
        <item x="123"/>
        <item x="380"/>
        <item x="408"/>
        <item x="727"/>
        <item x="674"/>
        <item x="558"/>
        <item x="366"/>
        <item x="567"/>
        <item x="63"/>
        <item x="275"/>
        <item x="796"/>
        <item x="264"/>
        <item x="527"/>
        <item x="269"/>
        <item x="48"/>
        <item x="744"/>
        <item x="614"/>
        <item x="394"/>
        <item x="954"/>
        <item x="906"/>
        <item x="894"/>
        <item x="447"/>
        <item x="629"/>
        <item x="338"/>
        <item x="391"/>
        <item x="851"/>
        <item x="431"/>
        <item x="198"/>
        <item x="454"/>
        <item x="594"/>
        <item x="423"/>
        <item x="426"/>
        <item x="624"/>
        <item x="571"/>
        <item x="649"/>
        <item x="687"/>
        <item x="823"/>
        <item x="877"/>
        <item x="37"/>
        <item x="367"/>
        <item x="341"/>
        <item x="653"/>
        <item x="57"/>
        <item x="339"/>
        <item x="316"/>
        <item x="16"/>
        <item x="210"/>
        <item x="323"/>
        <item x="308"/>
        <item x="371"/>
        <item x="536"/>
        <item x="736"/>
        <item x="849"/>
        <item x="87"/>
        <item x="579"/>
        <item x="435"/>
        <item x="950"/>
        <item x="200"/>
        <item x="86"/>
        <item x="187"/>
        <item x="110"/>
        <item x="458"/>
        <item x="812"/>
        <item x="20"/>
        <item x="908"/>
        <item x="888"/>
        <item x="927"/>
        <item x="195"/>
        <item x="690"/>
        <item x="416"/>
        <item x="476"/>
        <item x="751"/>
        <item x="133"/>
        <item x="61"/>
        <item x="134"/>
        <item x="238"/>
        <item x="498"/>
        <item x="304"/>
        <item x="24"/>
        <item x="668"/>
        <item x="635"/>
        <item x="99"/>
        <item x="253"/>
        <item x="429"/>
        <item x="19"/>
        <item x="155"/>
        <item x="916"/>
        <item x="634"/>
        <item x="189"/>
        <item x="436"/>
        <item x="251"/>
        <item x="753"/>
        <item x="671"/>
        <item x="293"/>
        <item x="822"/>
        <item x="2"/>
        <item x="627"/>
        <item x="956"/>
        <item x="150"/>
        <item x="538"/>
        <item x="713"/>
        <item x="132"/>
        <item x="404"/>
        <item x="197"/>
        <item x="734"/>
        <item x="41"/>
        <item x="22"/>
        <item x="351"/>
        <item x="160"/>
        <item x="645"/>
        <item x="764"/>
        <item x="632"/>
        <item x="172"/>
        <item x="327"/>
        <item x="443"/>
        <item x="535"/>
        <item x="839"/>
        <item x="761"/>
        <item x="21"/>
        <item x="938"/>
        <item x="140"/>
        <item x="915"/>
        <item x="285"/>
        <item x="17"/>
        <item x="225"/>
        <item x="291"/>
        <item x="646"/>
        <item x="660"/>
        <item x="392"/>
        <item x="4"/>
        <item x="520"/>
        <item x="315"/>
        <item x="596"/>
        <item x="480"/>
        <item x="763"/>
        <item x="904"/>
        <item x="902"/>
        <item x="819"/>
        <item x="329"/>
        <item x="741"/>
        <item x="757"/>
        <item x="800"/>
        <item x="489"/>
        <item x="483"/>
        <item x="194"/>
        <item x="630"/>
        <item x="36"/>
        <item x="174"/>
        <item x="114"/>
        <item x="631"/>
        <item x="38"/>
        <item x="491"/>
        <item x="76"/>
        <item x="166"/>
        <item x="864"/>
        <item x="492"/>
        <item x="328"/>
        <item x="449"/>
        <item x="455"/>
        <item x="185"/>
        <item x="349"/>
        <item x="215"/>
        <item x="793"/>
        <item x="807"/>
        <item x="229"/>
        <item x="506"/>
        <item x="809"/>
        <item x="619"/>
        <item x="353"/>
        <item x="583"/>
        <item x="141"/>
        <item x="266"/>
        <item x="128"/>
        <item x="11"/>
        <item x="940"/>
        <item x="74"/>
        <item x="647"/>
        <item x="343"/>
        <item x="935"/>
        <item x="700"/>
        <item x="434"/>
        <item x="922"/>
        <item x="414"/>
        <item x="453"/>
        <item x="44"/>
        <item x="862"/>
        <item x="806"/>
        <item x="457"/>
        <item x="28"/>
        <item x="828"/>
        <item x="306"/>
        <item x="345"/>
        <item x="240"/>
        <item x="525"/>
        <item x="295"/>
        <item x="153"/>
        <item x="446"/>
        <item x="810"/>
        <item x="683"/>
        <item x="246"/>
        <item x="254"/>
        <item x="102"/>
        <item x="792"/>
        <item x="878"/>
        <item x="441"/>
        <item x="120"/>
        <item x="213"/>
        <item x="680"/>
        <item x="326"/>
        <item x="303"/>
        <item x="948"/>
        <item x="211"/>
        <item x="415"/>
        <item x="779"/>
        <item x="599"/>
        <item x="500"/>
        <item x="85"/>
        <item x="58"/>
        <item x="288"/>
        <item x="307"/>
        <item x="917"/>
        <item x="883"/>
        <item x="747"/>
        <item x="625"/>
        <item x="733"/>
        <item x="692"/>
        <item x="656"/>
        <item x="313"/>
        <item x="681"/>
        <item x="81"/>
        <item x="173"/>
        <item x="797"/>
        <item x="424"/>
        <item x="247"/>
        <item x="98"/>
        <item x="952"/>
        <item x="104"/>
        <item x="585"/>
        <item x="243"/>
        <item x="808"/>
        <item x="55"/>
        <item x="230"/>
        <item x="70"/>
        <item x="899"/>
        <item x="273"/>
        <item x="35"/>
        <item x="707"/>
        <item x="115"/>
        <item x="874"/>
        <item x="554"/>
        <item x="887"/>
        <item x="740"/>
        <item x="1"/>
        <item x="138"/>
        <item x="941"/>
        <item x="716"/>
        <item x="546"/>
        <item x="258"/>
        <item x="181"/>
        <item x="417"/>
        <item x="469"/>
        <item x="815"/>
        <item x="776"/>
        <item x="314"/>
        <item x="286"/>
        <item x="322"/>
        <item x="840"/>
        <item x="336"/>
        <item x="12"/>
        <item x="180"/>
        <item x="471"/>
        <item x="825"/>
        <item x="695"/>
        <item x="521"/>
        <item x="886"/>
        <item x="791"/>
        <item x="93"/>
        <item x="105"/>
        <item x="482"/>
        <item x="302"/>
        <item x="206"/>
        <item x="472"/>
        <item x="425"/>
        <item x="931"/>
        <item x="643"/>
        <item x="365"/>
        <item x="496"/>
        <item x="100"/>
        <item x="640"/>
        <item x="407"/>
        <item x="103"/>
        <item x="29"/>
        <item x="943"/>
        <item x="573"/>
        <item x="463"/>
        <item x="746"/>
        <item x="611"/>
        <item x="580"/>
        <item x="870"/>
        <item x="419"/>
        <item x="570"/>
        <item x="397"/>
        <item x="418"/>
        <item x="399"/>
        <item x="444"/>
        <item x="789"/>
        <item x="456"/>
        <item x="321"/>
        <item x="433"/>
        <item x="676"/>
        <item x="232"/>
        <item x="494"/>
        <item x="670"/>
        <item x="515"/>
        <item x="241"/>
        <item x="162"/>
        <item x="867"/>
        <item x="499"/>
        <item x="309"/>
        <item x="833"/>
        <item x="52"/>
        <item x="473"/>
        <item x="804"/>
        <item x="296"/>
        <item x="224"/>
        <item x="662"/>
        <item x="193"/>
        <item x="562"/>
        <item x="550"/>
        <item x="699"/>
        <item x="287"/>
        <item x="921"/>
        <item x="342"/>
        <item x="696"/>
        <item x="387"/>
        <item x="508"/>
        <item x="272"/>
        <item x="552"/>
        <item x="214"/>
        <item x="705"/>
        <item x="437"/>
        <item x="749"/>
        <item x="772"/>
        <item x="563"/>
        <item x="108"/>
        <item x="523"/>
        <item x="186"/>
        <item x="924"/>
        <item x="601"/>
        <item x="348"/>
        <item x="305"/>
        <item x="504"/>
        <item x="673"/>
        <item x="710"/>
        <item x="933"/>
        <item x="364"/>
        <item x="75"/>
        <item x="386"/>
        <item x="250"/>
        <item x="450"/>
        <item x="176"/>
        <item x="204"/>
        <item x="50"/>
        <item x="844"/>
        <item x="678"/>
        <item x="920"/>
        <item x="788"/>
        <item x="470"/>
        <item x="930"/>
        <item x="201"/>
        <item x="39"/>
        <item x="82"/>
        <item x="178"/>
        <item x="513"/>
        <item x="495"/>
        <item x="675"/>
        <item x="953"/>
        <item x="838"/>
        <item x="626"/>
        <item x="572"/>
        <item x="126"/>
        <item x="18"/>
        <item x="918"/>
        <item x="465"/>
        <item x="383"/>
        <item x="217"/>
        <item x="715"/>
        <item x="124"/>
        <item x="107"/>
        <item x="756"/>
        <item x="182"/>
        <item x="235"/>
        <item x="352"/>
        <item x="268"/>
        <item x="148"/>
        <item x="946"/>
        <item x="604"/>
        <item x="255"/>
        <item x="256"/>
        <item x="14"/>
        <item x="53"/>
        <item x="925"/>
        <item x="249"/>
        <item x="686"/>
        <item x="79"/>
        <item x="265"/>
        <item x="612"/>
        <item x="677"/>
        <item x="837"/>
        <item x="581"/>
        <item x="233"/>
        <item x="346"/>
        <item x="497"/>
        <item x="560"/>
        <item x="117"/>
        <item x="484"/>
        <item x="301"/>
        <item x="528"/>
        <item x="861"/>
        <item x="691"/>
        <item x="131"/>
        <item x="540"/>
        <item x="884"/>
        <item x="0"/>
        <item x="26"/>
        <item x="324"/>
        <item x="802"/>
        <item x="795"/>
        <item x="40"/>
        <item x="551"/>
        <item x="357"/>
        <item x="119"/>
        <item x="91"/>
        <item x="372"/>
        <item x="588"/>
        <item x="159"/>
        <item x="405"/>
        <item x="282"/>
        <item x="955"/>
        <item x="410"/>
        <item x="623"/>
        <item x="900"/>
        <item x="639"/>
        <item x="932"/>
        <item x="207"/>
        <item x="439"/>
        <item x="400"/>
        <item x="858"/>
        <item x="487"/>
        <item x="290"/>
        <item x="835"/>
        <item x="236"/>
        <item x="875"/>
        <item x="370"/>
        <item x="401"/>
        <item x="754"/>
        <item x="317"/>
        <item x="111"/>
        <item x="142"/>
        <item x="636"/>
        <item x="608"/>
        <item x="147"/>
        <item x="312"/>
        <item x="355"/>
        <item x="209"/>
        <item x="770"/>
        <item x="574"/>
        <item x="199"/>
        <item x="650"/>
        <item x="276"/>
        <item x="298"/>
        <item x="97"/>
        <item x="127"/>
        <item x="947"/>
        <item x="27"/>
        <item x="617"/>
        <item x="777"/>
        <item x="688"/>
        <item x="245"/>
        <item x="96"/>
        <item x="648"/>
        <item x="575"/>
        <item x="95"/>
        <item x="702"/>
        <item x="857"/>
        <item x="889"/>
        <item x="5"/>
        <item x="907"/>
        <item x="516"/>
        <item x="440"/>
        <item x="412"/>
        <item x="818"/>
        <item x="903"/>
        <item x="261"/>
        <item x="532"/>
        <item x="237"/>
        <item x="136"/>
        <item x="360"/>
        <item x="77"/>
        <item x="262"/>
        <item x="780"/>
        <item x="390"/>
        <item x="267"/>
        <item x="179"/>
        <item x="685"/>
        <item x="411"/>
        <item x="257"/>
        <item x="768"/>
        <item x="334"/>
        <item x="708"/>
        <item x="145"/>
        <item x="762"/>
        <item x="765"/>
        <item x="722"/>
        <item x="926"/>
        <item x="376"/>
        <item x="542"/>
        <item x="203"/>
        <item x="71"/>
        <item x="445"/>
        <item x="865"/>
        <item x="143"/>
        <item x="220"/>
        <item x="778"/>
        <item x="83"/>
        <item x="758"/>
        <item x="106"/>
        <item x="137"/>
        <item x="945"/>
        <item x="718"/>
        <item x="801"/>
        <item x="3"/>
        <item x="6"/>
        <item x="689"/>
        <item x="184"/>
        <item x="152"/>
        <item x="577"/>
        <item x="622"/>
        <item x="545"/>
        <item x="139"/>
        <item x="850"/>
        <item x="829"/>
        <item x="759"/>
        <item x="942"/>
        <item x="672"/>
        <item x="60"/>
        <item x="667"/>
        <item x="252"/>
        <item x="169"/>
        <item x="841"/>
        <item x="518"/>
        <item x="378"/>
        <item x="368"/>
        <item x="375"/>
        <item x="406"/>
        <item x="522"/>
        <item x="609"/>
        <item x="168"/>
        <item x="385"/>
        <item x="847"/>
        <item x="248"/>
        <item x="832"/>
        <item x="149"/>
        <item x="15"/>
        <item x="379"/>
        <item x="703"/>
        <item x="259"/>
        <item x="620"/>
        <item x="936"/>
        <item x="59"/>
        <item x="787"/>
        <item x="651"/>
        <item x="831"/>
        <item x="219"/>
        <item x="227"/>
        <item x="330"/>
        <item x="222"/>
        <item x="92"/>
        <item x="318"/>
        <item x="164"/>
        <item x="373"/>
        <item x="803"/>
        <item x="113"/>
        <item x="537"/>
        <item x="196"/>
        <item x="773"/>
        <item x="566"/>
        <item x="755"/>
        <item x="745"/>
        <item x="592"/>
        <item x="905"/>
        <item x="350"/>
        <item x="605"/>
        <item x="507"/>
        <item x="872"/>
        <item x="42"/>
        <item x="533"/>
        <item x="475"/>
        <item x="684"/>
        <item x="873"/>
        <item x="885"/>
        <item x="420"/>
        <item x="80"/>
        <item x="600"/>
        <item x="382"/>
        <item x="337"/>
        <item x="72"/>
        <item x="67"/>
        <item x="409"/>
        <item x="937"/>
        <item x="474"/>
        <item x="637"/>
        <item x="711"/>
        <item x="743"/>
        <item x="393"/>
        <item x="843"/>
        <item x="613"/>
        <item x="54"/>
        <item x="842"/>
        <item x="191"/>
        <item x="421"/>
        <item x="43"/>
        <item x="274"/>
        <item x="30"/>
        <item x="151"/>
        <item x="694"/>
        <item x="502"/>
        <item x="576"/>
        <item x="280"/>
        <item x="69"/>
        <item x="116"/>
        <item x="767"/>
        <item x="913"/>
        <item x="297"/>
        <item x="388"/>
        <item x="529"/>
        <item x="714"/>
        <item x="377"/>
        <item x="157"/>
        <item x="8"/>
        <item x="725"/>
        <item x="881"/>
        <item x="820"/>
        <item x="658"/>
        <item x="442"/>
        <item x="260"/>
        <item x="731"/>
        <item x="534"/>
        <item x="893"/>
        <item x="208"/>
        <item x="748"/>
        <item x="231"/>
        <item x="663"/>
        <item x="242"/>
        <item x="56"/>
        <item x="511"/>
        <item x="859"/>
        <item x="742"/>
        <item x="891"/>
        <item x="846"/>
        <item x="724"/>
        <item x="438"/>
        <item x="602"/>
        <item x="170"/>
        <item x="478"/>
        <item x="146"/>
        <item x="548"/>
        <item x="223"/>
        <item x="514"/>
        <item x="530"/>
        <item x="895"/>
        <item x="428"/>
        <item x="816"/>
        <item x="64"/>
        <item x="739"/>
        <item x="362"/>
        <item x="156"/>
        <item x="901"/>
        <item x="356"/>
        <item x="505"/>
        <item x="344"/>
        <item x="363"/>
        <item x="340"/>
        <item x="826"/>
        <item x="775"/>
        <item x="615"/>
        <item x="561"/>
        <item x="919"/>
        <item x="880"/>
        <item x="706"/>
        <item x="559"/>
        <item x="284"/>
        <item x="331"/>
        <item x="300"/>
        <item x="817"/>
        <item x="112"/>
        <item x="794"/>
        <item x="51"/>
        <item x="557"/>
        <item x="642"/>
        <item x="218"/>
        <item x="584"/>
        <item x="876"/>
        <item x="228"/>
        <item x="923"/>
        <item x="490"/>
        <item x="824"/>
        <item x="292"/>
        <item x="595"/>
        <item x="738"/>
        <item x="512"/>
        <item x="543"/>
        <item x="89"/>
        <item x="628"/>
        <item x="271"/>
        <item x="221"/>
        <item x="234"/>
        <item x="281"/>
        <item x="784"/>
        <item x="852"/>
        <item x="319"/>
        <item x="78"/>
        <item x="666"/>
        <item x="403"/>
        <item x="698"/>
        <item x="785"/>
        <item x="709"/>
        <item x="597"/>
        <item x="774"/>
        <item x="485"/>
        <item x="868"/>
        <item x="144"/>
        <item x="94"/>
        <item x="466"/>
        <item x="452"/>
        <item x="657"/>
        <item x="451"/>
        <item x="524"/>
        <item x="914"/>
        <item x="569"/>
        <item x="693"/>
        <item x="62"/>
        <item x="47"/>
        <item x="190"/>
        <item x="836"/>
        <item x="167"/>
        <item x="720"/>
        <item x="461"/>
        <item x="726"/>
        <item x="277"/>
        <item x="468"/>
        <item x="593"/>
        <item x="951"/>
        <item x="641"/>
        <item x="652"/>
        <item x="381"/>
        <item x="239"/>
        <item x="13"/>
        <item x="413"/>
        <item x="158"/>
        <item x="25"/>
        <item x="299"/>
        <item x="712"/>
        <item x="65"/>
        <item x="723"/>
        <item x="664"/>
        <item x="289"/>
        <item x="374"/>
        <item x="188"/>
        <item x="790"/>
        <item x="730"/>
        <item x="912"/>
        <item x="503"/>
        <item x="202"/>
        <item x="547"/>
        <item x="462"/>
        <item x="856"/>
        <item x="682"/>
        <item x="845"/>
        <item x="582"/>
        <item x="358"/>
        <item x="509"/>
        <item x="519"/>
        <item x="165"/>
        <item x="610"/>
        <item x="448"/>
        <item x="402"/>
        <item x="118"/>
        <item x="129"/>
        <item x="549"/>
        <item x="121"/>
        <item x="510"/>
        <item x="621"/>
        <item x="869"/>
        <item x="354"/>
        <item x="163"/>
        <item x="501"/>
        <item x="45"/>
        <item x="32"/>
        <item x="783"/>
        <item x="854"/>
        <item x="460"/>
        <item x="701"/>
        <item x="332"/>
        <item x="661"/>
        <item x="798"/>
        <item x="882"/>
        <item x="7"/>
        <item x="517"/>
        <item x="481"/>
        <item x="679"/>
        <item t="default"/>
      </items>
    </pivotField>
    <pivotField compact="0" outline="0" showAll="0"/>
    <pivotField compact="0" numFmtId="4" outline="0" showAll="0"/>
    <pivotField compact="0" outline="0" showAll="0"/>
    <pivotField dataField="1" compact="0" numFmtId="4" outline="0" showAll="0"/>
    <pivotField compact="0" numFmtId="4" outline="0" showAll="0"/>
    <pivotField compact="0" numFmtId="4" outline="0" showAll="0"/>
    <pivotField compact="0" outline="0" showAll="0"/>
    <pivotField compact="0" outline="0" showAll="0"/>
    <pivotField compact="0" outline="0" showAll="0"/>
    <pivotField compact="0" outline="0" showAll="0"/>
  </pivotFields>
  <rowFields count="1">
    <field x="8"/>
  </rowFields>
  <rowItems count="11">
    <i>
      <x v="2"/>
    </i>
    <i>
      <x v="33"/>
    </i>
    <i>
      <x v="41"/>
    </i>
    <i>
      <x v="343"/>
    </i>
    <i>
      <x v="354"/>
    </i>
    <i>
      <x v="450"/>
    </i>
    <i>
      <x v="885"/>
    </i>
    <i>
      <x v="906"/>
    </i>
    <i>
      <x v="907"/>
    </i>
    <i>
      <x v="929"/>
    </i>
    <i t="grand">
      <x/>
    </i>
  </rowItems>
  <colItems count="1">
    <i/>
  </colItems>
  <dataFields count="1">
    <dataField name="Sum of Revenue" fld="12" baseField="0" baseItem="0" numFmtId="4"/>
  </dataFields>
  <chartFormats count="4">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4" minRefreshableVersion="3" useAutoFormatting="1" itemPrintTitles="1" createdVersion="8" indent="0" compact="0" compactData="0" multipleFieldFilters="0" chartFormat="9">
  <location ref="M26:N30" firstHeaderRow="1" firstDataRow="1" firstDataCol="1"/>
  <pivotFields count="19">
    <pivotField compact="0" outline="0" showAll="0"/>
    <pivotField compact="0" numFmtId="164" outline="0" showAll="0"/>
    <pivotField compact="0" outline="0" showAll="0">
      <items count="5">
        <item x="3"/>
        <item x="1"/>
        <item x="2"/>
        <item x="0"/>
        <item t="default"/>
      </items>
    </pivotField>
    <pivotField compact="0" outline="0" showAll="0"/>
    <pivotField compact="0" outline="0" showAll="0">
      <items count="9">
        <item x="3"/>
        <item x="2"/>
        <item x="0"/>
        <item x="7"/>
        <item x="6"/>
        <item x="4"/>
        <item x="1"/>
        <item x="5"/>
        <item t="default"/>
      </items>
    </pivotField>
    <pivotField compact="0" outline="0" showAll="0"/>
    <pivotField axis="axisRow" compact="0" outline="0" showAll="0">
      <items count="4">
        <item x="0"/>
        <item x="1"/>
        <item x="2"/>
        <item t="default"/>
      </items>
    </pivotField>
    <pivotField compact="0" outline="0" showAll="0"/>
    <pivotField compact="0" outline="0" showAll="0">
      <items count="959">
        <item x="384"/>
        <item x="283"/>
        <item x="192"/>
        <item x="782"/>
        <item x="539"/>
        <item x="101"/>
        <item x="848"/>
        <item x="564"/>
        <item x="898"/>
        <item x="294"/>
        <item x="578"/>
        <item x="598"/>
        <item x="556"/>
        <item x="811"/>
        <item x="459"/>
        <item x="68"/>
        <item x="422"/>
        <item x="544"/>
        <item x="31"/>
        <item x="786"/>
        <item x="897"/>
        <item x="432"/>
        <item x="395"/>
        <item x="654"/>
        <item x="607"/>
        <item x="910"/>
        <item x="73"/>
        <item x="799"/>
        <item x="398"/>
        <item x="34"/>
        <item x="427"/>
        <item x="616"/>
        <item x="929"/>
        <item x="633"/>
        <item x="890"/>
        <item x="732"/>
        <item x="766"/>
        <item x="834"/>
        <item x="263"/>
        <item x="464"/>
        <item x="177"/>
        <item x="325"/>
        <item x="90"/>
        <item x="589"/>
        <item x="311"/>
        <item x="359"/>
        <item x="486"/>
        <item x="171"/>
        <item x="88"/>
        <item x="830"/>
        <item x="320"/>
        <item x="827"/>
        <item x="9"/>
        <item x="333"/>
        <item x="892"/>
        <item x="175"/>
        <item x="760"/>
        <item x="553"/>
        <item x="84"/>
        <item x="665"/>
        <item x="721"/>
        <item x="814"/>
        <item x="10"/>
        <item x="860"/>
        <item x="752"/>
        <item x="526"/>
        <item x="161"/>
        <item x="49"/>
        <item x="944"/>
        <item x="737"/>
        <item x="781"/>
        <item x="603"/>
        <item x="934"/>
        <item x="212"/>
        <item x="805"/>
        <item x="335"/>
        <item x="135"/>
        <item x="896"/>
        <item x="728"/>
        <item x="477"/>
        <item x="33"/>
        <item x="369"/>
        <item x="606"/>
        <item x="949"/>
        <item x="565"/>
        <item x="863"/>
        <item x="855"/>
        <item x="729"/>
        <item x="270"/>
        <item x="396"/>
        <item x="347"/>
        <item x="618"/>
        <item x="669"/>
        <item x="591"/>
        <item x="226"/>
        <item x="278"/>
        <item x="361"/>
        <item x="130"/>
        <item x="109"/>
        <item x="467"/>
        <item x="871"/>
        <item x="46"/>
        <item x="154"/>
        <item x="821"/>
        <item x="939"/>
        <item x="555"/>
        <item x="205"/>
        <item x="590"/>
        <item x="704"/>
        <item x="655"/>
        <item x="244"/>
        <item x="638"/>
        <item x="493"/>
        <item x="644"/>
        <item x="430"/>
        <item x="750"/>
        <item x="697"/>
        <item x="853"/>
        <item x="279"/>
        <item x="23"/>
        <item x="183"/>
        <item x="125"/>
        <item x="879"/>
        <item x="488"/>
        <item x="813"/>
        <item x="909"/>
        <item x="479"/>
        <item x="587"/>
        <item x="866"/>
        <item x="586"/>
        <item x="310"/>
        <item x="771"/>
        <item x="541"/>
        <item x="568"/>
        <item x="928"/>
        <item x="719"/>
        <item x="389"/>
        <item x="122"/>
        <item x="216"/>
        <item x="911"/>
        <item x="717"/>
        <item x="769"/>
        <item x="735"/>
        <item x="66"/>
        <item x="659"/>
        <item x="531"/>
        <item x="123"/>
        <item x="380"/>
        <item x="408"/>
        <item x="727"/>
        <item x="674"/>
        <item x="558"/>
        <item x="366"/>
        <item x="567"/>
        <item x="63"/>
        <item x="275"/>
        <item x="796"/>
        <item x="264"/>
        <item x="527"/>
        <item x="269"/>
        <item x="48"/>
        <item x="744"/>
        <item x="614"/>
        <item x="394"/>
        <item x="954"/>
        <item x="906"/>
        <item x="894"/>
        <item x="447"/>
        <item x="629"/>
        <item x="338"/>
        <item x="391"/>
        <item x="851"/>
        <item x="431"/>
        <item x="198"/>
        <item x="454"/>
        <item x="594"/>
        <item x="423"/>
        <item x="426"/>
        <item x="624"/>
        <item x="571"/>
        <item x="649"/>
        <item x="687"/>
        <item x="823"/>
        <item x="877"/>
        <item x="37"/>
        <item x="367"/>
        <item x="341"/>
        <item x="653"/>
        <item x="57"/>
        <item x="339"/>
        <item x="316"/>
        <item x="16"/>
        <item x="210"/>
        <item x="323"/>
        <item x="308"/>
        <item x="371"/>
        <item x="536"/>
        <item x="736"/>
        <item x="849"/>
        <item x="87"/>
        <item x="579"/>
        <item x="435"/>
        <item x="950"/>
        <item x="200"/>
        <item x="86"/>
        <item x="187"/>
        <item x="110"/>
        <item x="458"/>
        <item x="812"/>
        <item x="20"/>
        <item x="908"/>
        <item x="888"/>
        <item x="927"/>
        <item x="195"/>
        <item x="690"/>
        <item x="416"/>
        <item x="476"/>
        <item x="751"/>
        <item x="133"/>
        <item x="61"/>
        <item x="134"/>
        <item x="238"/>
        <item x="498"/>
        <item x="304"/>
        <item x="24"/>
        <item x="668"/>
        <item x="635"/>
        <item x="99"/>
        <item x="253"/>
        <item x="429"/>
        <item x="19"/>
        <item x="155"/>
        <item x="916"/>
        <item x="634"/>
        <item x="189"/>
        <item x="436"/>
        <item x="251"/>
        <item x="753"/>
        <item x="671"/>
        <item x="293"/>
        <item x="822"/>
        <item x="2"/>
        <item x="627"/>
        <item x="956"/>
        <item x="150"/>
        <item x="538"/>
        <item x="713"/>
        <item x="132"/>
        <item x="404"/>
        <item x="197"/>
        <item x="734"/>
        <item x="41"/>
        <item x="22"/>
        <item x="351"/>
        <item x="160"/>
        <item x="645"/>
        <item x="764"/>
        <item x="632"/>
        <item x="172"/>
        <item x="327"/>
        <item x="443"/>
        <item x="535"/>
        <item x="839"/>
        <item x="761"/>
        <item x="21"/>
        <item x="938"/>
        <item x="140"/>
        <item x="915"/>
        <item x="285"/>
        <item x="17"/>
        <item x="225"/>
        <item x="291"/>
        <item x="646"/>
        <item x="660"/>
        <item x="392"/>
        <item x="4"/>
        <item x="520"/>
        <item x="315"/>
        <item x="596"/>
        <item x="480"/>
        <item x="763"/>
        <item x="904"/>
        <item x="902"/>
        <item x="819"/>
        <item x="329"/>
        <item x="741"/>
        <item x="757"/>
        <item x="800"/>
        <item x="489"/>
        <item x="483"/>
        <item x="194"/>
        <item x="630"/>
        <item x="36"/>
        <item x="174"/>
        <item x="114"/>
        <item x="631"/>
        <item x="38"/>
        <item x="491"/>
        <item x="76"/>
        <item x="166"/>
        <item x="864"/>
        <item x="492"/>
        <item x="328"/>
        <item x="449"/>
        <item x="455"/>
        <item x="185"/>
        <item x="349"/>
        <item x="215"/>
        <item x="793"/>
        <item x="807"/>
        <item x="229"/>
        <item x="506"/>
        <item x="809"/>
        <item x="619"/>
        <item x="353"/>
        <item x="583"/>
        <item x="141"/>
        <item x="266"/>
        <item x="128"/>
        <item x="11"/>
        <item x="940"/>
        <item x="74"/>
        <item x="647"/>
        <item x="343"/>
        <item x="935"/>
        <item x="700"/>
        <item x="434"/>
        <item x="922"/>
        <item x="414"/>
        <item x="453"/>
        <item x="44"/>
        <item x="862"/>
        <item x="806"/>
        <item x="457"/>
        <item x="28"/>
        <item x="828"/>
        <item x="957"/>
        <item x="306"/>
        <item x="345"/>
        <item x="240"/>
        <item x="525"/>
        <item x="295"/>
        <item x="153"/>
        <item x="446"/>
        <item x="810"/>
        <item x="683"/>
        <item x="246"/>
        <item x="254"/>
        <item x="102"/>
        <item x="792"/>
        <item x="878"/>
        <item x="441"/>
        <item x="120"/>
        <item x="213"/>
        <item x="680"/>
        <item x="326"/>
        <item x="303"/>
        <item x="948"/>
        <item x="211"/>
        <item x="415"/>
        <item x="779"/>
        <item x="599"/>
        <item x="500"/>
        <item x="85"/>
        <item x="58"/>
        <item x="288"/>
        <item x="307"/>
        <item x="917"/>
        <item x="883"/>
        <item x="747"/>
        <item x="625"/>
        <item x="733"/>
        <item x="692"/>
        <item x="656"/>
        <item x="313"/>
        <item x="681"/>
        <item x="81"/>
        <item x="173"/>
        <item x="797"/>
        <item x="424"/>
        <item x="247"/>
        <item x="98"/>
        <item x="952"/>
        <item x="104"/>
        <item x="585"/>
        <item x="243"/>
        <item x="808"/>
        <item x="55"/>
        <item x="230"/>
        <item x="70"/>
        <item x="899"/>
        <item x="273"/>
        <item x="35"/>
        <item x="707"/>
        <item x="115"/>
        <item x="874"/>
        <item x="554"/>
        <item x="887"/>
        <item x="740"/>
        <item x="1"/>
        <item x="138"/>
        <item x="941"/>
        <item x="716"/>
        <item x="546"/>
        <item x="258"/>
        <item x="181"/>
        <item x="417"/>
        <item x="469"/>
        <item x="815"/>
        <item x="776"/>
        <item x="314"/>
        <item x="286"/>
        <item x="322"/>
        <item x="840"/>
        <item x="336"/>
        <item x="12"/>
        <item x="180"/>
        <item x="471"/>
        <item x="825"/>
        <item x="695"/>
        <item x="521"/>
        <item x="886"/>
        <item x="791"/>
        <item x="93"/>
        <item x="105"/>
        <item x="482"/>
        <item x="302"/>
        <item x="206"/>
        <item x="472"/>
        <item x="425"/>
        <item x="931"/>
        <item x="643"/>
        <item x="365"/>
        <item x="496"/>
        <item x="100"/>
        <item x="640"/>
        <item x="407"/>
        <item x="103"/>
        <item x="29"/>
        <item x="943"/>
        <item x="573"/>
        <item x="463"/>
        <item x="746"/>
        <item x="611"/>
        <item x="580"/>
        <item x="870"/>
        <item x="419"/>
        <item x="570"/>
        <item x="397"/>
        <item x="418"/>
        <item x="399"/>
        <item x="444"/>
        <item x="789"/>
        <item x="456"/>
        <item x="321"/>
        <item x="433"/>
        <item x="676"/>
        <item x="232"/>
        <item x="494"/>
        <item x="670"/>
        <item x="515"/>
        <item x="241"/>
        <item x="162"/>
        <item x="867"/>
        <item x="499"/>
        <item x="309"/>
        <item x="833"/>
        <item x="52"/>
        <item x="473"/>
        <item x="804"/>
        <item x="296"/>
        <item x="224"/>
        <item x="662"/>
        <item x="193"/>
        <item x="562"/>
        <item x="550"/>
        <item x="699"/>
        <item x="287"/>
        <item x="921"/>
        <item x="342"/>
        <item x="696"/>
        <item x="387"/>
        <item x="508"/>
        <item x="272"/>
        <item x="552"/>
        <item x="214"/>
        <item x="705"/>
        <item x="437"/>
        <item x="749"/>
        <item x="772"/>
        <item x="563"/>
        <item x="108"/>
        <item x="523"/>
        <item x="186"/>
        <item x="924"/>
        <item x="601"/>
        <item x="348"/>
        <item x="305"/>
        <item x="504"/>
        <item x="673"/>
        <item x="710"/>
        <item x="933"/>
        <item x="364"/>
        <item x="75"/>
        <item x="386"/>
        <item x="250"/>
        <item x="450"/>
        <item x="176"/>
        <item x="204"/>
        <item x="50"/>
        <item x="844"/>
        <item x="678"/>
        <item x="920"/>
        <item x="788"/>
        <item x="470"/>
        <item x="930"/>
        <item x="201"/>
        <item x="39"/>
        <item x="82"/>
        <item x="178"/>
        <item x="513"/>
        <item x="495"/>
        <item x="675"/>
        <item x="953"/>
        <item x="838"/>
        <item x="626"/>
        <item x="572"/>
        <item x="126"/>
        <item x="18"/>
        <item x="918"/>
        <item x="465"/>
        <item x="383"/>
        <item x="217"/>
        <item x="715"/>
        <item x="124"/>
        <item x="107"/>
        <item x="756"/>
        <item x="182"/>
        <item x="235"/>
        <item x="352"/>
        <item x="268"/>
        <item x="148"/>
        <item x="946"/>
        <item x="604"/>
        <item x="255"/>
        <item x="256"/>
        <item x="14"/>
        <item x="53"/>
        <item x="925"/>
        <item x="249"/>
        <item x="686"/>
        <item x="79"/>
        <item x="265"/>
        <item x="612"/>
        <item x="677"/>
        <item x="837"/>
        <item x="581"/>
        <item x="233"/>
        <item x="346"/>
        <item x="497"/>
        <item x="560"/>
        <item x="117"/>
        <item x="484"/>
        <item x="301"/>
        <item x="528"/>
        <item x="861"/>
        <item x="691"/>
        <item x="131"/>
        <item x="540"/>
        <item x="884"/>
        <item x="0"/>
        <item x="26"/>
        <item x="324"/>
        <item x="802"/>
        <item x="795"/>
        <item x="40"/>
        <item x="551"/>
        <item x="357"/>
        <item x="119"/>
        <item x="91"/>
        <item x="372"/>
        <item x="588"/>
        <item x="159"/>
        <item x="405"/>
        <item x="282"/>
        <item x="955"/>
        <item x="410"/>
        <item x="623"/>
        <item x="900"/>
        <item x="639"/>
        <item x="932"/>
        <item x="207"/>
        <item x="439"/>
        <item x="400"/>
        <item x="858"/>
        <item x="487"/>
        <item x="290"/>
        <item x="835"/>
        <item x="236"/>
        <item x="875"/>
        <item x="370"/>
        <item x="401"/>
        <item x="754"/>
        <item x="317"/>
        <item x="111"/>
        <item x="142"/>
        <item x="636"/>
        <item x="608"/>
        <item x="147"/>
        <item x="312"/>
        <item x="355"/>
        <item x="209"/>
        <item x="770"/>
        <item x="574"/>
        <item x="199"/>
        <item x="650"/>
        <item x="276"/>
        <item x="298"/>
        <item x="97"/>
        <item x="127"/>
        <item x="947"/>
        <item x="27"/>
        <item x="617"/>
        <item x="777"/>
        <item x="688"/>
        <item x="245"/>
        <item x="96"/>
        <item x="648"/>
        <item x="575"/>
        <item x="95"/>
        <item x="702"/>
        <item x="857"/>
        <item x="889"/>
        <item x="5"/>
        <item x="907"/>
        <item x="516"/>
        <item x="440"/>
        <item x="412"/>
        <item x="818"/>
        <item x="903"/>
        <item x="261"/>
        <item x="532"/>
        <item x="237"/>
        <item x="136"/>
        <item x="360"/>
        <item x="77"/>
        <item x="262"/>
        <item x="780"/>
        <item x="390"/>
        <item x="267"/>
        <item x="179"/>
        <item x="685"/>
        <item x="411"/>
        <item x="257"/>
        <item x="768"/>
        <item x="334"/>
        <item x="708"/>
        <item x="145"/>
        <item x="762"/>
        <item x="765"/>
        <item x="722"/>
        <item x="926"/>
        <item x="376"/>
        <item x="542"/>
        <item x="203"/>
        <item x="71"/>
        <item x="445"/>
        <item x="865"/>
        <item x="143"/>
        <item x="220"/>
        <item x="778"/>
        <item x="83"/>
        <item x="758"/>
        <item x="106"/>
        <item x="137"/>
        <item x="945"/>
        <item x="718"/>
        <item x="801"/>
        <item x="3"/>
        <item x="6"/>
        <item x="689"/>
        <item x="184"/>
        <item x="152"/>
        <item x="577"/>
        <item x="622"/>
        <item x="545"/>
        <item x="139"/>
        <item x="850"/>
        <item x="829"/>
        <item x="759"/>
        <item x="942"/>
        <item x="672"/>
        <item x="60"/>
        <item x="667"/>
        <item x="252"/>
        <item x="169"/>
        <item x="841"/>
        <item x="518"/>
        <item x="378"/>
        <item x="368"/>
        <item x="375"/>
        <item x="406"/>
        <item x="522"/>
        <item x="609"/>
        <item x="168"/>
        <item x="385"/>
        <item x="847"/>
        <item x="248"/>
        <item x="832"/>
        <item x="149"/>
        <item x="15"/>
        <item x="379"/>
        <item x="703"/>
        <item x="259"/>
        <item x="620"/>
        <item x="936"/>
        <item x="59"/>
        <item x="787"/>
        <item x="651"/>
        <item x="831"/>
        <item x="219"/>
        <item x="227"/>
        <item x="330"/>
        <item x="222"/>
        <item x="92"/>
        <item x="318"/>
        <item x="164"/>
        <item x="373"/>
        <item x="803"/>
        <item x="113"/>
        <item x="537"/>
        <item x="196"/>
        <item x="773"/>
        <item x="566"/>
        <item x="755"/>
        <item x="745"/>
        <item x="592"/>
        <item x="905"/>
        <item x="350"/>
        <item x="605"/>
        <item x="507"/>
        <item x="872"/>
        <item x="42"/>
        <item x="533"/>
        <item x="475"/>
        <item x="684"/>
        <item x="873"/>
        <item x="885"/>
        <item x="420"/>
        <item x="80"/>
        <item x="600"/>
        <item x="382"/>
        <item x="337"/>
        <item x="72"/>
        <item x="67"/>
        <item x="409"/>
        <item x="937"/>
        <item x="474"/>
        <item x="637"/>
        <item x="711"/>
        <item x="743"/>
        <item x="393"/>
        <item x="843"/>
        <item x="613"/>
        <item x="54"/>
        <item x="842"/>
        <item x="191"/>
        <item x="421"/>
        <item x="43"/>
        <item x="274"/>
        <item x="30"/>
        <item x="151"/>
        <item x="694"/>
        <item x="502"/>
        <item x="576"/>
        <item x="280"/>
        <item x="69"/>
        <item x="116"/>
        <item x="767"/>
        <item x="913"/>
        <item x="297"/>
        <item x="388"/>
        <item x="529"/>
        <item x="714"/>
        <item x="377"/>
        <item x="157"/>
        <item x="8"/>
        <item x="725"/>
        <item x="881"/>
        <item x="820"/>
        <item x="658"/>
        <item x="442"/>
        <item x="260"/>
        <item x="731"/>
        <item x="534"/>
        <item x="893"/>
        <item x="208"/>
        <item x="748"/>
        <item x="231"/>
        <item x="663"/>
        <item x="242"/>
        <item x="56"/>
        <item x="511"/>
        <item x="859"/>
        <item x="742"/>
        <item x="891"/>
        <item x="846"/>
        <item x="724"/>
        <item x="438"/>
        <item x="602"/>
        <item x="170"/>
        <item x="478"/>
        <item x="146"/>
        <item x="548"/>
        <item x="223"/>
        <item x="514"/>
        <item x="530"/>
        <item x="895"/>
        <item x="428"/>
        <item x="816"/>
        <item x="64"/>
        <item x="739"/>
        <item x="362"/>
        <item x="156"/>
        <item x="901"/>
        <item x="356"/>
        <item x="505"/>
        <item x="344"/>
        <item x="363"/>
        <item x="340"/>
        <item x="826"/>
        <item x="775"/>
        <item x="615"/>
        <item x="561"/>
        <item x="919"/>
        <item x="880"/>
        <item x="706"/>
        <item x="559"/>
        <item x="284"/>
        <item x="331"/>
        <item x="300"/>
        <item x="817"/>
        <item x="112"/>
        <item x="794"/>
        <item x="51"/>
        <item x="557"/>
        <item x="642"/>
        <item x="218"/>
        <item x="584"/>
        <item x="876"/>
        <item x="228"/>
        <item x="923"/>
        <item x="490"/>
        <item x="824"/>
        <item x="292"/>
        <item x="595"/>
        <item x="738"/>
        <item x="512"/>
        <item x="543"/>
        <item x="89"/>
        <item x="628"/>
        <item x="271"/>
        <item x="221"/>
        <item x="234"/>
        <item x="281"/>
        <item x="784"/>
        <item x="852"/>
        <item x="319"/>
        <item x="78"/>
        <item x="666"/>
        <item x="403"/>
        <item x="698"/>
        <item x="785"/>
        <item x="709"/>
        <item x="597"/>
        <item x="774"/>
        <item x="485"/>
        <item x="868"/>
        <item x="144"/>
        <item x="94"/>
        <item x="466"/>
        <item x="452"/>
        <item x="657"/>
        <item x="451"/>
        <item x="524"/>
        <item x="914"/>
        <item x="569"/>
        <item x="693"/>
        <item x="62"/>
        <item x="47"/>
        <item x="190"/>
        <item x="836"/>
        <item x="167"/>
        <item x="720"/>
        <item x="461"/>
        <item x="726"/>
        <item x="277"/>
        <item x="468"/>
        <item x="593"/>
        <item x="951"/>
        <item x="641"/>
        <item x="652"/>
        <item x="381"/>
        <item x="239"/>
        <item x="13"/>
        <item x="413"/>
        <item x="158"/>
        <item x="25"/>
        <item x="299"/>
        <item x="712"/>
        <item x="65"/>
        <item x="723"/>
        <item x="664"/>
        <item x="289"/>
        <item x="374"/>
        <item x="188"/>
        <item x="790"/>
        <item x="730"/>
        <item x="912"/>
        <item x="503"/>
        <item x="202"/>
        <item x="547"/>
        <item x="462"/>
        <item x="856"/>
        <item x="682"/>
        <item x="845"/>
        <item x="582"/>
        <item x="358"/>
        <item x="509"/>
        <item x="519"/>
        <item x="165"/>
        <item x="610"/>
        <item x="448"/>
        <item x="402"/>
        <item x="118"/>
        <item x="129"/>
        <item x="549"/>
        <item x="121"/>
        <item x="510"/>
        <item x="621"/>
        <item x="869"/>
        <item x="354"/>
        <item x="163"/>
        <item x="501"/>
        <item x="45"/>
        <item x="32"/>
        <item x="783"/>
        <item x="854"/>
        <item x="460"/>
        <item x="701"/>
        <item x="332"/>
        <item x="661"/>
        <item x="798"/>
        <item x="882"/>
        <item x="7"/>
        <item x="517"/>
        <item x="481"/>
        <item x="679"/>
        <item t="default"/>
      </items>
    </pivotField>
    <pivotField compact="0" outline="0" showAll="0"/>
    <pivotField compact="0" numFmtId="4" outline="0" showAll="0"/>
    <pivotField compact="0" outline="0" showAll="0"/>
    <pivotField compact="0" numFmtId="4" outline="0" showAll="0"/>
    <pivotField compact="0" numFmtId="4" outline="0" showAll="0"/>
    <pivotField dataField="1" compact="0" numFmtId="4" outline="0" showAll="0"/>
    <pivotField compact="0" outline="0" showAll="0">
      <items count="4">
        <item x="2"/>
        <item x="0"/>
        <item x="1"/>
        <item t="default"/>
      </items>
    </pivotField>
    <pivotField compact="0" outline="0" showAll="0"/>
    <pivotField compact="0" outline="0" showAll="0">
      <items count="13">
        <item x="9"/>
        <item x="2"/>
        <item x="3"/>
        <item x="7"/>
        <item x="0"/>
        <item x="10"/>
        <item x="5"/>
        <item x="6"/>
        <item x="4"/>
        <item x="1"/>
        <item x="8"/>
        <item x="11"/>
        <item t="default"/>
      </items>
    </pivotField>
    <pivotField compact="0" outline="0" showAll="0">
      <items count="3">
        <item x="0"/>
        <item sd="0" x="1"/>
        <item t="default"/>
      </items>
    </pivotField>
  </pivotFields>
  <rowFields count="1">
    <field x="6"/>
  </rowFields>
  <rowItems count="4">
    <i>
      <x/>
    </i>
    <i>
      <x v="1"/>
    </i>
    <i>
      <x v="2"/>
    </i>
    <i t="grand">
      <x/>
    </i>
  </rowItems>
  <colItems count="1">
    <i/>
  </colItems>
  <dataFields count="1">
    <dataField name="Sum of Profit"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4" minRefreshableVersion="3" useAutoFormatting="1" itemPrintTitles="1" createdVersion="8" indent="0" compact="0" compactData="0" multipleFieldFilters="0" chartFormat="9">
  <location ref="A3:C24" firstHeaderRow="1" firstDataRow="1" firstDataCol="2"/>
  <pivotFields count="19">
    <pivotField compact="0" outline="0" showAll="0"/>
    <pivotField compact="0" numFmtId="164" outline="0" showAll="0"/>
    <pivotField compact="0" outline="0" showAll="0">
      <items count="5">
        <item x="3"/>
        <item x="1"/>
        <item x="2"/>
        <item x="0"/>
        <item t="default"/>
      </items>
    </pivotField>
    <pivotField compact="0" outline="0" showAll="0"/>
    <pivotField compact="0" outline="0" showAll="0">
      <items count="9">
        <item x="3"/>
        <item x="2"/>
        <item x="0"/>
        <item x="7"/>
        <item x="6"/>
        <item x="4"/>
        <item x="1"/>
        <item x="5"/>
        <item t="default"/>
      </items>
    </pivotField>
    <pivotField compact="0" outline="0" showAll="0"/>
    <pivotField compact="0" outline="0" showAll="0">
      <items count="4">
        <item x="0"/>
        <item x="1"/>
        <item x="2"/>
        <item t="default"/>
      </items>
    </pivotField>
    <pivotField compact="0" outline="0" showAll="0"/>
    <pivotField compact="0" outline="0" showAll="0"/>
    <pivotField compact="0" outline="0" showAll="0"/>
    <pivotField compact="0" numFmtId="4" outline="0" showAll="0"/>
    <pivotField compact="0" outline="0" showAll="0"/>
    <pivotField dataField="1" compact="0" numFmtId="4" outline="0" showAll="0"/>
    <pivotField compact="0" numFmtId="4" outline="0" showAll="0"/>
    <pivotField compact="0" numFmtId="4" outline="0" showAll="0"/>
    <pivotField compact="0" outline="0" showAll="0">
      <items count="4">
        <item x="2"/>
        <item x="0"/>
        <item x="1"/>
        <item t="default"/>
      </items>
    </pivotField>
    <pivotField compact="0" outline="0" showAll="0"/>
    <pivotField axis="axisRow" compact="0" outline="0" showAll="0">
      <items count="13">
        <item x="9"/>
        <item x="2"/>
        <item x="3"/>
        <item x="7"/>
        <item x="0"/>
        <item x="10"/>
        <item x="5"/>
        <item x="6"/>
        <item x="4"/>
        <item x="1"/>
        <item x="8"/>
        <item x="11"/>
        <item t="default"/>
      </items>
    </pivotField>
    <pivotField axis="axisRow" compact="0" outline="0" showAll="0">
      <items count="3">
        <item x="0"/>
        <item x="1"/>
        <item t="default"/>
      </items>
    </pivotField>
  </pivotFields>
  <rowFields count="2">
    <field x="18"/>
    <field x="17"/>
  </rowFields>
  <rowItems count="21">
    <i>
      <x/>
      <x/>
    </i>
    <i r="1">
      <x v="1"/>
    </i>
    <i r="1">
      <x v="2"/>
    </i>
    <i r="1">
      <x v="3"/>
    </i>
    <i r="1">
      <x v="4"/>
    </i>
    <i r="1">
      <x v="5"/>
    </i>
    <i r="1">
      <x v="6"/>
    </i>
    <i r="1">
      <x v="7"/>
    </i>
    <i r="1">
      <x v="8"/>
    </i>
    <i r="1">
      <x v="9"/>
    </i>
    <i r="1">
      <x v="10"/>
    </i>
    <i r="1">
      <x v="11"/>
    </i>
    <i t="default">
      <x/>
    </i>
    <i>
      <x v="1"/>
      <x/>
    </i>
    <i r="1">
      <x v="1"/>
    </i>
    <i r="1">
      <x v="2"/>
    </i>
    <i r="1">
      <x v="3"/>
    </i>
    <i r="1">
      <x v="4"/>
    </i>
    <i r="1">
      <x v="5"/>
    </i>
    <i t="default">
      <x v="1"/>
    </i>
    <i t="grand">
      <x/>
    </i>
  </rowItems>
  <colItems count="1">
    <i/>
  </colItems>
  <dataFields count="1">
    <dataField name="Sum of Revenue" fld="12" baseField="0" baseItem="0" numFmtId="4"/>
  </dataFields>
  <chartFormats count="7">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hannel" sourceName="Channel">
  <pivotTables>
    <pivotTable tabId="4" name="PivotTable3"/>
    <pivotTable tabId="4" name="PivotTable1"/>
    <pivotTable tabId="4" name="PivotTable2"/>
    <pivotTable tabId="4" name="PivotTable4"/>
    <pivotTable tabId="4" name="PivotTable5"/>
    <pivotTable tabId="4" name="PivotTable6"/>
    <pivotTable tabId="4" name="PivotTable7"/>
    <pivotTable tabId="4" name="PivotTable8"/>
  </pivotTables>
  <data>
    <tabular pivotCacheId="73947062">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4" name="PivotTable3"/>
    <pivotTable tabId="4" name="PivotTable1"/>
    <pivotTable tabId="4" name="PivotTable2"/>
    <pivotTable tabId="4" name="PivotTable4"/>
    <pivotTable tabId="4" name="PivotTable5"/>
    <pivotTable tabId="4" name="PivotTable6"/>
    <pivotTable tabId="4" name="PivotTable7"/>
    <pivotTable tabId="4" name="PivotTable8"/>
  </pivotTables>
  <data>
    <tabular pivotCacheId="73947062">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4" name="PivotTable3"/>
    <pivotTable tabId="4" name="PivotTable1"/>
    <pivotTable tabId="4" name="PivotTable2"/>
    <pivotTable tabId="4" name="PivotTable4"/>
    <pivotTable tabId="4" name="PivotTable5"/>
    <pivotTable tabId="4" name="PivotTable6"/>
    <pivotTable tabId="4" name="PivotTable7"/>
    <pivotTable tabId="4" name="PivotTable8"/>
  </pivotTables>
  <data>
    <tabular pivotCacheId="73947062">
      <items count="4">
        <i x="3" s="1"/>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4" name="PivotTable3"/>
    <pivotTable tabId="4" name="PivotTable1"/>
    <pivotTable tabId="4" name="PivotTable2"/>
    <pivotTable tabId="4" name="PivotTable4"/>
    <pivotTable tabId="4" name="PivotTable5"/>
    <pivotTable tabId="4" name="PivotTable6"/>
    <pivotTable tabId="4" name="PivotTable7"/>
    <pivotTable tabId="4" name="PivotTable8"/>
  </pivotTables>
  <data>
    <tabular pivotCacheId="73947062">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Salesperson" sourceName="Salesperson">
  <pivotTables>
    <pivotTable tabId="4" name="PivotTable3"/>
    <pivotTable tabId="4" name="PivotTable1"/>
    <pivotTable tabId="4" name="PivotTable2"/>
    <pivotTable tabId="4" name="PivotTable4"/>
    <pivotTable tabId="4" name="PivotTable5"/>
    <pivotTable tabId="4" name="PivotTable6"/>
    <pivotTable tabId="4" name="PivotTable7"/>
    <pivotTable tabId="4" name="PivotTable8"/>
  </pivotTables>
  <data>
    <tabular pivotCacheId="73947062">
      <items count="8">
        <i x="3" s="1"/>
        <i x="2" s="1"/>
        <i x="0" s="1"/>
        <i x="7" s="1"/>
        <i x="6" s="1"/>
        <i x="4" s="1"/>
        <i x="1"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hannel 1" cache="Slicer_Channel" caption="Channel" rowHeight="234950"/>
  <slicer name="Year" cache="Slicer_Year" caption="Year" rowHeight="234950"/>
  <slicer name="Region" cache="Slicer_Region" caption="Region" rowHeight="234950"/>
  <slicer name="Category" cache="Slicer_Category" caption="Category" rowHeight="234950"/>
  <slicer name="Salesperson" cache="Slicer_Salesperson" caption="Salesperson" startItem="5" rowHeight="234950"/>
</slicers>
</file>

<file path=xl/tables/table1.xml><?xml version="1.0" encoding="utf-8"?>
<table xmlns="http://schemas.openxmlformats.org/spreadsheetml/2006/main" id="1" name="Table1" displayName="Table1" ref="A1:S1002" totalsRowCount="1">
  <autoFilter ref="A1:S1001"/>
  <tableColumns count="19">
    <tableColumn id="1" name="Order ID" totalsRowFunction="custom">
      <totalsRowFormula>SUBTOTAL(103,A2:A1001)</totalsRowFormula>
    </tableColumn>
    <tableColumn id="2" name="Order Date" dataDxfId="16" totalsRowDxfId="15"/>
    <tableColumn id="3" name="Region"/>
    <tableColumn id="4" name="State"/>
    <tableColumn id="5" name="Salesperson"/>
    <tableColumn id="6" name="Customer Segment"/>
    <tableColumn id="7" name="Category"/>
    <tableColumn id="8" name="Sub-Category"/>
    <tableColumn id="9" name="Product"/>
    <tableColumn id="10" name="Units"/>
    <tableColumn id="11" name="Unit Price" dataDxfId="14" totalsRowDxfId="13"/>
    <tableColumn id="12" name="Discount %"/>
    <tableColumn id="13" name="Revenue" totalsRowFunction="custom" dataDxfId="12" totalsRowDxfId="11">
      <totalsRowFormula>SUBTOTAL(109,M2:M1001)</totalsRowFormula>
    </tableColumn>
    <tableColumn id="14" name="Cost" totalsRowFunction="custom" dataDxfId="10" totalsRowDxfId="9">
      <totalsRowFormula>SUBTOTAL(109,N2:N1001)</totalsRowFormula>
    </tableColumn>
    <tableColumn id="15" name="Profit" dataDxfId="8" totalsRowDxfId="7"/>
    <tableColumn id="16" name="Channel"/>
    <tableColumn id="17" name="Payment"/>
    <tableColumn id="19" name="Month" dataDxfId="6">
      <calculatedColumnFormula>TEXT(Table1[[#This Row],[Order Date]],"mmmm")</calculatedColumnFormula>
    </tableColumn>
    <tableColumn id="18" name="Year" dataDxfId="5">
      <calculatedColumnFormula>YEAR(Table1[[#This Row],[Order Date]])</calculatedColumnFormula>
    </tableColumn>
  </tableColumns>
  <tableStyleInfo name="TableStyleMedium9" showFirstColumn="0" showLastColumn="0" showRowStripes="1" showColumnStripes="0"/>
</table>
</file>

<file path=xl/tables/table2.xml><?xml version="1.0" encoding="utf-8"?>
<table xmlns="http://schemas.openxmlformats.org/spreadsheetml/2006/main" id="2" name="Table2" displayName="Table2" ref="A1:Q1001" totalsRowShown="0">
  <autoFilter ref="A1:Q1001"/>
  <tableColumns count="17">
    <tableColumn id="1" name="Order ID"/>
    <tableColumn id="2" name="Order Date" dataDxfId="4"/>
    <tableColumn id="3" name="Region"/>
    <tableColumn id="4" name="State"/>
    <tableColumn id="5" name="Salesperson"/>
    <tableColumn id="6" name="Customer Segment"/>
    <tableColumn id="7" name="Category"/>
    <tableColumn id="8" name="Sub-Category"/>
    <tableColumn id="9" name="Product"/>
    <tableColumn id="10" name="Units"/>
    <tableColumn id="11" name="Unit Price" dataDxfId="3"/>
    <tableColumn id="12" name="Discount %"/>
    <tableColumn id="13" name="Revenue" dataDxfId="2"/>
    <tableColumn id="14" name="Cost" dataDxfId="1"/>
    <tableColumn id="15" name="Profit" dataDxfId="0"/>
    <tableColumn id="16" name="Channel"/>
    <tableColumn id="17" name="Pay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002"/>
  <sheetViews>
    <sheetView topLeftCell="J37" workbookViewId="0">
      <selection activeCell="E1" sqref="E1:E1048576"/>
    </sheetView>
  </sheetViews>
  <sheetFormatPr defaultRowHeight="14.4" x14ac:dyDescent="0.3"/>
  <cols>
    <col min="1" max="1" width="11.33203125" bestFit="1" customWidth="1"/>
    <col min="2" max="2" width="13" bestFit="1" customWidth="1"/>
    <col min="3" max="3" width="9.33203125" bestFit="1" customWidth="1"/>
    <col min="4" max="4" width="12.88671875" bestFit="1" customWidth="1"/>
    <col min="5" max="5" width="13.88671875" bestFit="1" customWidth="1"/>
    <col min="6" max="6" width="20" bestFit="1" customWidth="1"/>
    <col min="7" max="7" width="14.33203125" bestFit="1" customWidth="1"/>
    <col min="8" max="8" width="15" bestFit="1" customWidth="1"/>
    <col min="9" max="9" width="15.5546875" bestFit="1" customWidth="1"/>
    <col min="11" max="11" width="11.88671875" bestFit="1" customWidth="1"/>
    <col min="12" max="12" width="13" bestFit="1" customWidth="1"/>
    <col min="13" max="14" width="14" bestFit="1" customWidth="1"/>
    <col min="16" max="16" width="10.44140625" bestFit="1" customWidth="1"/>
    <col min="17" max="17" width="11.5546875" bestFit="1" customWidth="1"/>
    <col min="18" max="18" width="11.109375" bestFit="1" customWidth="1"/>
    <col min="19" max="19" width="11.109375" customWidth="1"/>
  </cols>
  <sheetData>
    <row r="1" spans="1:1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3">
      <c r="A2" t="s">
        <v>19</v>
      </c>
      <c r="B2" s="1">
        <v>45790</v>
      </c>
      <c r="C2" t="s">
        <v>20</v>
      </c>
      <c r="D2" t="s">
        <v>21</v>
      </c>
      <c r="E2" t="s">
        <v>22</v>
      </c>
      <c r="F2" t="s">
        <v>23</v>
      </c>
      <c r="G2" t="s">
        <v>24</v>
      </c>
      <c r="H2" t="s">
        <v>25</v>
      </c>
      <c r="I2" t="s">
        <v>26</v>
      </c>
      <c r="J2">
        <v>7</v>
      </c>
      <c r="K2" s="2">
        <v>3307.79</v>
      </c>
      <c r="L2">
        <v>5</v>
      </c>
      <c r="M2" s="2">
        <v>21996.799999999999</v>
      </c>
      <c r="N2" s="2">
        <v>13289.01</v>
      </c>
      <c r="O2" s="2">
        <v>8707.7900000000009</v>
      </c>
      <c r="P2" t="s">
        <v>27</v>
      </c>
      <c r="Q2" t="s">
        <v>28</v>
      </c>
      <c r="R2" t="str">
        <f>TEXT(Table1[[#This Row],[Order Date]],"mmmm")</f>
        <v>May</v>
      </c>
      <c r="S2">
        <f>YEAR(Table1[[#This Row],[Order Date]])</f>
        <v>2025</v>
      </c>
    </row>
    <row r="3" spans="1:19" x14ac:dyDescent="0.3">
      <c r="A3" t="s">
        <v>29</v>
      </c>
      <c r="B3" s="1">
        <v>46150</v>
      </c>
      <c r="C3" t="s">
        <v>20</v>
      </c>
      <c r="D3" t="s">
        <v>21</v>
      </c>
      <c r="E3" t="s">
        <v>30</v>
      </c>
      <c r="F3" t="s">
        <v>31</v>
      </c>
      <c r="G3" t="s">
        <v>24</v>
      </c>
      <c r="H3" t="s">
        <v>32</v>
      </c>
      <c r="I3" t="s">
        <v>33</v>
      </c>
      <c r="J3">
        <v>10</v>
      </c>
      <c r="K3" s="2">
        <v>4140.0600000000004</v>
      </c>
      <c r="L3">
        <v>0</v>
      </c>
      <c r="M3" s="2">
        <v>41400.6</v>
      </c>
      <c r="N3" s="2">
        <v>32613.85</v>
      </c>
      <c r="O3" s="2">
        <v>8786.75</v>
      </c>
      <c r="P3" t="s">
        <v>27</v>
      </c>
      <c r="Q3" t="s">
        <v>28</v>
      </c>
      <c r="R3" t="str">
        <f>TEXT(Table1[[#This Row],[Order Date]],"mmmm")</f>
        <v>May</v>
      </c>
      <c r="S3">
        <f>YEAR(Table1[[#This Row],[Order Date]])</f>
        <v>2026</v>
      </c>
    </row>
    <row r="4" spans="1:19" x14ac:dyDescent="0.3">
      <c r="A4" t="s">
        <v>34</v>
      </c>
      <c r="B4" s="1">
        <v>45943</v>
      </c>
      <c r="C4" t="s">
        <v>35</v>
      </c>
      <c r="D4" t="s">
        <v>36</v>
      </c>
      <c r="E4" t="s">
        <v>30</v>
      </c>
      <c r="F4" t="s">
        <v>37</v>
      </c>
      <c r="G4" t="s">
        <v>38</v>
      </c>
      <c r="H4" t="s">
        <v>39</v>
      </c>
      <c r="I4" t="s">
        <v>40</v>
      </c>
      <c r="J4">
        <v>13</v>
      </c>
      <c r="K4" s="2">
        <v>4126.45</v>
      </c>
      <c r="L4">
        <v>15</v>
      </c>
      <c r="M4" s="2">
        <v>45597.27</v>
      </c>
      <c r="N4" s="2">
        <v>26050.2</v>
      </c>
      <c r="O4" s="2">
        <v>19547.07</v>
      </c>
      <c r="P4" t="s">
        <v>41</v>
      </c>
      <c r="Q4" t="s">
        <v>42</v>
      </c>
      <c r="R4" t="str">
        <f>TEXT(Table1[[#This Row],[Order Date]],"mmmm")</f>
        <v>October</v>
      </c>
      <c r="S4">
        <f>YEAR(Table1[[#This Row],[Order Date]])</f>
        <v>2025</v>
      </c>
    </row>
    <row r="5" spans="1:19" x14ac:dyDescent="0.3">
      <c r="A5" t="s">
        <v>43</v>
      </c>
      <c r="B5" s="1">
        <v>46073</v>
      </c>
      <c r="C5" t="s">
        <v>20</v>
      </c>
      <c r="D5" t="s">
        <v>21</v>
      </c>
      <c r="E5" t="s">
        <v>44</v>
      </c>
      <c r="F5" t="s">
        <v>37</v>
      </c>
      <c r="G5" t="s">
        <v>45</v>
      </c>
      <c r="H5" t="s">
        <v>46</v>
      </c>
      <c r="I5" t="s">
        <v>47</v>
      </c>
      <c r="J5">
        <v>11</v>
      </c>
      <c r="K5" s="2">
        <v>4728.07</v>
      </c>
      <c r="L5">
        <v>15</v>
      </c>
      <c r="M5" s="2">
        <v>44207.45</v>
      </c>
      <c r="N5" s="2">
        <v>31674.14</v>
      </c>
      <c r="O5" s="2">
        <v>12533.31</v>
      </c>
      <c r="P5" t="s">
        <v>48</v>
      </c>
      <c r="Q5" t="s">
        <v>49</v>
      </c>
      <c r="R5" t="str">
        <f>TEXT(Table1[[#This Row],[Order Date]],"mmmm")</f>
        <v>February</v>
      </c>
      <c r="S5">
        <f>YEAR(Table1[[#This Row],[Order Date]])</f>
        <v>2026</v>
      </c>
    </row>
    <row r="6" spans="1:19" x14ac:dyDescent="0.3">
      <c r="A6" t="s">
        <v>50</v>
      </c>
      <c r="B6" s="1">
        <v>45717</v>
      </c>
      <c r="C6" t="s">
        <v>20</v>
      </c>
      <c r="D6" t="s">
        <v>21</v>
      </c>
      <c r="E6" t="s">
        <v>51</v>
      </c>
      <c r="F6" t="s">
        <v>37</v>
      </c>
      <c r="G6" t="s">
        <v>45</v>
      </c>
      <c r="H6" t="s">
        <v>52</v>
      </c>
      <c r="I6" t="s">
        <v>53</v>
      </c>
      <c r="J6">
        <v>10</v>
      </c>
      <c r="K6" s="2">
        <v>2169.3200000000002</v>
      </c>
      <c r="L6">
        <v>5</v>
      </c>
      <c r="M6" s="2">
        <v>20608.54</v>
      </c>
      <c r="N6" s="2">
        <v>15851.94</v>
      </c>
      <c r="O6" s="2">
        <v>4756.6000000000004</v>
      </c>
      <c r="P6" t="s">
        <v>48</v>
      </c>
      <c r="Q6" t="s">
        <v>42</v>
      </c>
      <c r="R6" t="str">
        <f>TEXT(Table1[[#This Row],[Order Date]],"mmmm")</f>
        <v>March</v>
      </c>
      <c r="S6">
        <f>YEAR(Table1[[#This Row],[Order Date]])</f>
        <v>2025</v>
      </c>
    </row>
    <row r="7" spans="1:19" x14ac:dyDescent="0.3">
      <c r="A7" t="s">
        <v>54</v>
      </c>
      <c r="B7" s="1">
        <v>45910</v>
      </c>
      <c r="C7" t="s">
        <v>20</v>
      </c>
      <c r="D7" t="s">
        <v>55</v>
      </c>
      <c r="E7" t="s">
        <v>51</v>
      </c>
      <c r="F7" t="s">
        <v>31</v>
      </c>
      <c r="G7" t="s">
        <v>24</v>
      </c>
      <c r="H7" t="s">
        <v>56</v>
      </c>
      <c r="I7" t="s">
        <v>57</v>
      </c>
      <c r="J7">
        <v>11</v>
      </c>
      <c r="K7" s="2">
        <v>4333.96</v>
      </c>
      <c r="L7">
        <v>10</v>
      </c>
      <c r="M7" s="2">
        <v>42906.2</v>
      </c>
      <c r="N7" s="2">
        <v>26492.94</v>
      </c>
      <c r="O7" s="2">
        <v>16413.259999999998</v>
      </c>
      <c r="P7" t="s">
        <v>27</v>
      </c>
      <c r="Q7" t="s">
        <v>42</v>
      </c>
      <c r="R7" t="str">
        <f>TEXT(Table1[[#This Row],[Order Date]],"mmmm")</f>
        <v>September</v>
      </c>
      <c r="S7">
        <f>YEAR(Table1[[#This Row],[Order Date]])</f>
        <v>2025</v>
      </c>
    </row>
    <row r="8" spans="1:19" x14ac:dyDescent="0.3">
      <c r="A8" t="s">
        <v>58</v>
      </c>
      <c r="B8" s="1">
        <v>45849</v>
      </c>
      <c r="C8" t="s">
        <v>35</v>
      </c>
      <c r="D8" t="s">
        <v>59</v>
      </c>
      <c r="E8" t="s">
        <v>30</v>
      </c>
      <c r="F8" t="s">
        <v>23</v>
      </c>
      <c r="G8" t="s">
        <v>45</v>
      </c>
      <c r="H8" t="s">
        <v>46</v>
      </c>
      <c r="I8" t="s">
        <v>60</v>
      </c>
      <c r="J8">
        <v>11</v>
      </c>
      <c r="K8" s="2">
        <v>485.84</v>
      </c>
      <c r="L8">
        <v>20</v>
      </c>
      <c r="M8" s="2">
        <v>4275.3900000000003</v>
      </c>
      <c r="N8" s="2">
        <v>3340.42</v>
      </c>
      <c r="O8" s="2">
        <v>934.97</v>
      </c>
      <c r="P8" t="s">
        <v>48</v>
      </c>
      <c r="Q8" t="s">
        <v>61</v>
      </c>
      <c r="R8" t="str">
        <f>TEXT(Table1[[#This Row],[Order Date]],"mmmm")</f>
        <v>July</v>
      </c>
      <c r="S8">
        <f>YEAR(Table1[[#This Row],[Order Date]])</f>
        <v>2025</v>
      </c>
    </row>
    <row r="9" spans="1:19" x14ac:dyDescent="0.3">
      <c r="A9" t="s">
        <v>62</v>
      </c>
      <c r="B9" s="1">
        <v>45885</v>
      </c>
      <c r="C9" t="s">
        <v>20</v>
      </c>
      <c r="D9" t="s">
        <v>55</v>
      </c>
      <c r="E9" t="s">
        <v>44</v>
      </c>
      <c r="F9" t="s">
        <v>37</v>
      </c>
      <c r="G9" t="s">
        <v>38</v>
      </c>
      <c r="H9" t="s">
        <v>63</v>
      </c>
      <c r="I9" t="s">
        <v>64</v>
      </c>
      <c r="J9">
        <v>14</v>
      </c>
      <c r="K9" s="2">
        <v>1435.08</v>
      </c>
      <c r="L9">
        <v>10</v>
      </c>
      <c r="M9" s="2">
        <v>18082.009999999998</v>
      </c>
      <c r="N9" s="2">
        <v>13408.27</v>
      </c>
      <c r="O9" s="2">
        <v>4673.74</v>
      </c>
      <c r="P9" t="s">
        <v>48</v>
      </c>
      <c r="Q9" t="s">
        <v>61</v>
      </c>
      <c r="R9" t="str">
        <f>TEXT(Table1[[#This Row],[Order Date]],"mmmm")</f>
        <v>August</v>
      </c>
      <c r="S9">
        <f>YEAR(Table1[[#This Row],[Order Date]])</f>
        <v>2025</v>
      </c>
    </row>
    <row r="10" spans="1:19" x14ac:dyDescent="0.3">
      <c r="A10" t="s">
        <v>65</v>
      </c>
      <c r="B10" s="1">
        <v>46142</v>
      </c>
      <c r="C10" t="s">
        <v>20</v>
      </c>
      <c r="D10" t="s">
        <v>21</v>
      </c>
      <c r="E10" t="s">
        <v>66</v>
      </c>
      <c r="F10" t="s">
        <v>31</v>
      </c>
      <c r="G10" t="s">
        <v>45</v>
      </c>
      <c r="H10" t="s">
        <v>67</v>
      </c>
      <c r="I10" t="s">
        <v>68</v>
      </c>
      <c r="J10">
        <v>12</v>
      </c>
      <c r="K10" s="2">
        <v>4660.17</v>
      </c>
      <c r="L10">
        <v>5</v>
      </c>
      <c r="M10" s="2">
        <v>53125.94</v>
      </c>
      <c r="N10" s="2">
        <v>38250.36</v>
      </c>
      <c r="O10" s="2">
        <v>14875.58</v>
      </c>
      <c r="P10" t="s">
        <v>48</v>
      </c>
      <c r="Q10" t="s">
        <v>28</v>
      </c>
      <c r="R10" t="str">
        <f>TEXT(Table1[[#This Row],[Order Date]],"mmmm")</f>
        <v>April</v>
      </c>
      <c r="S10">
        <f>YEAR(Table1[[#This Row],[Order Date]])</f>
        <v>2026</v>
      </c>
    </row>
    <row r="11" spans="1:19" x14ac:dyDescent="0.3">
      <c r="A11" t="s">
        <v>69</v>
      </c>
      <c r="B11" s="1">
        <v>46165</v>
      </c>
      <c r="C11" t="s">
        <v>70</v>
      </c>
      <c r="D11" t="s">
        <v>71</v>
      </c>
      <c r="E11" t="s">
        <v>44</v>
      </c>
      <c r="F11" t="s">
        <v>23</v>
      </c>
      <c r="G11" t="s">
        <v>38</v>
      </c>
      <c r="H11" t="s">
        <v>72</v>
      </c>
      <c r="I11" t="s">
        <v>73</v>
      </c>
      <c r="J11">
        <v>5</v>
      </c>
      <c r="K11" s="2">
        <v>4161.6499999999996</v>
      </c>
      <c r="L11">
        <v>10</v>
      </c>
      <c r="M11" s="2">
        <v>18727.419999999998</v>
      </c>
      <c r="N11" s="2">
        <v>15283.82</v>
      </c>
      <c r="O11" s="2">
        <v>3443.6</v>
      </c>
      <c r="P11" t="s">
        <v>27</v>
      </c>
      <c r="Q11" t="s">
        <v>49</v>
      </c>
      <c r="R11" t="str">
        <f>TEXT(Table1[[#This Row],[Order Date]],"mmmm")</f>
        <v>May</v>
      </c>
      <c r="S11">
        <f>YEAR(Table1[[#This Row],[Order Date]])</f>
        <v>2026</v>
      </c>
    </row>
    <row r="12" spans="1:19" x14ac:dyDescent="0.3">
      <c r="A12" t="s">
        <v>74</v>
      </c>
      <c r="B12" s="1">
        <v>45917</v>
      </c>
      <c r="C12" t="s">
        <v>70</v>
      </c>
      <c r="D12" t="s">
        <v>75</v>
      </c>
      <c r="E12" t="s">
        <v>30</v>
      </c>
      <c r="F12" t="s">
        <v>23</v>
      </c>
      <c r="G12" t="s">
        <v>38</v>
      </c>
      <c r="H12" t="s">
        <v>72</v>
      </c>
      <c r="I12" t="s">
        <v>76</v>
      </c>
      <c r="J12">
        <v>3</v>
      </c>
      <c r="K12" s="2">
        <v>4734</v>
      </c>
      <c r="L12">
        <v>10</v>
      </c>
      <c r="M12" s="2">
        <v>12781.8</v>
      </c>
      <c r="N12" s="2">
        <v>10045.17</v>
      </c>
      <c r="O12" s="2">
        <v>2736.63</v>
      </c>
      <c r="P12" t="s">
        <v>27</v>
      </c>
      <c r="Q12" t="s">
        <v>28</v>
      </c>
      <c r="R12" t="str">
        <f>TEXT(Table1[[#This Row],[Order Date]],"mmmm")</f>
        <v>September</v>
      </c>
      <c r="S12">
        <f>YEAR(Table1[[#This Row],[Order Date]])</f>
        <v>2025</v>
      </c>
    </row>
    <row r="13" spans="1:19" x14ac:dyDescent="0.3">
      <c r="A13" t="s">
        <v>77</v>
      </c>
      <c r="B13" s="1">
        <v>46172</v>
      </c>
      <c r="C13" t="s">
        <v>70</v>
      </c>
      <c r="D13" t="s">
        <v>75</v>
      </c>
      <c r="E13" t="s">
        <v>44</v>
      </c>
      <c r="F13" t="s">
        <v>23</v>
      </c>
      <c r="G13" t="s">
        <v>45</v>
      </c>
      <c r="H13" t="s">
        <v>52</v>
      </c>
      <c r="I13" t="s">
        <v>78</v>
      </c>
      <c r="J13">
        <v>8</v>
      </c>
      <c r="K13" s="2">
        <v>1529.94</v>
      </c>
      <c r="L13">
        <v>20</v>
      </c>
      <c r="M13" s="2">
        <v>9791.6200000000008</v>
      </c>
      <c r="N13" s="2">
        <v>6042.57</v>
      </c>
      <c r="O13" s="2">
        <v>3749.05</v>
      </c>
      <c r="P13" t="s">
        <v>27</v>
      </c>
      <c r="Q13" t="s">
        <v>49</v>
      </c>
      <c r="R13" t="str">
        <f>TEXT(Table1[[#This Row],[Order Date]],"mmmm")</f>
        <v>May</v>
      </c>
      <c r="S13">
        <f>YEAR(Table1[[#This Row],[Order Date]])</f>
        <v>2026</v>
      </c>
    </row>
    <row r="14" spans="1:19" x14ac:dyDescent="0.3">
      <c r="A14" t="s">
        <v>79</v>
      </c>
      <c r="B14" s="1">
        <v>46112</v>
      </c>
      <c r="C14" t="s">
        <v>20</v>
      </c>
      <c r="D14" t="s">
        <v>55</v>
      </c>
      <c r="E14" t="s">
        <v>44</v>
      </c>
      <c r="F14" t="s">
        <v>31</v>
      </c>
      <c r="G14" t="s">
        <v>24</v>
      </c>
      <c r="H14" t="s">
        <v>32</v>
      </c>
      <c r="I14" t="s">
        <v>80</v>
      </c>
      <c r="J14">
        <v>2</v>
      </c>
      <c r="K14" s="2">
        <v>480.84</v>
      </c>
      <c r="L14">
        <v>15</v>
      </c>
      <c r="M14" s="2">
        <v>817.43</v>
      </c>
      <c r="N14" s="2">
        <v>536.85</v>
      </c>
      <c r="O14" s="2">
        <v>280.58</v>
      </c>
      <c r="P14" t="s">
        <v>48</v>
      </c>
      <c r="Q14" t="s">
        <v>42</v>
      </c>
      <c r="R14" t="str">
        <f>TEXT(Table1[[#This Row],[Order Date]],"mmmm")</f>
        <v>March</v>
      </c>
      <c r="S14">
        <f>YEAR(Table1[[#This Row],[Order Date]])</f>
        <v>2026</v>
      </c>
    </row>
    <row r="15" spans="1:19" x14ac:dyDescent="0.3">
      <c r="A15" t="s">
        <v>81</v>
      </c>
      <c r="B15" s="1">
        <v>45839</v>
      </c>
      <c r="C15" t="s">
        <v>35</v>
      </c>
      <c r="D15" t="s">
        <v>36</v>
      </c>
      <c r="E15" t="s">
        <v>66</v>
      </c>
      <c r="F15" t="s">
        <v>23</v>
      </c>
      <c r="G15" t="s">
        <v>38</v>
      </c>
      <c r="H15" t="s">
        <v>63</v>
      </c>
      <c r="I15" t="s">
        <v>82</v>
      </c>
      <c r="J15">
        <v>10</v>
      </c>
      <c r="K15" s="2">
        <v>4277.93</v>
      </c>
      <c r="L15">
        <v>20</v>
      </c>
      <c r="M15" s="2">
        <v>34223.440000000002</v>
      </c>
      <c r="N15" s="2">
        <v>25263.59</v>
      </c>
      <c r="O15" s="2">
        <v>8959.85</v>
      </c>
      <c r="P15" t="s">
        <v>41</v>
      </c>
      <c r="Q15" t="s">
        <v>61</v>
      </c>
      <c r="R15" t="str">
        <f>TEXT(Table1[[#This Row],[Order Date]],"mmmm")</f>
        <v>July</v>
      </c>
      <c r="S15">
        <f>YEAR(Table1[[#This Row],[Order Date]])</f>
        <v>2025</v>
      </c>
    </row>
    <row r="16" spans="1:19" x14ac:dyDescent="0.3">
      <c r="A16" t="s">
        <v>83</v>
      </c>
      <c r="B16" s="1">
        <v>45690</v>
      </c>
      <c r="C16" t="s">
        <v>20</v>
      </c>
      <c r="D16" t="s">
        <v>55</v>
      </c>
      <c r="E16" t="s">
        <v>51</v>
      </c>
      <c r="F16" t="s">
        <v>23</v>
      </c>
      <c r="G16" t="s">
        <v>24</v>
      </c>
      <c r="H16" t="s">
        <v>25</v>
      </c>
      <c r="I16" t="s">
        <v>84</v>
      </c>
      <c r="J16">
        <v>9</v>
      </c>
      <c r="K16" s="2">
        <v>1660.47</v>
      </c>
      <c r="L16">
        <v>15</v>
      </c>
      <c r="M16" s="2">
        <v>12702.6</v>
      </c>
      <c r="N16" s="2">
        <v>7825.17</v>
      </c>
      <c r="O16" s="2">
        <v>4877.43</v>
      </c>
      <c r="P16" t="s">
        <v>27</v>
      </c>
      <c r="Q16" t="s">
        <v>49</v>
      </c>
      <c r="R16" t="str">
        <f>TEXT(Table1[[#This Row],[Order Date]],"mmmm")</f>
        <v>February</v>
      </c>
      <c r="S16">
        <f>YEAR(Table1[[#This Row],[Order Date]])</f>
        <v>2025</v>
      </c>
    </row>
    <row r="17" spans="1:19" x14ac:dyDescent="0.3">
      <c r="A17" t="s">
        <v>85</v>
      </c>
      <c r="B17" s="1">
        <v>45971</v>
      </c>
      <c r="C17" t="s">
        <v>86</v>
      </c>
      <c r="D17" t="s">
        <v>87</v>
      </c>
      <c r="E17" t="s">
        <v>66</v>
      </c>
      <c r="F17" t="s">
        <v>37</v>
      </c>
      <c r="G17" t="s">
        <v>45</v>
      </c>
      <c r="H17" t="s">
        <v>46</v>
      </c>
      <c r="I17" t="s">
        <v>88</v>
      </c>
      <c r="J17">
        <v>10</v>
      </c>
      <c r="K17" s="2">
        <v>1174.82</v>
      </c>
      <c r="L17">
        <v>15</v>
      </c>
      <c r="M17" s="2">
        <v>9985.9699999999993</v>
      </c>
      <c r="N17" s="2">
        <v>7304.46</v>
      </c>
      <c r="O17" s="2">
        <v>2681.51</v>
      </c>
      <c r="P17" t="s">
        <v>48</v>
      </c>
      <c r="Q17" t="s">
        <v>28</v>
      </c>
      <c r="R17" t="str">
        <f>TEXT(Table1[[#This Row],[Order Date]],"mmmm")</f>
        <v>November</v>
      </c>
      <c r="S17">
        <f>YEAR(Table1[[#This Row],[Order Date]])</f>
        <v>2025</v>
      </c>
    </row>
    <row r="18" spans="1:19" x14ac:dyDescent="0.3">
      <c r="A18" t="s">
        <v>89</v>
      </c>
      <c r="B18" s="1">
        <v>45742</v>
      </c>
      <c r="C18" t="s">
        <v>86</v>
      </c>
      <c r="D18" t="s">
        <v>90</v>
      </c>
      <c r="E18" t="s">
        <v>22</v>
      </c>
      <c r="F18" t="s">
        <v>37</v>
      </c>
      <c r="G18" t="s">
        <v>38</v>
      </c>
      <c r="H18" t="s">
        <v>91</v>
      </c>
      <c r="I18" t="s">
        <v>92</v>
      </c>
      <c r="J18">
        <v>1</v>
      </c>
      <c r="K18" s="2">
        <v>3560.08</v>
      </c>
      <c r="L18">
        <v>5</v>
      </c>
      <c r="M18" s="2">
        <v>3382.08</v>
      </c>
      <c r="N18" s="2">
        <v>2743.47</v>
      </c>
      <c r="O18" s="2">
        <v>638.61</v>
      </c>
      <c r="P18" t="s">
        <v>48</v>
      </c>
      <c r="Q18" t="s">
        <v>61</v>
      </c>
      <c r="R18" t="str">
        <f>TEXT(Table1[[#This Row],[Order Date]],"mmmm")</f>
        <v>March</v>
      </c>
      <c r="S18">
        <f>YEAR(Table1[[#This Row],[Order Date]])</f>
        <v>2025</v>
      </c>
    </row>
    <row r="19" spans="1:19" x14ac:dyDescent="0.3">
      <c r="A19" t="s">
        <v>93</v>
      </c>
      <c r="B19" s="1">
        <v>45672</v>
      </c>
      <c r="C19" t="s">
        <v>35</v>
      </c>
      <c r="D19" t="s">
        <v>36</v>
      </c>
      <c r="E19" t="s">
        <v>22</v>
      </c>
      <c r="F19" t="s">
        <v>37</v>
      </c>
      <c r="G19" t="s">
        <v>45</v>
      </c>
      <c r="H19" t="s">
        <v>52</v>
      </c>
      <c r="I19" t="s">
        <v>94</v>
      </c>
      <c r="J19">
        <v>11</v>
      </c>
      <c r="K19" s="2">
        <v>1585.64</v>
      </c>
      <c r="L19">
        <v>0</v>
      </c>
      <c r="M19" s="2">
        <v>17442.04</v>
      </c>
      <c r="N19" s="2">
        <v>9755.7099999999991</v>
      </c>
      <c r="O19" s="2">
        <v>7686.33</v>
      </c>
      <c r="P19" t="s">
        <v>27</v>
      </c>
      <c r="Q19" t="s">
        <v>61</v>
      </c>
      <c r="R19" t="str">
        <f>TEXT(Table1[[#This Row],[Order Date]],"mmmm")</f>
        <v>January</v>
      </c>
      <c r="S19">
        <f>YEAR(Table1[[#This Row],[Order Date]])</f>
        <v>2025</v>
      </c>
    </row>
    <row r="20" spans="1:19" x14ac:dyDescent="0.3">
      <c r="A20" t="s">
        <v>95</v>
      </c>
      <c r="B20" s="1">
        <v>45905</v>
      </c>
      <c r="C20" t="s">
        <v>35</v>
      </c>
      <c r="D20" t="s">
        <v>59</v>
      </c>
      <c r="E20" t="s">
        <v>22</v>
      </c>
      <c r="F20" t="s">
        <v>23</v>
      </c>
      <c r="G20" t="s">
        <v>24</v>
      </c>
      <c r="H20" t="s">
        <v>25</v>
      </c>
      <c r="I20" t="s">
        <v>96</v>
      </c>
      <c r="J20">
        <v>10</v>
      </c>
      <c r="K20" s="2">
        <v>2392.11</v>
      </c>
      <c r="L20">
        <v>0</v>
      </c>
      <c r="M20" s="2">
        <v>23921.1</v>
      </c>
      <c r="N20" s="2">
        <v>13775.73</v>
      </c>
      <c r="O20" s="2">
        <v>10145.370000000001</v>
      </c>
      <c r="P20" t="s">
        <v>48</v>
      </c>
      <c r="Q20" t="s">
        <v>28</v>
      </c>
      <c r="R20" t="str">
        <f>TEXT(Table1[[#This Row],[Order Date]],"mmmm")</f>
        <v>September</v>
      </c>
      <c r="S20">
        <f>YEAR(Table1[[#This Row],[Order Date]])</f>
        <v>2025</v>
      </c>
    </row>
    <row r="21" spans="1:19" x14ac:dyDescent="0.3">
      <c r="A21" t="s">
        <v>97</v>
      </c>
      <c r="B21" s="1">
        <v>45963</v>
      </c>
      <c r="C21" t="s">
        <v>70</v>
      </c>
      <c r="D21" t="s">
        <v>75</v>
      </c>
      <c r="E21" t="s">
        <v>44</v>
      </c>
      <c r="F21" t="s">
        <v>23</v>
      </c>
      <c r="G21" t="s">
        <v>38</v>
      </c>
      <c r="H21" t="s">
        <v>39</v>
      </c>
      <c r="I21" t="s">
        <v>98</v>
      </c>
      <c r="J21">
        <v>3</v>
      </c>
      <c r="K21" s="2">
        <v>2133.23</v>
      </c>
      <c r="L21">
        <v>5</v>
      </c>
      <c r="M21" s="2">
        <v>6079.71</v>
      </c>
      <c r="N21" s="2">
        <v>4281.22</v>
      </c>
      <c r="O21" s="2">
        <v>1798.49</v>
      </c>
      <c r="P21" t="s">
        <v>27</v>
      </c>
      <c r="Q21" t="s">
        <v>28</v>
      </c>
      <c r="R21" t="str">
        <f>TEXT(Table1[[#This Row],[Order Date]],"mmmm")</f>
        <v>November</v>
      </c>
      <c r="S21">
        <f>YEAR(Table1[[#This Row],[Order Date]])</f>
        <v>2025</v>
      </c>
    </row>
    <row r="22" spans="1:19" x14ac:dyDescent="0.3">
      <c r="A22" t="s">
        <v>99</v>
      </c>
      <c r="B22" s="1">
        <v>46100</v>
      </c>
      <c r="C22" t="s">
        <v>35</v>
      </c>
      <c r="D22" t="s">
        <v>59</v>
      </c>
      <c r="E22" t="s">
        <v>44</v>
      </c>
      <c r="F22" t="s">
        <v>31</v>
      </c>
      <c r="G22" t="s">
        <v>38</v>
      </c>
      <c r="H22" t="s">
        <v>39</v>
      </c>
      <c r="I22" t="s">
        <v>100</v>
      </c>
      <c r="J22">
        <v>13</v>
      </c>
      <c r="K22" s="2">
        <v>3603.63</v>
      </c>
      <c r="L22">
        <v>5</v>
      </c>
      <c r="M22" s="2">
        <v>44504.83</v>
      </c>
      <c r="N22" s="2">
        <v>29393.279999999999</v>
      </c>
      <c r="O22" s="2">
        <v>15111.55</v>
      </c>
      <c r="P22" t="s">
        <v>41</v>
      </c>
      <c r="Q22" t="s">
        <v>42</v>
      </c>
      <c r="R22" t="str">
        <f>TEXT(Table1[[#This Row],[Order Date]],"mmmm")</f>
        <v>March</v>
      </c>
      <c r="S22">
        <f>YEAR(Table1[[#This Row],[Order Date]])</f>
        <v>2026</v>
      </c>
    </row>
    <row r="23" spans="1:19" x14ac:dyDescent="0.3">
      <c r="A23" t="s">
        <v>101</v>
      </c>
      <c r="B23" s="1">
        <v>45989</v>
      </c>
      <c r="C23" t="s">
        <v>20</v>
      </c>
      <c r="D23" t="s">
        <v>21</v>
      </c>
      <c r="E23" t="s">
        <v>51</v>
      </c>
      <c r="F23" t="s">
        <v>31</v>
      </c>
      <c r="G23" t="s">
        <v>38</v>
      </c>
      <c r="H23" t="s">
        <v>39</v>
      </c>
      <c r="I23" t="s">
        <v>102</v>
      </c>
      <c r="J23">
        <v>15</v>
      </c>
      <c r="K23" s="2">
        <v>294.19</v>
      </c>
      <c r="L23">
        <v>0</v>
      </c>
      <c r="M23" s="2">
        <v>4412.8500000000004</v>
      </c>
      <c r="N23" s="2">
        <v>2928.16</v>
      </c>
      <c r="O23" s="2">
        <v>1484.69</v>
      </c>
      <c r="P23" t="s">
        <v>48</v>
      </c>
      <c r="Q23" t="s">
        <v>61</v>
      </c>
      <c r="R23" t="str">
        <f>TEXT(Table1[[#This Row],[Order Date]],"mmmm")</f>
        <v>November</v>
      </c>
      <c r="S23">
        <f>YEAR(Table1[[#This Row],[Order Date]])</f>
        <v>2025</v>
      </c>
    </row>
    <row r="24" spans="1:19" x14ac:dyDescent="0.3">
      <c r="A24" t="s">
        <v>103</v>
      </c>
      <c r="B24" s="1">
        <v>45809</v>
      </c>
      <c r="C24" t="s">
        <v>20</v>
      </c>
      <c r="D24" t="s">
        <v>21</v>
      </c>
      <c r="E24" t="s">
        <v>51</v>
      </c>
      <c r="F24" t="s">
        <v>31</v>
      </c>
      <c r="G24" t="s">
        <v>38</v>
      </c>
      <c r="H24" t="s">
        <v>39</v>
      </c>
      <c r="I24" t="s">
        <v>104</v>
      </c>
      <c r="J24">
        <v>5</v>
      </c>
      <c r="K24" s="2">
        <v>1058.76</v>
      </c>
      <c r="L24">
        <v>20</v>
      </c>
      <c r="M24" s="2">
        <v>4235.04</v>
      </c>
      <c r="N24" s="2">
        <v>3460.86</v>
      </c>
      <c r="O24" s="2">
        <v>774.18</v>
      </c>
      <c r="P24" t="s">
        <v>41</v>
      </c>
      <c r="Q24" t="s">
        <v>28</v>
      </c>
      <c r="R24" t="str">
        <f>TEXT(Table1[[#This Row],[Order Date]],"mmmm")</f>
        <v>June</v>
      </c>
      <c r="S24">
        <f>YEAR(Table1[[#This Row],[Order Date]])</f>
        <v>2025</v>
      </c>
    </row>
    <row r="25" spans="1:19" x14ac:dyDescent="0.3">
      <c r="A25" t="s">
        <v>105</v>
      </c>
      <c r="B25" s="1">
        <v>46033</v>
      </c>
      <c r="C25" t="s">
        <v>86</v>
      </c>
      <c r="D25" t="s">
        <v>90</v>
      </c>
      <c r="E25" t="s">
        <v>44</v>
      </c>
      <c r="F25" t="s">
        <v>37</v>
      </c>
      <c r="G25" t="s">
        <v>38</v>
      </c>
      <c r="H25" t="s">
        <v>106</v>
      </c>
      <c r="I25" t="s">
        <v>107</v>
      </c>
      <c r="J25">
        <v>2</v>
      </c>
      <c r="K25" s="2">
        <v>2154.37</v>
      </c>
      <c r="L25">
        <v>10</v>
      </c>
      <c r="M25" s="2">
        <v>3877.87</v>
      </c>
      <c r="N25" s="2">
        <v>2139.33</v>
      </c>
      <c r="O25" s="2">
        <v>1738.54</v>
      </c>
      <c r="P25" t="s">
        <v>27</v>
      </c>
      <c r="Q25" t="s">
        <v>61</v>
      </c>
      <c r="R25" t="str">
        <f>TEXT(Table1[[#This Row],[Order Date]],"mmmm")</f>
        <v>January</v>
      </c>
      <c r="S25">
        <f>YEAR(Table1[[#This Row],[Order Date]])</f>
        <v>2026</v>
      </c>
    </row>
    <row r="26" spans="1:19" x14ac:dyDescent="0.3">
      <c r="A26" t="s">
        <v>108</v>
      </c>
      <c r="B26" s="1">
        <v>45918</v>
      </c>
      <c r="C26" t="s">
        <v>35</v>
      </c>
      <c r="D26" t="s">
        <v>59</v>
      </c>
      <c r="E26" t="s">
        <v>30</v>
      </c>
      <c r="F26" t="s">
        <v>31</v>
      </c>
      <c r="G26" t="s">
        <v>38</v>
      </c>
      <c r="H26" t="s">
        <v>39</v>
      </c>
      <c r="I26" t="s">
        <v>109</v>
      </c>
      <c r="J26">
        <v>6</v>
      </c>
      <c r="K26" s="2">
        <v>3494.42</v>
      </c>
      <c r="L26">
        <v>15</v>
      </c>
      <c r="M26" s="2">
        <v>17821.54</v>
      </c>
      <c r="N26" s="2">
        <v>10897.4</v>
      </c>
      <c r="O26" s="2">
        <v>6924.14</v>
      </c>
      <c r="P26" t="s">
        <v>48</v>
      </c>
      <c r="Q26" t="s">
        <v>42</v>
      </c>
      <c r="R26" t="str">
        <f>TEXT(Table1[[#This Row],[Order Date]],"mmmm")</f>
        <v>September</v>
      </c>
      <c r="S26">
        <f>YEAR(Table1[[#This Row],[Order Date]])</f>
        <v>2025</v>
      </c>
    </row>
    <row r="27" spans="1:19" x14ac:dyDescent="0.3">
      <c r="A27" t="s">
        <v>110</v>
      </c>
      <c r="B27" s="1">
        <v>46099</v>
      </c>
      <c r="C27" t="s">
        <v>35</v>
      </c>
      <c r="D27" t="s">
        <v>59</v>
      </c>
      <c r="E27" t="s">
        <v>66</v>
      </c>
      <c r="F27" t="s">
        <v>23</v>
      </c>
      <c r="G27" t="s">
        <v>38</v>
      </c>
      <c r="H27" t="s">
        <v>63</v>
      </c>
      <c r="I27" t="s">
        <v>111</v>
      </c>
      <c r="J27">
        <v>3</v>
      </c>
      <c r="K27" s="2">
        <v>3241.88</v>
      </c>
      <c r="L27">
        <v>20</v>
      </c>
      <c r="M27" s="2">
        <v>7780.51</v>
      </c>
      <c r="N27" s="2">
        <v>5044.66</v>
      </c>
      <c r="O27" s="2">
        <v>2735.85</v>
      </c>
      <c r="P27" t="s">
        <v>27</v>
      </c>
      <c r="Q27" t="s">
        <v>61</v>
      </c>
      <c r="R27" t="str">
        <f>TEXT(Table1[[#This Row],[Order Date]],"mmmm")</f>
        <v>March</v>
      </c>
      <c r="S27">
        <f>YEAR(Table1[[#This Row],[Order Date]])</f>
        <v>2026</v>
      </c>
    </row>
    <row r="28" spans="1:19" x14ac:dyDescent="0.3">
      <c r="A28" t="s">
        <v>112</v>
      </c>
      <c r="B28" s="1">
        <v>46001</v>
      </c>
      <c r="C28" t="s">
        <v>70</v>
      </c>
      <c r="D28" t="s">
        <v>71</v>
      </c>
      <c r="E28" t="s">
        <v>113</v>
      </c>
      <c r="F28" t="s">
        <v>31</v>
      </c>
      <c r="G28" t="s">
        <v>24</v>
      </c>
      <c r="H28" t="s">
        <v>25</v>
      </c>
      <c r="I28" t="s">
        <v>114</v>
      </c>
      <c r="J28">
        <v>11</v>
      </c>
      <c r="K28" s="2">
        <v>750.74</v>
      </c>
      <c r="L28">
        <v>15</v>
      </c>
      <c r="M28" s="2">
        <v>7019.42</v>
      </c>
      <c r="N28" s="2">
        <v>3906.97</v>
      </c>
      <c r="O28" s="2">
        <v>3112.45</v>
      </c>
      <c r="P28" t="s">
        <v>48</v>
      </c>
      <c r="Q28" t="s">
        <v>61</v>
      </c>
      <c r="R28" t="str">
        <f>TEXT(Table1[[#This Row],[Order Date]],"mmmm")</f>
        <v>December</v>
      </c>
      <c r="S28">
        <f>YEAR(Table1[[#This Row],[Order Date]])</f>
        <v>2025</v>
      </c>
    </row>
    <row r="29" spans="1:19" x14ac:dyDescent="0.3">
      <c r="A29" t="s">
        <v>115</v>
      </c>
      <c r="B29" s="1">
        <v>45929</v>
      </c>
      <c r="C29" t="s">
        <v>86</v>
      </c>
      <c r="D29" t="s">
        <v>90</v>
      </c>
      <c r="E29" t="s">
        <v>113</v>
      </c>
      <c r="F29" t="s">
        <v>31</v>
      </c>
      <c r="G29" t="s">
        <v>24</v>
      </c>
      <c r="H29" t="s">
        <v>56</v>
      </c>
      <c r="I29" t="s">
        <v>116</v>
      </c>
      <c r="J29">
        <v>2</v>
      </c>
      <c r="K29" s="2">
        <v>1839.5</v>
      </c>
      <c r="L29">
        <v>10</v>
      </c>
      <c r="M29" s="2">
        <v>3311.1</v>
      </c>
      <c r="N29" s="2">
        <v>1980.83</v>
      </c>
      <c r="O29" s="2">
        <v>1330.27</v>
      </c>
      <c r="P29" t="s">
        <v>48</v>
      </c>
      <c r="Q29" t="s">
        <v>49</v>
      </c>
      <c r="R29" t="str">
        <f>TEXT(Table1[[#This Row],[Order Date]],"mmmm")</f>
        <v>September</v>
      </c>
      <c r="S29">
        <f>YEAR(Table1[[#This Row],[Order Date]])</f>
        <v>2025</v>
      </c>
    </row>
    <row r="30" spans="1:19" x14ac:dyDescent="0.3">
      <c r="A30" t="s">
        <v>117</v>
      </c>
      <c r="B30" s="1">
        <v>46074</v>
      </c>
      <c r="C30" t="s">
        <v>86</v>
      </c>
      <c r="D30" t="s">
        <v>87</v>
      </c>
      <c r="E30" t="s">
        <v>51</v>
      </c>
      <c r="F30" t="s">
        <v>23</v>
      </c>
      <c r="G30" t="s">
        <v>45</v>
      </c>
      <c r="H30" t="s">
        <v>52</v>
      </c>
      <c r="I30" t="s">
        <v>118</v>
      </c>
      <c r="J30">
        <v>6</v>
      </c>
      <c r="K30" s="2">
        <v>4855.41</v>
      </c>
      <c r="L30">
        <v>15</v>
      </c>
      <c r="M30" s="2">
        <v>24762.59</v>
      </c>
      <c r="N30" s="2">
        <v>19962.95</v>
      </c>
      <c r="O30" s="2">
        <v>4799.6400000000003</v>
      </c>
      <c r="P30" t="s">
        <v>41</v>
      </c>
      <c r="Q30" t="s">
        <v>42</v>
      </c>
      <c r="R30" t="str">
        <f>TEXT(Table1[[#This Row],[Order Date]],"mmmm")</f>
        <v>February</v>
      </c>
      <c r="S30">
        <f>YEAR(Table1[[#This Row],[Order Date]])</f>
        <v>2026</v>
      </c>
    </row>
    <row r="31" spans="1:19" x14ac:dyDescent="0.3">
      <c r="A31" t="s">
        <v>119</v>
      </c>
      <c r="B31" s="1">
        <v>46119</v>
      </c>
      <c r="C31" t="s">
        <v>20</v>
      </c>
      <c r="D31" t="s">
        <v>55</v>
      </c>
      <c r="E31" t="s">
        <v>120</v>
      </c>
      <c r="F31" t="s">
        <v>23</v>
      </c>
      <c r="G31" t="s">
        <v>24</v>
      </c>
      <c r="H31" t="s">
        <v>32</v>
      </c>
      <c r="I31" t="s">
        <v>121</v>
      </c>
      <c r="J31">
        <v>2</v>
      </c>
      <c r="K31" s="2">
        <v>573.58000000000004</v>
      </c>
      <c r="L31">
        <v>5</v>
      </c>
      <c r="M31" s="2">
        <v>1089.8</v>
      </c>
      <c r="N31" s="2">
        <v>866.22</v>
      </c>
      <c r="O31" s="2">
        <v>223.58</v>
      </c>
      <c r="P31" t="s">
        <v>48</v>
      </c>
      <c r="Q31" t="s">
        <v>49</v>
      </c>
      <c r="R31" t="str">
        <f>TEXT(Table1[[#This Row],[Order Date]],"mmmm")</f>
        <v>April</v>
      </c>
      <c r="S31">
        <f>YEAR(Table1[[#This Row],[Order Date]])</f>
        <v>2026</v>
      </c>
    </row>
    <row r="32" spans="1:19" x14ac:dyDescent="0.3">
      <c r="A32" t="s">
        <v>122</v>
      </c>
      <c r="B32" s="1">
        <v>46018</v>
      </c>
      <c r="C32" t="s">
        <v>70</v>
      </c>
      <c r="D32" t="s">
        <v>75</v>
      </c>
      <c r="E32" t="s">
        <v>120</v>
      </c>
      <c r="F32" t="s">
        <v>23</v>
      </c>
      <c r="G32" t="s">
        <v>45</v>
      </c>
      <c r="H32" t="s">
        <v>123</v>
      </c>
      <c r="I32" t="s">
        <v>124</v>
      </c>
      <c r="J32">
        <v>5</v>
      </c>
      <c r="K32" s="2">
        <v>3530.9</v>
      </c>
      <c r="L32">
        <v>0</v>
      </c>
      <c r="M32" s="2">
        <v>17654.5</v>
      </c>
      <c r="N32" s="2">
        <v>12053.48</v>
      </c>
      <c r="O32" s="2">
        <v>5601.02</v>
      </c>
      <c r="P32" t="s">
        <v>27</v>
      </c>
      <c r="Q32" t="s">
        <v>49</v>
      </c>
      <c r="R32" t="str">
        <f>TEXT(Table1[[#This Row],[Order Date]],"mmmm")</f>
        <v>December</v>
      </c>
      <c r="S32">
        <f>YEAR(Table1[[#This Row],[Order Date]])</f>
        <v>2025</v>
      </c>
    </row>
    <row r="33" spans="1:19" x14ac:dyDescent="0.3">
      <c r="A33" t="s">
        <v>125</v>
      </c>
      <c r="B33" s="1">
        <v>46118</v>
      </c>
      <c r="C33" t="s">
        <v>35</v>
      </c>
      <c r="D33" t="s">
        <v>36</v>
      </c>
      <c r="E33" t="s">
        <v>30</v>
      </c>
      <c r="F33" t="s">
        <v>31</v>
      </c>
      <c r="G33" t="s">
        <v>38</v>
      </c>
      <c r="H33" t="s">
        <v>72</v>
      </c>
      <c r="I33" t="s">
        <v>126</v>
      </c>
      <c r="J33">
        <v>10</v>
      </c>
      <c r="K33" s="2">
        <v>4822.96</v>
      </c>
      <c r="L33">
        <v>0</v>
      </c>
      <c r="M33" s="2">
        <v>48229.599999999999</v>
      </c>
      <c r="N33" s="2">
        <v>37692.239999999998</v>
      </c>
      <c r="O33" s="2">
        <v>10537.36</v>
      </c>
      <c r="P33" t="s">
        <v>48</v>
      </c>
      <c r="Q33" t="s">
        <v>61</v>
      </c>
      <c r="R33" t="str">
        <f>TEXT(Table1[[#This Row],[Order Date]],"mmmm")</f>
        <v>April</v>
      </c>
      <c r="S33">
        <f>YEAR(Table1[[#This Row],[Order Date]])</f>
        <v>2026</v>
      </c>
    </row>
    <row r="34" spans="1:19" x14ac:dyDescent="0.3">
      <c r="A34" t="s">
        <v>127</v>
      </c>
      <c r="B34" s="1">
        <v>46134</v>
      </c>
      <c r="C34" t="s">
        <v>86</v>
      </c>
      <c r="D34" t="s">
        <v>90</v>
      </c>
      <c r="E34" t="s">
        <v>66</v>
      </c>
      <c r="F34" t="s">
        <v>23</v>
      </c>
      <c r="G34" t="s">
        <v>38</v>
      </c>
      <c r="H34" t="s">
        <v>63</v>
      </c>
      <c r="I34" t="s">
        <v>128</v>
      </c>
      <c r="J34">
        <v>6</v>
      </c>
      <c r="K34" s="2">
        <v>4265.34</v>
      </c>
      <c r="L34">
        <v>20</v>
      </c>
      <c r="M34" s="2">
        <v>20473.63</v>
      </c>
      <c r="N34" s="2">
        <v>14900.42</v>
      </c>
      <c r="O34" s="2">
        <v>5573.21</v>
      </c>
      <c r="P34" t="s">
        <v>27</v>
      </c>
      <c r="Q34" t="s">
        <v>28</v>
      </c>
      <c r="R34" t="str">
        <f>TEXT(Table1[[#This Row],[Order Date]],"mmmm")</f>
        <v>April</v>
      </c>
      <c r="S34">
        <f>YEAR(Table1[[#This Row],[Order Date]])</f>
        <v>2026</v>
      </c>
    </row>
    <row r="35" spans="1:19" x14ac:dyDescent="0.3">
      <c r="A35" t="s">
        <v>129</v>
      </c>
      <c r="B35" s="1">
        <v>45839</v>
      </c>
      <c r="C35" t="s">
        <v>70</v>
      </c>
      <c r="D35" t="s">
        <v>71</v>
      </c>
      <c r="E35" t="s">
        <v>22</v>
      </c>
      <c r="F35" t="s">
        <v>23</v>
      </c>
      <c r="G35" t="s">
        <v>38</v>
      </c>
      <c r="H35" t="s">
        <v>106</v>
      </c>
      <c r="I35" t="s">
        <v>130</v>
      </c>
      <c r="J35">
        <v>13</v>
      </c>
      <c r="K35" s="2">
        <v>1479.42</v>
      </c>
      <c r="L35">
        <v>20</v>
      </c>
      <c r="M35" s="2">
        <v>15385.97</v>
      </c>
      <c r="N35" s="2">
        <v>9859.4</v>
      </c>
      <c r="O35" s="2">
        <v>5526.57</v>
      </c>
      <c r="P35" t="s">
        <v>27</v>
      </c>
      <c r="Q35" t="s">
        <v>42</v>
      </c>
      <c r="R35" t="str">
        <f>TEXT(Table1[[#This Row],[Order Date]],"mmmm")</f>
        <v>July</v>
      </c>
      <c r="S35">
        <f>YEAR(Table1[[#This Row],[Order Date]])</f>
        <v>2025</v>
      </c>
    </row>
    <row r="36" spans="1:19" x14ac:dyDescent="0.3">
      <c r="A36" t="s">
        <v>131</v>
      </c>
      <c r="B36" s="1">
        <v>45732</v>
      </c>
      <c r="C36" t="s">
        <v>20</v>
      </c>
      <c r="D36" t="s">
        <v>55</v>
      </c>
      <c r="E36" t="s">
        <v>113</v>
      </c>
      <c r="F36" t="s">
        <v>31</v>
      </c>
      <c r="G36" t="s">
        <v>38</v>
      </c>
      <c r="H36" t="s">
        <v>72</v>
      </c>
      <c r="I36" t="s">
        <v>132</v>
      </c>
      <c r="J36">
        <v>3</v>
      </c>
      <c r="K36" s="2">
        <v>1294.1400000000001</v>
      </c>
      <c r="L36">
        <v>5</v>
      </c>
      <c r="M36" s="2">
        <v>3688.3</v>
      </c>
      <c r="N36" s="2">
        <v>2894.35</v>
      </c>
      <c r="O36" s="2">
        <v>793.95</v>
      </c>
      <c r="P36" t="s">
        <v>48</v>
      </c>
      <c r="Q36" t="s">
        <v>28</v>
      </c>
      <c r="R36" t="str">
        <f>TEXT(Table1[[#This Row],[Order Date]],"mmmm")</f>
        <v>March</v>
      </c>
      <c r="S36">
        <f>YEAR(Table1[[#This Row],[Order Date]])</f>
        <v>2025</v>
      </c>
    </row>
    <row r="37" spans="1:19" x14ac:dyDescent="0.3">
      <c r="A37" t="s">
        <v>133</v>
      </c>
      <c r="B37" s="1">
        <v>46072</v>
      </c>
      <c r="C37" t="s">
        <v>70</v>
      </c>
      <c r="D37" t="s">
        <v>71</v>
      </c>
      <c r="E37" t="s">
        <v>113</v>
      </c>
      <c r="F37" t="s">
        <v>37</v>
      </c>
      <c r="G37" t="s">
        <v>24</v>
      </c>
      <c r="H37" t="s">
        <v>134</v>
      </c>
      <c r="I37" t="s">
        <v>135</v>
      </c>
      <c r="J37">
        <v>9</v>
      </c>
      <c r="K37" s="2">
        <v>3596.77</v>
      </c>
      <c r="L37">
        <v>10</v>
      </c>
      <c r="M37" s="2">
        <v>29133.84</v>
      </c>
      <c r="N37" s="2">
        <v>22524.34</v>
      </c>
      <c r="O37" s="2">
        <v>6609.5</v>
      </c>
      <c r="P37" t="s">
        <v>41</v>
      </c>
      <c r="Q37" t="s">
        <v>49</v>
      </c>
      <c r="R37" t="str">
        <f>TEXT(Table1[[#This Row],[Order Date]],"mmmm")</f>
        <v>February</v>
      </c>
      <c r="S37">
        <f>YEAR(Table1[[#This Row],[Order Date]])</f>
        <v>2026</v>
      </c>
    </row>
    <row r="38" spans="1:19" x14ac:dyDescent="0.3">
      <c r="A38" t="s">
        <v>136</v>
      </c>
      <c r="B38" s="1">
        <v>45783</v>
      </c>
      <c r="C38" t="s">
        <v>86</v>
      </c>
      <c r="D38" t="s">
        <v>90</v>
      </c>
      <c r="E38" t="s">
        <v>22</v>
      </c>
      <c r="F38" t="s">
        <v>23</v>
      </c>
      <c r="G38" t="s">
        <v>45</v>
      </c>
      <c r="H38" t="s">
        <v>52</v>
      </c>
      <c r="I38" t="s">
        <v>137</v>
      </c>
      <c r="J38">
        <v>1</v>
      </c>
      <c r="K38" s="2">
        <v>2484.9299999999998</v>
      </c>
      <c r="L38">
        <v>20</v>
      </c>
      <c r="M38" s="2">
        <v>1987.94</v>
      </c>
      <c r="N38" s="2">
        <v>1400.09</v>
      </c>
      <c r="O38" s="2">
        <v>587.85</v>
      </c>
      <c r="P38" t="s">
        <v>41</v>
      </c>
      <c r="Q38" t="s">
        <v>42</v>
      </c>
      <c r="R38" t="str">
        <f>TEXT(Table1[[#This Row],[Order Date]],"mmmm")</f>
        <v>May</v>
      </c>
      <c r="S38">
        <f>YEAR(Table1[[#This Row],[Order Date]])</f>
        <v>2025</v>
      </c>
    </row>
    <row r="39" spans="1:19" x14ac:dyDescent="0.3">
      <c r="A39" t="s">
        <v>138</v>
      </c>
      <c r="B39" s="1">
        <v>45978</v>
      </c>
      <c r="C39" t="s">
        <v>35</v>
      </c>
      <c r="D39" t="s">
        <v>59</v>
      </c>
      <c r="E39" t="s">
        <v>113</v>
      </c>
      <c r="F39" t="s">
        <v>31</v>
      </c>
      <c r="G39" t="s">
        <v>38</v>
      </c>
      <c r="H39" t="s">
        <v>91</v>
      </c>
      <c r="I39" t="s">
        <v>139</v>
      </c>
      <c r="J39">
        <v>7</v>
      </c>
      <c r="K39" s="2">
        <v>997.65</v>
      </c>
      <c r="L39">
        <v>5</v>
      </c>
      <c r="M39" s="2">
        <v>6634.37</v>
      </c>
      <c r="N39" s="2">
        <v>5416.7</v>
      </c>
      <c r="O39" s="2">
        <v>1217.67</v>
      </c>
      <c r="P39" t="s">
        <v>41</v>
      </c>
      <c r="Q39" t="s">
        <v>28</v>
      </c>
      <c r="R39" t="str">
        <f>TEXT(Table1[[#This Row],[Order Date]],"mmmm")</f>
        <v>November</v>
      </c>
      <c r="S39">
        <f>YEAR(Table1[[#This Row],[Order Date]])</f>
        <v>2025</v>
      </c>
    </row>
    <row r="40" spans="1:19" x14ac:dyDescent="0.3">
      <c r="A40" t="s">
        <v>140</v>
      </c>
      <c r="B40" s="1">
        <v>45969</v>
      </c>
      <c r="C40" t="s">
        <v>35</v>
      </c>
      <c r="D40" t="s">
        <v>36</v>
      </c>
      <c r="E40" t="s">
        <v>51</v>
      </c>
      <c r="F40" t="s">
        <v>31</v>
      </c>
      <c r="G40" t="s">
        <v>45</v>
      </c>
      <c r="H40" t="s">
        <v>52</v>
      </c>
      <c r="I40" t="s">
        <v>141</v>
      </c>
      <c r="J40">
        <v>11</v>
      </c>
      <c r="K40" s="2">
        <v>3729.56</v>
      </c>
      <c r="L40">
        <v>0</v>
      </c>
      <c r="M40" s="2">
        <v>41025.160000000003</v>
      </c>
      <c r="N40" s="2">
        <v>25446.240000000002</v>
      </c>
      <c r="O40" s="2">
        <v>15578.92</v>
      </c>
      <c r="P40" t="s">
        <v>27</v>
      </c>
      <c r="Q40" t="s">
        <v>61</v>
      </c>
      <c r="R40" t="str">
        <f>TEXT(Table1[[#This Row],[Order Date]],"mmmm")</f>
        <v>November</v>
      </c>
      <c r="S40">
        <f>YEAR(Table1[[#This Row],[Order Date]])</f>
        <v>2025</v>
      </c>
    </row>
    <row r="41" spans="1:19" x14ac:dyDescent="0.3">
      <c r="A41" t="s">
        <v>142</v>
      </c>
      <c r="B41" s="1">
        <v>45917</v>
      </c>
      <c r="C41" t="s">
        <v>35</v>
      </c>
      <c r="D41" t="s">
        <v>59</v>
      </c>
      <c r="E41" t="s">
        <v>120</v>
      </c>
      <c r="F41" t="s">
        <v>37</v>
      </c>
      <c r="G41" t="s">
        <v>24</v>
      </c>
      <c r="H41" t="s">
        <v>25</v>
      </c>
      <c r="I41" t="s">
        <v>143</v>
      </c>
      <c r="J41">
        <v>10</v>
      </c>
      <c r="K41" s="2">
        <v>4521.9799999999996</v>
      </c>
      <c r="L41">
        <v>0</v>
      </c>
      <c r="M41" s="2">
        <v>45219.8</v>
      </c>
      <c r="N41" s="2">
        <v>36071.019999999997</v>
      </c>
      <c r="O41" s="2">
        <v>9148.7800000000007</v>
      </c>
      <c r="P41" t="s">
        <v>41</v>
      </c>
      <c r="Q41" t="s">
        <v>61</v>
      </c>
      <c r="R41" t="str">
        <f>TEXT(Table1[[#This Row],[Order Date]],"mmmm")</f>
        <v>September</v>
      </c>
      <c r="S41">
        <f>YEAR(Table1[[#This Row],[Order Date]])</f>
        <v>2025</v>
      </c>
    </row>
    <row r="42" spans="1:19" x14ac:dyDescent="0.3">
      <c r="A42" t="s">
        <v>144</v>
      </c>
      <c r="B42" s="1">
        <v>45877</v>
      </c>
      <c r="C42" t="s">
        <v>86</v>
      </c>
      <c r="D42" t="s">
        <v>87</v>
      </c>
      <c r="E42" t="s">
        <v>30</v>
      </c>
      <c r="F42" t="s">
        <v>37</v>
      </c>
      <c r="G42" t="s">
        <v>24</v>
      </c>
      <c r="H42" t="s">
        <v>56</v>
      </c>
      <c r="I42" t="s">
        <v>145</v>
      </c>
      <c r="J42">
        <v>2</v>
      </c>
      <c r="K42" s="2">
        <v>3663.06</v>
      </c>
      <c r="L42">
        <v>0</v>
      </c>
      <c r="M42" s="2">
        <v>7326.12</v>
      </c>
      <c r="N42" s="2">
        <v>5679.99</v>
      </c>
      <c r="O42" s="2">
        <v>1646.13</v>
      </c>
      <c r="P42" t="s">
        <v>41</v>
      </c>
      <c r="Q42" t="s">
        <v>28</v>
      </c>
      <c r="R42" t="str">
        <f>TEXT(Table1[[#This Row],[Order Date]],"mmmm")</f>
        <v>August</v>
      </c>
      <c r="S42">
        <f>YEAR(Table1[[#This Row],[Order Date]])</f>
        <v>2025</v>
      </c>
    </row>
    <row r="43" spans="1:19" x14ac:dyDescent="0.3">
      <c r="A43" t="s">
        <v>146</v>
      </c>
      <c r="B43" s="1">
        <v>45675</v>
      </c>
      <c r="C43" t="s">
        <v>35</v>
      </c>
      <c r="D43" t="s">
        <v>59</v>
      </c>
      <c r="E43" t="s">
        <v>51</v>
      </c>
      <c r="F43" t="s">
        <v>31</v>
      </c>
      <c r="G43" t="s">
        <v>38</v>
      </c>
      <c r="H43" t="s">
        <v>39</v>
      </c>
      <c r="I43" t="s">
        <v>147</v>
      </c>
      <c r="J43">
        <v>15</v>
      </c>
      <c r="K43" s="2">
        <v>1647.05</v>
      </c>
      <c r="L43">
        <v>15</v>
      </c>
      <c r="M43" s="2">
        <v>20999.89</v>
      </c>
      <c r="N43" s="2">
        <v>15718.56</v>
      </c>
      <c r="O43" s="2">
        <v>5281.33</v>
      </c>
      <c r="P43" t="s">
        <v>41</v>
      </c>
      <c r="Q43" t="s">
        <v>49</v>
      </c>
      <c r="R43" t="str">
        <f>TEXT(Table1[[#This Row],[Order Date]],"mmmm")</f>
        <v>January</v>
      </c>
      <c r="S43">
        <f>YEAR(Table1[[#This Row],[Order Date]])</f>
        <v>2025</v>
      </c>
    </row>
    <row r="44" spans="1:19" x14ac:dyDescent="0.3">
      <c r="A44" t="s">
        <v>148</v>
      </c>
      <c r="B44" s="1">
        <v>45892</v>
      </c>
      <c r="C44" t="s">
        <v>70</v>
      </c>
      <c r="D44" t="s">
        <v>75</v>
      </c>
      <c r="E44" t="s">
        <v>66</v>
      </c>
      <c r="F44" t="s">
        <v>37</v>
      </c>
      <c r="G44" t="s">
        <v>45</v>
      </c>
      <c r="H44" t="s">
        <v>123</v>
      </c>
      <c r="I44" t="s">
        <v>149</v>
      </c>
      <c r="J44">
        <v>8</v>
      </c>
      <c r="K44" s="2">
        <v>4675.12</v>
      </c>
      <c r="L44">
        <v>5</v>
      </c>
      <c r="M44" s="2">
        <v>35530.910000000003</v>
      </c>
      <c r="N44" s="2">
        <v>21084.47</v>
      </c>
      <c r="O44" s="2">
        <v>14446.44</v>
      </c>
      <c r="P44" t="s">
        <v>41</v>
      </c>
      <c r="Q44" t="s">
        <v>61</v>
      </c>
      <c r="R44" t="str">
        <f>TEXT(Table1[[#This Row],[Order Date]],"mmmm")</f>
        <v>August</v>
      </c>
      <c r="S44">
        <f>YEAR(Table1[[#This Row],[Order Date]])</f>
        <v>2025</v>
      </c>
    </row>
    <row r="45" spans="1:19" x14ac:dyDescent="0.3">
      <c r="A45" t="s">
        <v>150</v>
      </c>
      <c r="B45" s="1">
        <v>46003</v>
      </c>
      <c r="C45" t="s">
        <v>70</v>
      </c>
      <c r="D45" t="s">
        <v>75</v>
      </c>
      <c r="E45" t="s">
        <v>22</v>
      </c>
      <c r="F45" t="s">
        <v>23</v>
      </c>
      <c r="G45" t="s">
        <v>45</v>
      </c>
      <c r="H45" t="s">
        <v>123</v>
      </c>
      <c r="I45" t="s">
        <v>151</v>
      </c>
      <c r="J45">
        <v>2</v>
      </c>
      <c r="K45" s="2">
        <v>2283.62</v>
      </c>
      <c r="L45">
        <v>15</v>
      </c>
      <c r="M45" s="2">
        <v>3882.15</v>
      </c>
      <c r="N45" s="2">
        <v>2432.06</v>
      </c>
      <c r="O45" s="2">
        <v>1450.09</v>
      </c>
      <c r="P45" t="s">
        <v>41</v>
      </c>
      <c r="Q45" t="s">
        <v>28</v>
      </c>
      <c r="R45" t="str">
        <f>TEXT(Table1[[#This Row],[Order Date]],"mmmm")</f>
        <v>December</v>
      </c>
      <c r="S45">
        <f>YEAR(Table1[[#This Row],[Order Date]])</f>
        <v>2025</v>
      </c>
    </row>
    <row r="46" spans="1:19" x14ac:dyDescent="0.3">
      <c r="A46" t="s">
        <v>152</v>
      </c>
      <c r="B46" s="1">
        <v>45924</v>
      </c>
      <c r="C46" t="s">
        <v>70</v>
      </c>
      <c r="D46" t="s">
        <v>71</v>
      </c>
      <c r="E46" t="s">
        <v>22</v>
      </c>
      <c r="F46" t="s">
        <v>31</v>
      </c>
      <c r="G46" t="s">
        <v>45</v>
      </c>
      <c r="H46" t="s">
        <v>52</v>
      </c>
      <c r="I46" t="s">
        <v>153</v>
      </c>
      <c r="J46">
        <v>1</v>
      </c>
      <c r="K46" s="2">
        <v>1899.34</v>
      </c>
      <c r="L46">
        <v>10</v>
      </c>
      <c r="M46" s="2">
        <v>1709.41</v>
      </c>
      <c r="N46" s="2">
        <v>1260.9000000000001</v>
      </c>
      <c r="O46" s="2">
        <v>448.51</v>
      </c>
      <c r="P46" t="s">
        <v>41</v>
      </c>
      <c r="Q46" t="s">
        <v>28</v>
      </c>
      <c r="R46" t="str">
        <f>TEXT(Table1[[#This Row],[Order Date]],"mmmm")</f>
        <v>September</v>
      </c>
      <c r="S46">
        <f>YEAR(Table1[[#This Row],[Order Date]])</f>
        <v>2025</v>
      </c>
    </row>
    <row r="47" spans="1:19" x14ac:dyDescent="0.3">
      <c r="A47" t="s">
        <v>154</v>
      </c>
      <c r="B47" s="1">
        <v>45680</v>
      </c>
      <c r="C47" t="s">
        <v>20</v>
      </c>
      <c r="D47" t="s">
        <v>21</v>
      </c>
      <c r="E47" t="s">
        <v>30</v>
      </c>
      <c r="F47" t="s">
        <v>23</v>
      </c>
      <c r="G47" t="s">
        <v>38</v>
      </c>
      <c r="H47" t="s">
        <v>63</v>
      </c>
      <c r="I47" t="s">
        <v>155</v>
      </c>
      <c r="J47">
        <v>11</v>
      </c>
      <c r="K47" s="2">
        <v>757.09</v>
      </c>
      <c r="L47">
        <v>20</v>
      </c>
      <c r="M47" s="2">
        <v>6662.39</v>
      </c>
      <c r="N47" s="2">
        <v>5262.61</v>
      </c>
      <c r="O47" s="2">
        <v>1399.78</v>
      </c>
      <c r="P47" t="s">
        <v>41</v>
      </c>
      <c r="Q47" t="s">
        <v>49</v>
      </c>
      <c r="R47" t="str">
        <f>TEXT(Table1[[#This Row],[Order Date]],"mmmm")</f>
        <v>January</v>
      </c>
      <c r="S47">
        <f>YEAR(Table1[[#This Row],[Order Date]])</f>
        <v>2025</v>
      </c>
    </row>
    <row r="48" spans="1:19" x14ac:dyDescent="0.3">
      <c r="A48" t="s">
        <v>156</v>
      </c>
      <c r="B48" s="1">
        <v>46148</v>
      </c>
      <c r="C48" t="s">
        <v>35</v>
      </c>
      <c r="D48" t="s">
        <v>59</v>
      </c>
      <c r="E48" t="s">
        <v>113</v>
      </c>
      <c r="F48" t="s">
        <v>37</v>
      </c>
      <c r="G48" t="s">
        <v>38</v>
      </c>
      <c r="H48" t="s">
        <v>106</v>
      </c>
      <c r="I48" t="s">
        <v>157</v>
      </c>
      <c r="J48">
        <v>4</v>
      </c>
      <c r="K48" s="2">
        <v>2191.9699999999998</v>
      </c>
      <c r="L48">
        <v>20</v>
      </c>
      <c r="M48" s="2">
        <v>7014.3</v>
      </c>
      <c r="N48" s="2">
        <v>4876.67</v>
      </c>
      <c r="O48" s="2">
        <v>2137.63</v>
      </c>
      <c r="P48" t="s">
        <v>41</v>
      </c>
      <c r="Q48" t="s">
        <v>42</v>
      </c>
      <c r="R48" t="str">
        <f>TEXT(Table1[[#This Row],[Order Date]],"mmmm")</f>
        <v>May</v>
      </c>
      <c r="S48">
        <f>YEAR(Table1[[#This Row],[Order Date]])</f>
        <v>2026</v>
      </c>
    </row>
    <row r="49" spans="1:19" x14ac:dyDescent="0.3">
      <c r="A49" t="s">
        <v>158</v>
      </c>
      <c r="B49" s="1">
        <v>45893</v>
      </c>
      <c r="C49" t="s">
        <v>20</v>
      </c>
      <c r="D49" t="s">
        <v>55</v>
      </c>
      <c r="E49" t="s">
        <v>44</v>
      </c>
      <c r="F49" t="s">
        <v>37</v>
      </c>
      <c r="G49" t="s">
        <v>45</v>
      </c>
      <c r="H49" t="s">
        <v>159</v>
      </c>
      <c r="I49" t="s">
        <v>160</v>
      </c>
      <c r="J49">
        <v>7</v>
      </c>
      <c r="K49" s="2">
        <v>1879.81</v>
      </c>
      <c r="L49">
        <v>5</v>
      </c>
      <c r="M49" s="2">
        <v>12500.74</v>
      </c>
      <c r="N49" s="2">
        <v>10170.08</v>
      </c>
      <c r="O49" s="2">
        <v>2330.66</v>
      </c>
      <c r="P49" t="s">
        <v>41</v>
      </c>
      <c r="Q49" t="s">
        <v>42</v>
      </c>
      <c r="R49" t="str">
        <f>TEXT(Table1[[#This Row],[Order Date]],"mmmm")</f>
        <v>August</v>
      </c>
      <c r="S49">
        <f>YEAR(Table1[[#This Row],[Order Date]])</f>
        <v>2025</v>
      </c>
    </row>
    <row r="50" spans="1:19" x14ac:dyDescent="0.3">
      <c r="A50" t="s">
        <v>161</v>
      </c>
      <c r="B50" s="1">
        <v>45826</v>
      </c>
      <c r="C50" t="s">
        <v>20</v>
      </c>
      <c r="D50" t="s">
        <v>55</v>
      </c>
      <c r="E50" t="s">
        <v>120</v>
      </c>
      <c r="F50" t="s">
        <v>37</v>
      </c>
      <c r="G50" t="s">
        <v>38</v>
      </c>
      <c r="H50" t="s">
        <v>91</v>
      </c>
      <c r="I50" t="s">
        <v>162</v>
      </c>
      <c r="J50">
        <v>4</v>
      </c>
      <c r="K50" s="2">
        <v>3378.05</v>
      </c>
      <c r="L50">
        <v>15</v>
      </c>
      <c r="M50" s="2">
        <v>11485.37</v>
      </c>
      <c r="N50" s="2">
        <v>9016.18</v>
      </c>
      <c r="O50" s="2">
        <v>2469.19</v>
      </c>
      <c r="P50" t="s">
        <v>48</v>
      </c>
      <c r="Q50" t="s">
        <v>61</v>
      </c>
      <c r="R50" t="str">
        <f>TEXT(Table1[[#This Row],[Order Date]],"mmmm")</f>
        <v>June</v>
      </c>
      <c r="S50">
        <f>YEAR(Table1[[#This Row],[Order Date]])</f>
        <v>2025</v>
      </c>
    </row>
    <row r="51" spans="1:19" x14ac:dyDescent="0.3">
      <c r="A51" t="s">
        <v>163</v>
      </c>
      <c r="B51" s="1">
        <v>45976</v>
      </c>
      <c r="C51" t="s">
        <v>70</v>
      </c>
      <c r="D51" t="s">
        <v>71</v>
      </c>
      <c r="E51" t="s">
        <v>51</v>
      </c>
      <c r="F51" t="s">
        <v>37</v>
      </c>
      <c r="G51" t="s">
        <v>38</v>
      </c>
      <c r="H51" t="s">
        <v>72</v>
      </c>
      <c r="I51" t="s">
        <v>164</v>
      </c>
      <c r="J51">
        <v>14</v>
      </c>
      <c r="K51" s="2">
        <v>4487.57</v>
      </c>
      <c r="L51">
        <v>10</v>
      </c>
      <c r="M51" s="2">
        <v>56543.38</v>
      </c>
      <c r="N51" s="2">
        <v>42064.17</v>
      </c>
      <c r="O51" s="2">
        <v>14479.21</v>
      </c>
      <c r="P51" t="s">
        <v>41</v>
      </c>
      <c r="Q51" t="s">
        <v>49</v>
      </c>
      <c r="R51" t="str">
        <f>TEXT(Table1[[#This Row],[Order Date]],"mmmm")</f>
        <v>November</v>
      </c>
      <c r="S51">
        <f>YEAR(Table1[[#This Row],[Order Date]])</f>
        <v>2025</v>
      </c>
    </row>
    <row r="52" spans="1:19" x14ac:dyDescent="0.3">
      <c r="A52" t="s">
        <v>165</v>
      </c>
      <c r="B52" s="1">
        <v>45809</v>
      </c>
      <c r="C52" t="s">
        <v>70</v>
      </c>
      <c r="D52" t="s">
        <v>71</v>
      </c>
      <c r="E52" t="s">
        <v>44</v>
      </c>
      <c r="F52" t="s">
        <v>31</v>
      </c>
      <c r="G52" t="s">
        <v>24</v>
      </c>
      <c r="H52" t="s">
        <v>25</v>
      </c>
      <c r="I52" t="s">
        <v>166</v>
      </c>
      <c r="J52">
        <v>15</v>
      </c>
      <c r="K52" s="2">
        <v>897.07</v>
      </c>
      <c r="L52">
        <v>20</v>
      </c>
      <c r="M52" s="2">
        <v>10764.84</v>
      </c>
      <c r="N52" s="2">
        <v>6665.4</v>
      </c>
      <c r="O52" s="2">
        <v>4099.4399999999996</v>
      </c>
      <c r="P52" t="s">
        <v>41</v>
      </c>
      <c r="Q52" t="s">
        <v>61</v>
      </c>
      <c r="R52" t="str">
        <f>TEXT(Table1[[#This Row],[Order Date]],"mmmm")</f>
        <v>June</v>
      </c>
      <c r="S52">
        <f>YEAR(Table1[[#This Row],[Order Date]])</f>
        <v>2025</v>
      </c>
    </row>
    <row r="53" spans="1:19" x14ac:dyDescent="0.3">
      <c r="A53" t="s">
        <v>167</v>
      </c>
      <c r="B53" s="1">
        <v>45700</v>
      </c>
      <c r="C53" t="s">
        <v>20</v>
      </c>
      <c r="D53" t="s">
        <v>21</v>
      </c>
      <c r="E53" t="s">
        <v>120</v>
      </c>
      <c r="F53" t="s">
        <v>31</v>
      </c>
      <c r="G53" t="s">
        <v>45</v>
      </c>
      <c r="H53" t="s">
        <v>159</v>
      </c>
      <c r="I53" t="s">
        <v>168</v>
      </c>
      <c r="J53">
        <v>11</v>
      </c>
      <c r="K53" s="2">
        <v>4229.9399999999996</v>
      </c>
      <c r="L53">
        <v>10</v>
      </c>
      <c r="M53" s="2">
        <v>41876.410000000003</v>
      </c>
      <c r="N53" s="2">
        <v>24036.62</v>
      </c>
      <c r="O53" s="2">
        <v>17839.79</v>
      </c>
      <c r="P53" t="s">
        <v>41</v>
      </c>
      <c r="Q53" t="s">
        <v>61</v>
      </c>
      <c r="R53" t="str">
        <f>TEXT(Table1[[#This Row],[Order Date]],"mmmm")</f>
        <v>February</v>
      </c>
      <c r="S53">
        <f>YEAR(Table1[[#This Row],[Order Date]])</f>
        <v>2025</v>
      </c>
    </row>
    <row r="54" spans="1:19" x14ac:dyDescent="0.3">
      <c r="A54" t="s">
        <v>169</v>
      </c>
      <c r="B54" s="1">
        <v>46087</v>
      </c>
      <c r="C54" t="s">
        <v>70</v>
      </c>
      <c r="D54" t="s">
        <v>75</v>
      </c>
      <c r="E54" t="s">
        <v>170</v>
      </c>
      <c r="F54" t="s">
        <v>37</v>
      </c>
      <c r="G54" t="s">
        <v>24</v>
      </c>
      <c r="H54" t="s">
        <v>171</v>
      </c>
      <c r="I54" t="s">
        <v>172</v>
      </c>
      <c r="J54">
        <v>11</v>
      </c>
      <c r="K54" s="2">
        <v>2535.88</v>
      </c>
      <c r="L54">
        <v>20</v>
      </c>
      <c r="M54" s="2">
        <v>22315.74</v>
      </c>
      <c r="N54" s="2">
        <v>16340.19</v>
      </c>
      <c r="O54" s="2">
        <v>5975.55</v>
      </c>
      <c r="P54" t="s">
        <v>41</v>
      </c>
      <c r="Q54" t="s">
        <v>42</v>
      </c>
      <c r="R54" t="str">
        <f>TEXT(Table1[[#This Row],[Order Date]],"mmmm")</f>
        <v>March</v>
      </c>
      <c r="S54">
        <f>YEAR(Table1[[#This Row],[Order Date]])</f>
        <v>2026</v>
      </c>
    </row>
    <row r="55" spans="1:19" x14ac:dyDescent="0.3">
      <c r="A55" t="s">
        <v>173</v>
      </c>
      <c r="B55" s="1">
        <v>45750</v>
      </c>
      <c r="C55" t="s">
        <v>20</v>
      </c>
      <c r="D55" t="s">
        <v>55</v>
      </c>
      <c r="E55" t="s">
        <v>170</v>
      </c>
      <c r="F55" t="s">
        <v>37</v>
      </c>
      <c r="G55" t="s">
        <v>24</v>
      </c>
      <c r="H55" t="s">
        <v>25</v>
      </c>
      <c r="I55" t="s">
        <v>174</v>
      </c>
      <c r="J55">
        <v>3</v>
      </c>
      <c r="K55" s="2">
        <v>258.33</v>
      </c>
      <c r="L55">
        <v>5</v>
      </c>
      <c r="M55" s="2">
        <v>736.24</v>
      </c>
      <c r="N55" s="2">
        <v>416.65</v>
      </c>
      <c r="O55" s="2">
        <v>319.58999999999997</v>
      </c>
      <c r="P55" t="s">
        <v>48</v>
      </c>
      <c r="Q55" t="s">
        <v>61</v>
      </c>
      <c r="R55" t="str">
        <f>TEXT(Table1[[#This Row],[Order Date]],"mmmm")</f>
        <v>April</v>
      </c>
      <c r="S55">
        <f>YEAR(Table1[[#This Row],[Order Date]])</f>
        <v>2025</v>
      </c>
    </row>
    <row r="56" spans="1:19" x14ac:dyDescent="0.3">
      <c r="A56" t="s">
        <v>175</v>
      </c>
      <c r="B56" s="1">
        <v>45979</v>
      </c>
      <c r="C56" t="s">
        <v>35</v>
      </c>
      <c r="D56" t="s">
        <v>36</v>
      </c>
      <c r="E56" t="s">
        <v>120</v>
      </c>
      <c r="F56" t="s">
        <v>37</v>
      </c>
      <c r="G56" t="s">
        <v>45</v>
      </c>
      <c r="H56" t="s">
        <v>123</v>
      </c>
      <c r="I56" t="s">
        <v>176</v>
      </c>
      <c r="J56">
        <v>2</v>
      </c>
      <c r="K56" s="2">
        <v>1113.78</v>
      </c>
      <c r="L56">
        <v>10</v>
      </c>
      <c r="M56" s="2">
        <v>2004.8</v>
      </c>
      <c r="N56" s="2">
        <v>1559.65</v>
      </c>
      <c r="O56" s="2">
        <v>445.15</v>
      </c>
      <c r="P56" t="s">
        <v>41</v>
      </c>
      <c r="Q56" t="s">
        <v>42</v>
      </c>
      <c r="R56" t="str">
        <f>TEXT(Table1[[#This Row],[Order Date]],"mmmm")</f>
        <v>November</v>
      </c>
      <c r="S56">
        <f>YEAR(Table1[[#This Row],[Order Date]])</f>
        <v>2025</v>
      </c>
    </row>
    <row r="57" spans="1:19" x14ac:dyDescent="0.3">
      <c r="A57" t="s">
        <v>177</v>
      </c>
      <c r="B57" s="1">
        <v>45759</v>
      </c>
      <c r="C57" t="s">
        <v>70</v>
      </c>
      <c r="D57" t="s">
        <v>71</v>
      </c>
      <c r="E57" t="s">
        <v>66</v>
      </c>
      <c r="F57" t="s">
        <v>37</v>
      </c>
      <c r="G57" t="s">
        <v>24</v>
      </c>
      <c r="H57" t="s">
        <v>134</v>
      </c>
      <c r="I57" t="s">
        <v>178</v>
      </c>
      <c r="J57">
        <v>15</v>
      </c>
      <c r="K57" s="2">
        <v>630.38</v>
      </c>
      <c r="L57">
        <v>5</v>
      </c>
      <c r="M57" s="2">
        <v>8982.92</v>
      </c>
      <c r="N57" s="2">
        <v>5616.4</v>
      </c>
      <c r="O57" s="2">
        <v>3366.52</v>
      </c>
      <c r="P57" t="s">
        <v>41</v>
      </c>
      <c r="Q57" t="s">
        <v>42</v>
      </c>
      <c r="R57" t="str">
        <f>TEXT(Table1[[#This Row],[Order Date]],"mmmm")</f>
        <v>April</v>
      </c>
      <c r="S57">
        <f>YEAR(Table1[[#This Row],[Order Date]])</f>
        <v>2025</v>
      </c>
    </row>
    <row r="58" spans="1:19" x14ac:dyDescent="0.3">
      <c r="A58" t="s">
        <v>179</v>
      </c>
      <c r="B58" s="1">
        <v>45704</v>
      </c>
      <c r="C58" t="s">
        <v>20</v>
      </c>
      <c r="D58" t="s">
        <v>21</v>
      </c>
      <c r="E58" t="s">
        <v>120</v>
      </c>
      <c r="F58" t="s">
        <v>31</v>
      </c>
      <c r="G58" t="s">
        <v>45</v>
      </c>
      <c r="H58" t="s">
        <v>67</v>
      </c>
      <c r="I58" t="s">
        <v>180</v>
      </c>
      <c r="J58">
        <v>10</v>
      </c>
      <c r="K58" s="2">
        <v>2084.36</v>
      </c>
      <c r="L58">
        <v>15</v>
      </c>
      <c r="M58" s="2">
        <v>17717.060000000001</v>
      </c>
      <c r="N58" s="2">
        <v>12306.03</v>
      </c>
      <c r="O58" s="2">
        <v>5411.03</v>
      </c>
      <c r="P58" t="s">
        <v>27</v>
      </c>
      <c r="Q58" t="s">
        <v>28</v>
      </c>
      <c r="R58" t="str">
        <f>TEXT(Table1[[#This Row],[Order Date]],"mmmm")</f>
        <v>February</v>
      </c>
      <c r="S58">
        <f>YEAR(Table1[[#This Row],[Order Date]])</f>
        <v>2025</v>
      </c>
    </row>
    <row r="59" spans="1:19" x14ac:dyDescent="0.3">
      <c r="A59" t="s">
        <v>181</v>
      </c>
      <c r="B59" s="1">
        <v>46126</v>
      </c>
      <c r="C59" t="s">
        <v>86</v>
      </c>
      <c r="D59" t="s">
        <v>90</v>
      </c>
      <c r="E59" t="s">
        <v>170</v>
      </c>
      <c r="F59" t="s">
        <v>37</v>
      </c>
      <c r="G59" t="s">
        <v>38</v>
      </c>
      <c r="H59" t="s">
        <v>63</v>
      </c>
      <c r="I59" t="s">
        <v>155</v>
      </c>
      <c r="J59">
        <v>14</v>
      </c>
      <c r="K59" s="2">
        <v>2475.21</v>
      </c>
      <c r="L59">
        <v>10</v>
      </c>
      <c r="M59" s="2">
        <v>31187.65</v>
      </c>
      <c r="N59" s="2">
        <v>19907.96</v>
      </c>
      <c r="O59" s="2">
        <v>11279.69</v>
      </c>
      <c r="P59" t="s">
        <v>41</v>
      </c>
      <c r="Q59" t="s">
        <v>49</v>
      </c>
      <c r="R59" t="str">
        <f>TEXT(Table1[[#This Row],[Order Date]],"mmmm")</f>
        <v>April</v>
      </c>
      <c r="S59">
        <f>YEAR(Table1[[#This Row],[Order Date]])</f>
        <v>2026</v>
      </c>
    </row>
    <row r="60" spans="1:19" x14ac:dyDescent="0.3">
      <c r="A60" t="s">
        <v>182</v>
      </c>
      <c r="B60" s="1">
        <v>45965</v>
      </c>
      <c r="C60" t="s">
        <v>35</v>
      </c>
      <c r="D60" t="s">
        <v>59</v>
      </c>
      <c r="E60" t="s">
        <v>170</v>
      </c>
      <c r="F60" t="s">
        <v>31</v>
      </c>
      <c r="G60" t="s">
        <v>38</v>
      </c>
      <c r="H60" t="s">
        <v>91</v>
      </c>
      <c r="I60" t="s">
        <v>183</v>
      </c>
      <c r="J60">
        <v>15</v>
      </c>
      <c r="K60" s="2">
        <v>4161.82</v>
      </c>
      <c r="L60">
        <v>10</v>
      </c>
      <c r="M60" s="2">
        <v>56184.57</v>
      </c>
      <c r="N60" s="2">
        <v>44124.57</v>
      </c>
      <c r="O60" s="2">
        <v>12060</v>
      </c>
      <c r="P60" t="s">
        <v>48</v>
      </c>
      <c r="Q60" t="s">
        <v>61</v>
      </c>
      <c r="R60" t="str">
        <f>TEXT(Table1[[#This Row],[Order Date]],"mmmm")</f>
        <v>November</v>
      </c>
      <c r="S60">
        <f>YEAR(Table1[[#This Row],[Order Date]])</f>
        <v>2025</v>
      </c>
    </row>
    <row r="61" spans="1:19" x14ac:dyDescent="0.3">
      <c r="A61" t="s">
        <v>184</v>
      </c>
      <c r="B61" s="1">
        <v>45677</v>
      </c>
      <c r="C61" t="s">
        <v>20</v>
      </c>
      <c r="D61" t="s">
        <v>21</v>
      </c>
      <c r="E61" t="s">
        <v>44</v>
      </c>
      <c r="F61" t="s">
        <v>37</v>
      </c>
      <c r="G61" t="s">
        <v>24</v>
      </c>
      <c r="H61" t="s">
        <v>134</v>
      </c>
      <c r="I61" t="s">
        <v>185</v>
      </c>
      <c r="J61">
        <v>12</v>
      </c>
      <c r="K61" s="2">
        <v>4798.3100000000004</v>
      </c>
      <c r="L61">
        <v>10</v>
      </c>
      <c r="M61" s="2">
        <v>51821.75</v>
      </c>
      <c r="N61" s="2">
        <v>40160.870000000003</v>
      </c>
      <c r="O61" s="2">
        <v>11660.88</v>
      </c>
      <c r="P61" t="s">
        <v>27</v>
      </c>
      <c r="Q61" t="s">
        <v>49</v>
      </c>
      <c r="R61" t="str">
        <f>TEXT(Table1[[#This Row],[Order Date]],"mmmm")</f>
        <v>January</v>
      </c>
      <c r="S61">
        <f>YEAR(Table1[[#This Row],[Order Date]])</f>
        <v>2025</v>
      </c>
    </row>
    <row r="62" spans="1:19" x14ac:dyDescent="0.3">
      <c r="A62" t="s">
        <v>186</v>
      </c>
      <c r="B62" s="1">
        <v>45952</v>
      </c>
      <c r="C62" t="s">
        <v>20</v>
      </c>
      <c r="D62" t="s">
        <v>55</v>
      </c>
      <c r="E62" t="s">
        <v>170</v>
      </c>
      <c r="F62" t="s">
        <v>23</v>
      </c>
      <c r="G62" t="s">
        <v>45</v>
      </c>
      <c r="H62" t="s">
        <v>123</v>
      </c>
      <c r="I62" t="s">
        <v>187</v>
      </c>
      <c r="J62">
        <v>10</v>
      </c>
      <c r="K62" s="2">
        <v>4421.08</v>
      </c>
      <c r="L62">
        <v>15</v>
      </c>
      <c r="M62" s="2">
        <v>37579.18</v>
      </c>
      <c r="N62" s="2">
        <v>24662.66</v>
      </c>
      <c r="O62" s="2">
        <v>12916.52</v>
      </c>
      <c r="P62" t="s">
        <v>27</v>
      </c>
      <c r="Q62" t="s">
        <v>42</v>
      </c>
      <c r="R62" t="str">
        <f>TEXT(Table1[[#This Row],[Order Date]],"mmmm")</f>
        <v>October</v>
      </c>
      <c r="S62">
        <f>YEAR(Table1[[#This Row],[Order Date]])</f>
        <v>2025</v>
      </c>
    </row>
    <row r="63" spans="1:19" x14ac:dyDescent="0.3">
      <c r="A63" t="s">
        <v>188</v>
      </c>
      <c r="B63" s="1">
        <v>45827</v>
      </c>
      <c r="C63" t="s">
        <v>20</v>
      </c>
      <c r="D63" t="s">
        <v>21</v>
      </c>
      <c r="E63" t="s">
        <v>170</v>
      </c>
      <c r="F63" t="s">
        <v>31</v>
      </c>
      <c r="G63" t="s">
        <v>45</v>
      </c>
      <c r="H63" t="s">
        <v>46</v>
      </c>
      <c r="I63" t="s">
        <v>189</v>
      </c>
      <c r="J63">
        <v>8</v>
      </c>
      <c r="K63" s="2">
        <v>4866.0200000000004</v>
      </c>
      <c r="L63">
        <v>10</v>
      </c>
      <c r="M63" s="2">
        <v>35035.339999999997</v>
      </c>
      <c r="N63" s="2">
        <v>25061.27</v>
      </c>
      <c r="O63" s="2">
        <v>9974.07</v>
      </c>
      <c r="P63" t="s">
        <v>27</v>
      </c>
      <c r="Q63" t="s">
        <v>42</v>
      </c>
      <c r="R63" t="str">
        <f>TEXT(Table1[[#This Row],[Order Date]],"mmmm")</f>
        <v>June</v>
      </c>
      <c r="S63">
        <f>YEAR(Table1[[#This Row],[Order Date]])</f>
        <v>2025</v>
      </c>
    </row>
    <row r="64" spans="1:19" x14ac:dyDescent="0.3">
      <c r="A64" t="s">
        <v>190</v>
      </c>
      <c r="B64" s="1">
        <v>45940</v>
      </c>
      <c r="C64" t="s">
        <v>35</v>
      </c>
      <c r="D64" t="s">
        <v>59</v>
      </c>
      <c r="E64" t="s">
        <v>22</v>
      </c>
      <c r="F64" t="s">
        <v>23</v>
      </c>
      <c r="G64" t="s">
        <v>38</v>
      </c>
      <c r="H64" t="s">
        <v>39</v>
      </c>
      <c r="I64" t="s">
        <v>191</v>
      </c>
      <c r="J64">
        <v>11</v>
      </c>
      <c r="K64" s="2">
        <v>218.04</v>
      </c>
      <c r="L64">
        <v>10</v>
      </c>
      <c r="M64" s="2">
        <v>2158.6</v>
      </c>
      <c r="N64" s="2">
        <v>1625.19</v>
      </c>
      <c r="O64" s="2">
        <v>533.41</v>
      </c>
      <c r="P64" t="s">
        <v>27</v>
      </c>
      <c r="Q64" t="s">
        <v>49</v>
      </c>
      <c r="R64" t="str">
        <f>TEXT(Table1[[#This Row],[Order Date]],"mmmm")</f>
        <v>October</v>
      </c>
      <c r="S64">
        <f>YEAR(Table1[[#This Row],[Order Date]])</f>
        <v>2025</v>
      </c>
    </row>
    <row r="65" spans="1:19" x14ac:dyDescent="0.3">
      <c r="A65" t="s">
        <v>192</v>
      </c>
      <c r="B65" s="1">
        <v>45718</v>
      </c>
      <c r="C65" t="s">
        <v>35</v>
      </c>
      <c r="D65" t="s">
        <v>59</v>
      </c>
      <c r="E65" t="s">
        <v>30</v>
      </c>
      <c r="F65" t="s">
        <v>37</v>
      </c>
      <c r="G65" t="s">
        <v>45</v>
      </c>
      <c r="H65" t="s">
        <v>159</v>
      </c>
      <c r="I65" t="s">
        <v>193</v>
      </c>
      <c r="J65">
        <v>1</v>
      </c>
      <c r="K65" s="2">
        <v>1907.07</v>
      </c>
      <c r="L65">
        <v>0</v>
      </c>
      <c r="M65" s="2">
        <v>1907.07</v>
      </c>
      <c r="N65" s="2">
        <v>1131.53</v>
      </c>
      <c r="O65" s="2">
        <v>775.54</v>
      </c>
      <c r="P65" t="s">
        <v>48</v>
      </c>
      <c r="Q65" t="s">
        <v>42</v>
      </c>
      <c r="R65" t="str">
        <f>TEXT(Table1[[#This Row],[Order Date]],"mmmm")</f>
        <v>March</v>
      </c>
      <c r="S65">
        <f>YEAR(Table1[[#This Row],[Order Date]])</f>
        <v>2025</v>
      </c>
    </row>
    <row r="66" spans="1:19" x14ac:dyDescent="0.3">
      <c r="A66" t="s">
        <v>194</v>
      </c>
      <c r="B66" s="1">
        <v>45689</v>
      </c>
      <c r="C66" t="s">
        <v>35</v>
      </c>
      <c r="D66" t="s">
        <v>36</v>
      </c>
      <c r="E66" t="s">
        <v>22</v>
      </c>
      <c r="F66" t="s">
        <v>31</v>
      </c>
      <c r="G66" t="s">
        <v>38</v>
      </c>
      <c r="H66" t="s">
        <v>91</v>
      </c>
      <c r="I66" t="s">
        <v>195</v>
      </c>
      <c r="J66">
        <v>2</v>
      </c>
      <c r="K66" s="2">
        <v>3630.32</v>
      </c>
      <c r="L66">
        <v>10</v>
      </c>
      <c r="M66" s="2">
        <v>6534.58</v>
      </c>
      <c r="N66" s="2">
        <v>3606.59</v>
      </c>
      <c r="O66" s="2">
        <v>2927.99</v>
      </c>
      <c r="P66" t="s">
        <v>27</v>
      </c>
      <c r="Q66" t="s">
        <v>49</v>
      </c>
      <c r="R66" t="str">
        <f>TEXT(Table1[[#This Row],[Order Date]],"mmmm")</f>
        <v>February</v>
      </c>
      <c r="S66">
        <f>YEAR(Table1[[#This Row],[Order Date]])</f>
        <v>2025</v>
      </c>
    </row>
    <row r="67" spans="1:19" x14ac:dyDescent="0.3">
      <c r="A67" t="s">
        <v>196</v>
      </c>
      <c r="B67" s="1">
        <v>45869</v>
      </c>
      <c r="C67" t="s">
        <v>35</v>
      </c>
      <c r="D67" t="s">
        <v>59</v>
      </c>
      <c r="E67" t="s">
        <v>66</v>
      </c>
      <c r="F67" t="s">
        <v>37</v>
      </c>
      <c r="G67" t="s">
        <v>45</v>
      </c>
      <c r="H67" t="s">
        <v>67</v>
      </c>
      <c r="I67" t="s">
        <v>197</v>
      </c>
      <c r="J67">
        <v>5</v>
      </c>
      <c r="K67" s="2">
        <v>2927.47</v>
      </c>
      <c r="L67">
        <v>5</v>
      </c>
      <c r="M67" s="2">
        <v>13905.48</v>
      </c>
      <c r="N67" s="2">
        <v>11119.18</v>
      </c>
      <c r="O67" s="2">
        <v>2786.3</v>
      </c>
      <c r="P67" t="s">
        <v>41</v>
      </c>
      <c r="Q67" t="s">
        <v>49</v>
      </c>
      <c r="R67" t="str">
        <f>TEXT(Table1[[#This Row],[Order Date]],"mmmm")</f>
        <v>July</v>
      </c>
      <c r="S67">
        <f>YEAR(Table1[[#This Row],[Order Date]])</f>
        <v>2025</v>
      </c>
    </row>
    <row r="68" spans="1:19" x14ac:dyDescent="0.3">
      <c r="A68" t="s">
        <v>198</v>
      </c>
      <c r="B68" s="1">
        <v>45685</v>
      </c>
      <c r="C68" t="s">
        <v>86</v>
      </c>
      <c r="D68" t="s">
        <v>87</v>
      </c>
      <c r="E68" t="s">
        <v>22</v>
      </c>
      <c r="F68" t="s">
        <v>23</v>
      </c>
      <c r="G68" t="s">
        <v>38</v>
      </c>
      <c r="H68" t="s">
        <v>63</v>
      </c>
      <c r="I68" t="s">
        <v>199</v>
      </c>
      <c r="J68">
        <v>13</v>
      </c>
      <c r="K68" s="2">
        <v>2274.0300000000002</v>
      </c>
      <c r="L68">
        <v>0</v>
      </c>
      <c r="M68" s="2">
        <v>29562.39</v>
      </c>
      <c r="N68" s="2">
        <v>16451.37</v>
      </c>
      <c r="O68" s="2">
        <v>13111.02</v>
      </c>
      <c r="P68" t="s">
        <v>41</v>
      </c>
      <c r="Q68" t="s">
        <v>61</v>
      </c>
      <c r="R68" t="str">
        <f>TEXT(Table1[[#This Row],[Order Date]],"mmmm")</f>
        <v>January</v>
      </c>
      <c r="S68">
        <f>YEAR(Table1[[#This Row],[Order Date]])</f>
        <v>2025</v>
      </c>
    </row>
    <row r="69" spans="1:19" x14ac:dyDescent="0.3">
      <c r="A69" t="s">
        <v>200</v>
      </c>
      <c r="B69" s="1">
        <v>46202</v>
      </c>
      <c r="C69" t="s">
        <v>35</v>
      </c>
      <c r="D69" t="s">
        <v>59</v>
      </c>
      <c r="E69" t="s">
        <v>170</v>
      </c>
      <c r="F69" t="s">
        <v>23</v>
      </c>
      <c r="G69" t="s">
        <v>38</v>
      </c>
      <c r="H69" t="s">
        <v>91</v>
      </c>
      <c r="I69" t="s">
        <v>201</v>
      </c>
      <c r="J69">
        <v>5</v>
      </c>
      <c r="K69" s="2">
        <v>3723.91</v>
      </c>
      <c r="L69">
        <v>20</v>
      </c>
      <c r="M69" s="2">
        <v>14895.64</v>
      </c>
      <c r="N69" s="2">
        <v>8634.43</v>
      </c>
      <c r="O69" s="2">
        <v>6261.21</v>
      </c>
      <c r="P69" t="s">
        <v>27</v>
      </c>
      <c r="Q69" t="s">
        <v>61</v>
      </c>
      <c r="R69" t="str">
        <f>TEXT(Table1[[#This Row],[Order Date]],"mmmm")</f>
        <v>June</v>
      </c>
      <c r="S69">
        <f>YEAR(Table1[[#This Row],[Order Date]])</f>
        <v>2026</v>
      </c>
    </row>
    <row r="70" spans="1:19" x14ac:dyDescent="0.3">
      <c r="A70" t="s">
        <v>202</v>
      </c>
      <c r="B70" s="1">
        <v>45761</v>
      </c>
      <c r="C70" t="s">
        <v>86</v>
      </c>
      <c r="D70" t="s">
        <v>90</v>
      </c>
      <c r="E70" t="s">
        <v>30</v>
      </c>
      <c r="F70" t="s">
        <v>31</v>
      </c>
      <c r="G70" t="s">
        <v>45</v>
      </c>
      <c r="H70" t="s">
        <v>123</v>
      </c>
      <c r="I70" t="s">
        <v>203</v>
      </c>
      <c r="J70">
        <v>6</v>
      </c>
      <c r="K70" s="2">
        <v>3283.3</v>
      </c>
      <c r="L70">
        <v>20</v>
      </c>
      <c r="M70" s="2">
        <v>15759.84</v>
      </c>
      <c r="N70" s="2">
        <v>11328.54</v>
      </c>
      <c r="O70" s="2">
        <v>4431.3</v>
      </c>
      <c r="P70" t="s">
        <v>48</v>
      </c>
      <c r="Q70" t="s">
        <v>42</v>
      </c>
      <c r="R70" t="str">
        <f>TEXT(Table1[[#This Row],[Order Date]],"mmmm")</f>
        <v>April</v>
      </c>
      <c r="S70">
        <f>YEAR(Table1[[#This Row],[Order Date]])</f>
        <v>2025</v>
      </c>
    </row>
    <row r="71" spans="1:19" x14ac:dyDescent="0.3">
      <c r="A71" t="s">
        <v>204</v>
      </c>
      <c r="B71" s="1">
        <v>45691</v>
      </c>
      <c r="C71" t="s">
        <v>20</v>
      </c>
      <c r="D71" t="s">
        <v>21</v>
      </c>
      <c r="E71" t="s">
        <v>44</v>
      </c>
      <c r="F71" t="s">
        <v>37</v>
      </c>
      <c r="G71" t="s">
        <v>38</v>
      </c>
      <c r="H71" t="s">
        <v>72</v>
      </c>
      <c r="I71" t="s">
        <v>205</v>
      </c>
      <c r="J71">
        <v>14</v>
      </c>
      <c r="K71" s="2">
        <v>2439.09</v>
      </c>
      <c r="L71">
        <v>0</v>
      </c>
      <c r="M71" s="2">
        <v>34147.26</v>
      </c>
      <c r="N71" s="2">
        <v>26022.93</v>
      </c>
      <c r="O71" s="2">
        <v>8124.33</v>
      </c>
      <c r="P71" t="s">
        <v>41</v>
      </c>
      <c r="Q71" t="s">
        <v>42</v>
      </c>
      <c r="R71" t="str">
        <f>TEXT(Table1[[#This Row],[Order Date]],"mmmm")</f>
        <v>February</v>
      </c>
      <c r="S71">
        <f>YEAR(Table1[[#This Row],[Order Date]])</f>
        <v>2025</v>
      </c>
    </row>
    <row r="72" spans="1:19" x14ac:dyDescent="0.3">
      <c r="A72" t="s">
        <v>206</v>
      </c>
      <c r="B72" s="1">
        <v>46183</v>
      </c>
      <c r="C72" t="s">
        <v>35</v>
      </c>
      <c r="D72" t="s">
        <v>36</v>
      </c>
      <c r="E72" t="s">
        <v>51</v>
      </c>
      <c r="F72" t="s">
        <v>37</v>
      </c>
      <c r="G72" t="s">
        <v>45</v>
      </c>
      <c r="H72" t="s">
        <v>123</v>
      </c>
      <c r="I72" t="s">
        <v>207</v>
      </c>
      <c r="J72">
        <v>8</v>
      </c>
      <c r="K72" s="2">
        <v>3327.79</v>
      </c>
      <c r="L72">
        <v>20</v>
      </c>
      <c r="M72" s="2">
        <v>21297.86</v>
      </c>
      <c r="N72" s="2">
        <v>13321.15</v>
      </c>
      <c r="O72" s="2">
        <v>7976.71</v>
      </c>
      <c r="P72" t="s">
        <v>27</v>
      </c>
      <c r="Q72" t="s">
        <v>28</v>
      </c>
      <c r="R72" t="str">
        <f>TEXT(Table1[[#This Row],[Order Date]],"mmmm")</f>
        <v>June</v>
      </c>
      <c r="S72">
        <f>YEAR(Table1[[#This Row],[Order Date]])</f>
        <v>2026</v>
      </c>
    </row>
    <row r="73" spans="1:19" x14ac:dyDescent="0.3">
      <c r="A73" t="s">
        <v>208</v>
      </c>
      <c r="B73" s="1">
        <v>45953</v>
      </c>
      <c r="C73" t="s">
        <v>86</v>
      </c>
      <c r="D73" t="s">
        <v>87</v>
      </c>
      <c r="E73" t="s">
        <v>51</v>
      </c>
      <c r="F73" t="s">
        <v>23</v>
      </c>
      <c r="G73" t="s">
        <v>24</v>
      </c>
      <c r="H73" t="s">
        <v>134</v>
      </c>
      <c r="I73" t="s">
        <v>209</v>
      </c>
      <c r="J73">
        <v>12</v>
      </c>
      <c r="K73" s="2">
        <v>2189.41</v>
      </c>
      <c r="L73">
        <v>0</v>
      </c>
      <c r="M73" s="2">
        <v>26272.92</v>
      </c>
      <c r="N73" s="2">
        <v>21122.84</v>
      </c>
      <c r="O73" s="2">
        <v>5150.08</v>
      </c>
      <c r="P73" t="s">
        <v>27</v>
      </c>
      <c r="Q73" t="s">
        <v>42</v>
      </c>
      <c r="R73" t="str">
        <f>TEXT(Table1[[#This Row],[Order Date]],"mmmm")</f>
        <v>October</v>
      </c>
      <c r="S73">
        <f>YEAR(Table1[[#This Row],[Order Date]])</f>
        <v>2025</v>
      </c>
    </row>
    <row r="74" spans="1:19" x14ac:dyDescent="0.3">
      <c r="A74" t="s">
        <v>210</v>
      </c>
      <c r="B74" s="1">
        <v>45844</v>
      </c>
      <c r="C74" t="s">
        <v>86</v>
      </c>
      <c r="D74" t="s">
        <v>87</v>
      </c>
      <c r="E74" t="s">
        <v>113</v>
      </c>
      <c r="F74" t="s">
        <v>23</v>
      </c>
      <c r="G74" t="s">
        <v>45</v>
      </c>
      <c r="H74" t="s">
        <v>46</v>
      </c>
      <c r="I74" t="s">
        <v>211</v>
      </c>
      <c r="J74">
        <v>12</v>
      </c>
      <c r="K74" s="2">
        <v>1542.69</v>
      </c>
      <c r="L74">
        <v>5</v>
      </c>
      <c r="M74" s="2">
        <v>17586.669999999998</v>
      </c>
      <c r="N74" s="2">
        <v>12262.51</v>
      </c>
      <c r="O74" s="2">
        <v>5324.16</v>
      </c>
      <c r="P74" t="s">
        <v>41</v>
      </c>
      <c r="Q74" t="s">
        <v>28</v>
      </c>
      <c r="R74" t="str">
        <f>TEXT(Table1[[#This Row],[Order Date]],"mmmm")</f>
        <v>July</v>
      </c>
      <c r="S74">
        <f>YEAR(Table1[[#This Row],[Order Date]])</f>
        <v>2025</v>
      </c>
    </row>
    <row r="75" spans="1:19" x14ac:dyDescent="0.3">
      <c r="A75" t="s">
        <v>212</v>
      </c>
      <c r="B75" s="1">
        <v>46105</v>
      </c>
      <c r="C75" t="s">
        <v>86</v>
      </c>
      <c r="D75" t="s">
        <v>87</v>
      </c>
      <c r="E75" t="s">
        <v>170</v>
      </c>
      <c r="F75" t="s">
        <v>31</v>
      </c>
      <c r="G75" t="s">
        <v>45</v>
      </c>
      <c r="H75" t="s">
        <v>123</v>
      </c>
      <c r="I75" t="s">
        <v>213</v>
      </c>
      <c r="J75">
        <v>15</v>
      </c>
      <c r="K75" s="2">
        <v>4664.67</v>
      </c>
      <c r="L75">
        <v>15</v>
      </c>
      <c r="M75" s="2">
        <v>59474.54</v>
      </c>
      <c r="N75" s="2">
        <v>43862.51</v>
      </c>
      <c r="O75" s="2">
        <v>15612.03</v>
      </c>
      <c r="P75" t="s">
        <v>48</v>
      </c>
      <c r="Q75" t="s">
        <v>42</v>
      </c>
      <c r="R75" t="str">
        <f>TEXT(Table1[[#This Row],[Order Date]],"mmmm")</f>
        <v>March</v>
      </c>
      <c r="S75">
        <f>YEAR(Table1[[#This Row],[Order Date]])</f>
        <v>2026</v>
      </c>
    </row>
    <row r="76" spans="1:19" x14ac:dyDescent="0.3">
      <c r="A76" t="s">
        <v>214</v>
      </c>
      <c r="B76" s="1">
        <v>46169</v>
      </c>
      <c r="C76" t="s">
        <v>70</v>
      </c>
      <c r="D76" t="s">
        <v>75</v>
      </c>
      <c r="E76" t="s">
        <v>22</v>
      </c>
      <c r="F76" t="s">
        <v>37</v>
      </c>
      <c r="G76" t="s">
        <v>38</v>
      </c>
      <c r="H76" t="s">
        <v>72</v>
      </c>
      <c r="I76" t="s">
        <v>215</v>
      </c>
      <c r="J76">
        <v>1</v>
      </c>
      <c r="K76" s="2">
        <v>1898.27</v>
      </c>
      <c r="L76">
        <v>0</v>
      </c>
      <c r="M76" s="2">
        <v>1898.27</v>
      </c>
      <c r="N76" s="2">
        <v>1103.68</v>
      </c>
      <c r="O76" s="2">
        <v>794.59</v>
      </c>
      <c r="P76" t="s">
        <v>41</v>
      </c>
      <c r="Q76" t="s">
        <v>49</v>
      </c>
      <c r="R76" t="str">
        <f>TEXT(Table1[[#This Row],[Order Date]],"mmmm")</f>
        <v>May</v>
      </c>
      <c r="S76">
        <f>YEAR(Table1[[#This Row],[Order Date]])</f>
        <v>2026</v>
      </c>
    </row>
    <row r="77" spans="1:19" x14ac:dyDescent="0.3">
      <c r="A77" t="s">
        <v>216</v>
      </c>
      <c r="B77" s="1">
        <v>45693</v>
      </c>
      <c r="C77" t="s">
        <v>70</v>
      </c>
      <c r="D77" t="s">
        <v>71</v>
      </c>
      <c r="E77" t="s">
        <v>113</v>
      </c>
      <c r="F77" t="s">
        <v>23</v>
      </c>
      <c r="G77" t="s">
        <v>45</v>
      </c>
      <c r="H77" t="s">
        <v>52</v>
      </c>
      <c r="I77" t="s">
        <v>217</v>
      </c>
      <c r="J77">
        <v>3</v>
      </c>
      <c r="K77" s="2">
        <v>3579.09</v>
      </c>
      <c r="L77">
        <v>15</v>
      </c>
      <c r="M77" s="2">
        <v>9126.68</v>
      </c>
      <c r="N77" s="2">
        <v>6086.85</v>
      </c>
      <c r="O77" s="2">
        <v>3039.83</v>
      </c>
      <c r="P77" t="s">
        <v>41</v>
      </c>
      <c r="Q77" t="s">
        <v>49</v>
      </c>
      <c r="R77" t="str">
        <f>TEXT(Table1[[#This Row],[Order Date]],"mmmm")</f>
        <v>February</v>
      </c>
      <c r="S77">
        <f>YEAR(Table1[[#This Row],[Order Date]])</f>
        <v>2025</v>
      </c>
    </row>
    <row r="78" spans="1:19" x14ac:dyDescent="0.3">
      <c r="A78" t="s">
        <v>218</v>
      </c>
      <c r="B78" s="1">
        <v>45726</v>
      </c>
      <c r="C78" t="s">
        <v>35</v>
      </c>
      <c r="D78" t="s">
        <v>36</v>
      </c>
      <c r="E78" t="s">
        <v>170</v>
      </c>
      <c r="F78" t="s">
        <v>31</v>
      </c>
      <c r="G78" t="s">
        <v>24</v>
      </c>
      <c r="H78" t="s">
        <v>171</v>
      </c>
      <c r="I78" t="s">
        <v>219</v>
      </c>
      <c r="J78">
        <v>5</v>
      </c>
      <c r="K78" s="2">
        <v>396.68</v>
      </c>
      <c r="L78">
        <v>5</v>
      </c>
      <c r="M78" s="2">
        <v>1884.23</v>
      </c>
      <c r="N78" s="2">
        <v>1156.1199999999999</v>
      </c>
      <c r="O78" s="2">
        <v>728.11</v>
      </c>
      <c r="P78" t="s">
        <v>41</v>
      </c>
      <c r="Q78" t="s">
        <v>49</v>
      </c>
      <c r="R78" t="str">
        <f>TEXT(Table1[[#This Row],[Order Date]],"mmmm")</f>
        <v>March</v>
      </c>
      <c r="S78">
        <f>YEAR(Table1[[#This Row],[Order Date]])</f>
        <v>2025</v>
      </c>
    </row>
    <row r="79" spans="1:19" x14ac:dyDescent="0.3">
      <c r="A79" t="s">
        <v>220</v>
      </c>
      <c r="B79" s="1">
        <v>45845</v>
      </c>
      <c r="C79" t="s">
        <v>35</v>
      </c>
      <c r="D79" t="s">
        <v>36</v>
      </c>
      <c r="E79" t="s">
        <v>44</v>
      </c>
      <c r="F79" t="s">
        <v>31</v>
      </c>
      <c r="G79" t="s">
        <v>45</v>
      </c>
      <c r="H79" t="s">
        <v>52</v>
      </c>
      <c r="I79" t="s">
        <v>221</v>
      </c>
      <c r="J79">
        <v>5</v>
      </c>
      <c r="K79" s="2">
        <v>999.66</v>
      </c>
      <c r="L79">
        <v>15</v>
      </c>
      <c r="M79" s="2">
        <v>4248.5600000000004</v>
      </c>
      <c r="N79" s="2">
        <v>3336.31</v>
      </c>
      <c r="O79" s="2">
        <v>912.25</v>
      </c>
      <c r="P79" t="s">
        <v>48</v>
      </c>
      <c r="Q79" t="s">
        <v>61</v>
      </c>
      <c r="R79" t="str">
        <f>TEXT(Table1[[#This Row],[Order Date]],"mmmm")</f>
        <v>July</v>
      </c>
      <c r="S79">
        <f>YEAR(Table1[[#This Row],[Order Date]])</f>
        <v>2025</v>
      </c>
    </row>
    <row r="80" spans="1:19" x14ac:dyDescent="0.3">
      <c r="A80" t="s">
        <v>222</v>
      </c>
      <c r="B80" s="1">
        <v>45726</v>
      </c>
      <c r="C80" t="s">
        <v>35</v>
      </c>
      <c r="D80" t="s">
        <v>36</v>
      </c>
      <c r="E80" t="s">
        <v>120</v>
      </c>
      <c r="F80" t="s">
        <v>37</v>
      </c>
      <c r="G80" t="s">
        <v>24</v>
      </c>
      <c r="H80" t="s">
        <v>56</v>
      </c>
      <c r="I80" t="s">
        <v>223</v>
      </c>
      <c r="J80">
        <v>13</v>
      </c>
      <c r="K80" s="2">
        <v>2980.49</v>
      </c>
      <c r="L80">
        <v>20</v>
      </c>
      <c r="M80" s="2">
        <v>30997.1</v>
      </c>
      <c r="N80" s="2">
        <v>24817.57</v>
      </c>
      <c r="O80" s="2">
        <v>6179.53</v>
      </c>
      <c r="P80" t="s">
        <v>27</v>
      </c>
      <c r="Q80" t="s">
        <v>42</v>
      </c>
      <c r="R80" t="str">
        <f>TEXT(Table1[[#This Row],[Order Date]],"mmmm")</f>
        <v>March</v>
      </c>
      <c r="S80">
        <f>YEAR(Table1[[#This Row],[Order Date]])</f>
        <v>2025</v>
      </c>
    </row>
    <row r="81" spans="1:19" x14ac:dyDescent="0.3">
      <c r="A81" t="s">
        <v>224</v>
      </c>
      <c r="B81" s="1">
        <v>45693</v>
      </c>
      <c r="C81" t="s">
        <v>35</v>
      </c>
      <c r="D81" t="s">
        <v>59</v>
      </c>
      <c r="E81" t="s">
        <v>44</v>
      </c>
      <c r="F81" t="s">
        <v>31</v>
      </c>
      <c r="G81" t="s">
        <v>45</v>
      </c>
      <c r="H81" t="s">
        <v>159</v>
      </c>
      <c r="I81" t="s">
        <v>225</v>
      </c>
      <c r="J81">
        <v>8</v>
      </c>
      <c r="K81" s="2">
        <v>3696.45</v>
      </c>
      <c r="L81">
        <v>10</v>
      </c>
      <c r="M81" s="2">
        <v>26614.44</v>
      </c>
      <c r="N81" s="2">
        <v>18646.400000000001</v>
      </c>
      <c r="O81" s="2">
        <v>7968.04</v>
      </c>
      <c r="P81" t="s">
        <v>48</v>
      </c>
      <c r="Q81" t="s">
        <v>61</v>
      </c>
      <c r="R81" t="str">
        <f>TEXT(Table1[[#This Row],[Order Date]],"mmmm")</f>
        <v>February</v>
      </c>
      <c r="S81">
        <f>YEAR(Table1[[#This Row],[Order Date]])</f>
        <v>2025</v>
      </c>
    </row>
    <row r="82" spans="1:19" x14ac:dyDescent="0.3">
      <c r="A82" t="s">
        <v>226</v>
      </c>
      <c r="B82" s="1">
        <v>46160</v>
      </c>
      <c r="C82" t="s">
        <v>20</v>
      </c>
      <c r="D82" t="s">
        <v>21</v>
      </c>
      <c r="E82" t="s">
        <v>51</v>
      </c>
      <c r="F82" t="s">
        <v>37</v>
      </c>
      <c r="G82" t="s">
        <v>24</v>
      </c>
      <c r="H82" t="s">
        <v>25</v>
      </c>
      <c r="I82" t="s">
        <v>227</v>
      </c>
      <c r="J82">
        <v>8</v>
      </c>
      <c r="K82" s="2">
        <v>1525.13</v>
      </c>
      <c r="L82">
        <v>10</v>
      </c>
      <c r="M82" s="2">
        <v>10980.94</v>
      </c>
      <c r="N82" s="2">
        <v>6802.46</v>
      </c>
      <c r="O82" s="2">
        <v>4178.4799999999996</v>
      </c>
      <c r="P82" t="s">
        <v>48</v>
      </c>
      <c r="Q82" t="s">
        <v>42</v>
      </c>
      <c r="R82" t="str">
        <f>TEXT(Table1[[#This Row],[Order Date]],"mmmm")</f>
        <v>May</v>
      </c>
      <c r="S82">
        <f>YEAR(Table1[[#This Row],[Order Date]])</f>
        <v>2026</v>
      </c>
    </row>
    <row r="83" spans="1:19" x14ac:dyDescent="0.3">
      <c r="A83" t="s">
        <v>228</v>
      </c>
      <c r="B83" s="1">
        <v>45942</v>
      </c>
      <c r="C83" t="s">
        <v>86</v>
      </c>
      <c r="D83" t="s">
        <v>87</v>
      </c>
      <c r="E83" t="s">
        <v>170</v>
      </c>
      <c r="F83" t="s">
        <v>37</v>
      </c>
      <c r="G83" t="s">
        <v>45</v>
      </c>
      <c r="H83" t="s">
        <v>123</v>
      </c>
      <c r="I83" t="s">
        <v>229</v>
      </c>
      <c r="J83">
        <v>3</v>
      </c>
      <c r="K83" s="2">
        <v>3021.5</v>
      </c>
      <c r="L83">
        <v>0</v>
      </c>
      <c r="M83" s="2">
        <v>9064.5</v>
      </c>
      <c r="N83" s="2">
        <v>7424.77</v>
      </c>
      <c r="O83" s="2">
        <v>1639.73</v>
      </c>
      <c r="P83" t="s">
        <v>27</v>
      </c>
      <c r="Q83" t="s">
        <v>42</v>
      </c>
      <c r="R83" t="str">
        <f>TEXT(Table1[[#This Row],[Order Date]],"mmmm")</f>
        <v>October</v>
      </c>
      <c r="S83">
        <f>YEAR(Table1[[#This Row],[Order Date]])</f>
        <v>2025</v>
      </c>
    </row>
    <row r="84" spans="1:19" x14ac:dyDescent="0.3">
      <c r="A84" t="s">
        <v>230</v>
      </c>
      <c r="B84" s="1">
        <v>46125</v>
      </c>
      <c r="C84" t="s">
        <v>86</v>
      </c>
      <c r="D84" t="s">
        <v>90</v>
      </c>
      <c r="E84" t="s">
        <v>120</v>
      </c>
      <c r="F84" t="s">
        <v>31</v>
      </c>
      <c r="G84" t="s">
        <v>24</v>
      </c>
      <c r="H84" t="s">
        <v>134</v>
      </c>
      <c r="I84" t="s">
        <v>231</v>
      </c>
      <c r="J84">
        <v>10</v>
      </c>
      <c r="K84" s="2">
        <v>3820.16</v>
      </c>
      <c r="L84">
        <v>5</v>
      </c>
      <c r="M84" s="2">
        <v>36291.519999999997</v>
      </c>
      <c r="N84" s="2">
        <v>25973.51</v>
      </c>
      <c r="O84" s="2">
        <v>10318.01</v>
      </c>
      <c r="P84" t="s">
        <v>27</v>
      </c>
      <c r="Q84" t="s">
        <v>28</v>
      </c>
      <c r="R84" t="str">
        <f>TEXT(Table1[[#This Row],[Order Date]],"mmmm")</f>
        <v>April</v>
      </c>
      <c r="S84">
        <f>YEAR(Table1[[#This Row],[Order Date]])</f>
        <v>2026</v>
      </c>
    </row>
    <row r="85" spans="1:19" x14ac:dyDescent="0.3">
      <c r="A85" t="s">
        <v>232</v>
      </c>
      <c r="B85" s="1">
        <v>45687</v>
      </c>
      <c r="C85" t="s">
        <v>70</v>
      </c>
      <c r="D85" t="s">
        <v>71</v>
      </c>
      <c r="E85" t="s">
        <v>30</v>
      </c>
      <c r="F85" t="s">
        <v>37</v>
      </c>
      <c r="G85" t="s">
        <v>24</v>
      </c>
      <c r="H85" t="s">
        <v>25</v>
      </c>
      <c r="I85" t="s">
        <v>233</v>
      </c>
      <c r="J85">
        <v>2</v>
      </c>
      <c r="K85" s="2">
        <v>901.94</v>
      </c>
      <c r="L85">
        <v>15</v>
      </c>
      <c r="M85" s="2">
        <v>1533.3</v>
      </c>
      <c r="N85" s="2">
        <v>1211.6500000000001</v>
      </c>
      <c r="O85" s="2">
        <v>321.64999999999998</v>
      </c>
      <c r="P85" t="s">
        <v>48</v>
      </c>
      <c r="Q85" t="s">
        <v>49</v>
      </c>
      <c r="R85" t="str">
        <f>TEXT(Table1[[#This Row],[Order Date]],"mmmm")</f>
        <v>January</v>
      </c>
      <c r="S85">
        <f>YEAR(Table1[[#This Row],[Order Date]])</f>
        <v>2025</v>
      </c>
    </row>
    <row r="86" spans="1:19" x14ac:dyDescent="0.3">
      <c r="A86" t="s">
        <v>234</v>
      </c>
      <c r="B86" s="1">
        <v>45829</v>
      </c>
      <c r="C86" t="s">
        <v>86</v>
      </c>
      <c r="D86" t="s">
        <v>90</v>
      </c>
      <c r="E86" t="s">
        <v>30</v>
      </c>
      <c r="F86" t="s">
        <v>37</v>
      </c>
      <c r="G86" t="s">
        <v>45</v>
      </c>
      <c r="H86" t="s">
        <v>46</v>
      </c>
      <c r="I86" t="s">
        <v>235</v>
      </c>
      <c r="J86">
        <v>3</v>
      </c>
      <c r="K86" s="2">
        <v>1784.65</v>
      </c>
      <c r="L86">
        <v>10</v>
      </c>
      <c r="M86" s="2">
        <v>4818.5600000000004</v>
      </c>
      <c r="N86" s="2">
        <v>3817.61</v>
      </c>
      <c r="O86" s="2">
        <v>1000.95</v>
      </c>
      <c r="P86" t="s">
        <v>27</v>
      </c>
      <c r="Q86" t="s">
        <v>49</v>
      </c>
      <c r="R86" t="str">
        <f>TEXT(Table1[[#This Row],[Order Date]],"mmmm")</f>
        <v>June</v>
      </c>
      <c r="S86">
        <f>YEAR(Table1[[#This Row],[Order Date]])</f>
        <v>2025</v>
      </c>
    </row>
    <row r="87" spans="1:19" x14ac:dyDescent="0.3">
      <c r="A87" t="s">
        <v>236</v>
      </c>
      <c r="B87" s="1">
        <v>45842</v>
      </c>
      <c r="C87" t="s">
        <v>86</v>
      </c>
      <c r="D87" t="s">
        <v>90</v>
      </c>
      <c r="E87" t="s">
        <v>170</v>
      </c>
      <c r="F87" t="s">
        <v>31</v>
      </c>
      <c r="G87" t="s">
        <v>38</v>
      </c>
      <c r="H87" t="s">
        <v>72</v>
      </c>
      <c r="I87" t="s">
        <v>237</v>
      </c>
      <c r="J87">
        <v>2</v>
      </c>
      <c r="K87" s="2">
        <v>4365.07</v>
      </c>
      <c r="L87">
        <v>10</v>
      </c>
      <c r="M87" s="2">
        <v>7857.13</v>
      </c>
      <c r="N87" s="2">
        <v>6071.13</v>
      </c>
      <c r="O87" s="2">
        <v>1786</v>
      </c>
      <c r="P87" t="s">
        <v>48</v>
      </c>
      <c r="Q87" t="s">
        <v>42</v>
      </c>
      <c r="R87" t="str">
        <f>TEXT(Table1[[#This Row],[Order Date]],"mmmm")</f>
        <v>July</v>
      </c>
      <c r="S87">
        <f>YEAR(Table1[[#This Row],[Order Date]])</f>
        <v>2025</v>
      </c>
    </row>
    <row r="88" spans="1:19" x14ac:dyDescent="0.3">
      <c r="A88" t="s">
        <v>238</v>
      </c>
      <c r="B88" s="1">
        <v>45778</v>
      </c>
      <c r="C88" t="s">
        <v>20</v>
      </c>
      <c r="D88" t="s">
        <v>55</v>
      </c>
      <c r="E88" t="s">
        <v>120</v>
      </c>
      <c r="F88" t="s">
        <v>23</v>
      </c>
      <c r="G88" t="s">
        <v>24</v>
      </c>
      <c r="H88" t="s">
        <v>134</v>
      </c>
      <c r="I88" t="s">
        <v>239</v>
      </c>
      <c r="J88">
        <v>11</v>
      </c>
      <c r="K88" s="2">
        <v>2378.9</v>
      </c>
      <c r="L88">
        <v>0</v>
      </c>
      <c r="M88" s="2">
        <v>26167.9</v>
      </c>
      <c r="N88" s="2">
        <v>17872.18</v>
      </c>
      <c r="O88" s="2">
        <v>8295.7199999999993</v>
      </c>
      <c r="P88" t="s">
        <v>48</v>
      </c>
      <c r="Q88" t="s">
        <v>61</v>
      </c>
      <c r="R88" t="str">
        <f>TEXT(Table1[[#This Row],[Order Date]],"mmmm")</f>
        <v>May</v>
      </c>
      <c r="S88">
        <f>YEAR(Table1[[#This Row],[Order Date]])</f>
        <v>2025</v>
      </c>
    </row>
    <row r="89" spans="1:19" x14ac:dyDescent="0.3">
      <c r="A89" t="s">
        <v>240</v>
      </c>
      <c r="B89" s="1">
        <v>46052</v>
      </c>
      <c r="C89" t="s">
        <v>70</v>
      </c>
      <c r="D89" t="s">
        <v>75</v>
      </c>
      <c r="E89" t="s">
        <v>44</v>
      </c>
      <c r="F89" t="s">
        <v>31</v>
      </c>
      <c r="G89" t="s">
        <v>38</v>
      </c>
      <c r="H89" t="s">
        <v>39</v>
      </c>
      <c r="I89" t="s">
        <v>241</v>
      </c>
      <c r="J89">
        <v>13</v>
      </c>
      <c r="K89" s="2">
        <v>2853.21</v>
      </c>
      <c r="L89">
        <v>10</v>
      </c>
      <c r="M89" s="2">
        <v>33382.559999999998</v>
      </c>
      <c r="N89" s="2">
        <v>23976.7</v>
      </c>
      <c r="O89" s="2">
        <v>9405.86</v>
      </c>
      <c r="P89" t="s">
        <v>27</v>
      </c>
      <c r="Q89" t="s">
        <v>61</v>
      </c>
      <c r="R89" t="str">
        <f>TEXT(Table1[[#This Row],[Order Date]],"mmmm")</f>
        <v>January</v>
      </c>
      <c r="S89">
        <f>YEAR(Table1[[#This Row],[Order Date]])</f>
        <v>2026</v>
      </c>
    </row>
    <row r="90" spans="1:19" x14ac:dyDescent="0.3">
      <c r="A90" t="s">
        <v>242</v>
      </c>
      <c r="B90" s="1">
        <v>46021</v>
      </c>
      <c r="C90" t="s">
        <v>70</v>
      </c>
      <c r="D90" t="s">
        <v>71</v>
      </c>
      <c r="E90" t="s">
        <v>30</v>
      </c>
      <c r="F90" t="s">
        <v>31</v>
      </c>
      <c r="G90" t="s">
        <v>38</v>
      </c>
      <c r="H90" t="s">
        <v>91</v>
      </c>
      <c r="I90" t="s">
        <v>243</v>
      </c>
      <c r="J90">
        <v>12</v>
      </c>
      <c r="K90" s="2">
        <v>2918.28</v>
      </c>
      <c r="L90">
        <v>10</v>
      </c>
      <c r="M90" s="2">
        <v>31517.42</v>
      </c>
      <c r="N90" s="2">
        <v>22283.9</v>
      </c>
      <c r="O90" s="2">
        <v>9233.52</v>
      </c>
      <c r="P90" t="s">
        <v>41</v>
      </c>
      <c r="Q90" t="s">
        <v>42</v>
      </c>
      <c r="R90" t="str">
        <f>TEXT(Table1[[#This Row],[Order Date]],"mmmm")</f>
        <v>December</v>
      </c>
      <c r="S90">
        <f>YEAR(Table1[[#This Row],[Order Date]])</f>
        <v>2025</v>
      </c>
    </row>
    <row r="91" spans="1:19" x14ac:dyDescent="0.3">
      <c r="A91" t="s">
        <v>244</v>
      </c>
      <c r="B91" s="1">
        <v>45862</v>
      </c>
      <c r="C91" t="s">
        <v>70</v>
      </c>
      <c r="D91" t="s">
        <v>75</v>
      </c>
      <c r="E91" t="s">
        <v>44</v>
      </c>
      <c r="F91" t="s">
        <v>23</v>
      </c>
      <c r="G91" t="s">
        <v>38</v>
      </c>
      <c r="H91" t="s">
        <v>72</v>
      </c>
      <c r="I91" t="s">
        <v>245</v>
      </c>
      <c r="J91">
        <v>7</v>
      </c>
      <c r="K91" s="2">
        <v>695.07</v>
      </c>
      <c r="L91">
        <v>20</v>
      </c>
      <c r="M91" s="2">
        <v>3892.39</v>
      </c>
      <c r="N91" s="2">
        <v>2366.27</v>
      </c>
      <c r="O91" s="2">
        <v>1526.12</v>
      </c>
      <c r="P91" t="s">
        <v>48</v>
      </c>
      <c r="Q91" t="s">
        <v>28</v>
      </c>
      <c r="R91" t="str">
        <f>TEXT(Table1[[#This Row],[Order Date]],"mmmm")</f>
        <v>July</v>
      </c>
      <c r="S91">
        <f>YEAR(Table1[[#This Row],[Order Date]])</f>
        <v>2025</v>
      </c>
    </row>
    <row r="92" spans="1:19" x14ac:dyDescent="0.3">
      <c r="A92" t="s">
        <v>246</v>
      </c>
      <c r="B92" s="1">
        <v>45845</v>
      </c>
      <c r="C92" t="s">
        <v>35</v>
      </c>
      <c r="D92" t="s">
        <v>36</v>
      </c>
      <c r="E92" t="s">
        <v>66</v>
      </c>
      <c r="F92" t="s">
        <v>31</v>
      </c>
      <c r="G92" t="s">
        <v>45</v>
      </c>
      <c r="H92" t="s">
        <v>159</v>
      </c>
      <c r="I92" t="s">
        <v>247</v>
      </c>
      <c r="J92">
        <v>9</v>
      </c>
      <c r="K92" s="2">
        <v>4185.12</v>
      </c>
      <c r="L92">
        <v>0</v>
      </c>
      <c r="M92" s="2">
        <v>37666.080000000002</v>
      </c>
      <c r="N92" s="2">
        <v>22057.47</v>
      </c>
      <c r="O92" s="2">
        <v>15608.61</v>
      </c>
      <c r="P92" t="s">
        <v>27</v>
      </c>
      <c r="Q92" t="s">
        <v>61</v>
      </c>
      <c r="R92" t="str">
        <f>TEXT(Table1[[#This Row],[Order Date]],"mmmm")</f>
        <v>July</v>
      </c>
      <c r="S92">
        <f>YEAR(Table1[[#This Row],[Order Date]])</f>
        <v>2025</v>
      </c>
    </row>
    <row r="93" spans="1:19" x14ac:dyDescent="0.3">
      <c r="A93" t="s">
        <v>248</v>
      </c>
      <c r="B93" s="1">
        <v>45922</v>
      </c>
      <c r="C93" t="s">
        <v>70</v>
      </c>
      <c r="D93" t="s">
        <v>75</v>
      </c>
      <c r="E93" t="s">
        <v>44</v>
      </c>
      <c r="F93" t="s">
        <v>37</v>
      </c>
      <c r="G93" t="s">
        <v>38</v>
      </c>
      <c r="H93" t="s">
        <v>72</v>
      </c>
      <c r="I93" t="s">
        <v>249</v>
      </c>
      <c r="J93">
        <v>13</v>
      </c>
      <c r="K93" s="2">
        <v>4594.75</v>
      </c>
      <c r="L93">
        <v>0</v>
      </c>
      <c r="M93" s="2">
        <v>59731.75</v>
      </c>
      <c r="N93" s="2">
        <v>48375.86</v>
      </c>
      <c r="O93" s="2">
        <v>11355.89</v>
      </c>
      <c r="P93" t="s">
        <v>27</v>
      </c>
      <c r="Q93" t="s">
        <v>28</v>
      </c>
      <c r="R93" t="str">
        <f>TEXT(Table1[[#This Row],[Order Date]],"mmmm")</f>
        <v>September</v>
      </c>
      <c r="S93">
        <f>YEAR(Table1[[#This Row],[Order Date]])</f>
        <v>2025</v>
      </c>
    </row>
    <row r="94" spans="1:19" x14ac:dyDescent="0.3">
      <c r="A94" t="s">
        <v>250</v>
      </c>
      <c r="B94" s="1">
        <v>45974</v>
      </c>
      <c r="C94" t="s">
        <v>20</v>
      </c>
      <c r="D94" t="s">
        <v>21</v>
      </c>
      <c r="E94" t="s">
        <v>113</v>
      </c>
      <c r="F94" t="s">
        <v>31</v>
      </c>
      <c r="G94" t="s">
        <v>24</v>
      </c>
      <c r="H94" t="s">
        <v>56</v>
      </c>
      <c r="I94" t="s">
        <v>251</v>
      </c>
      <c r="J94">
        <v>14</v>
      </c>
      <c r="K94" s="2">
        <v>2012.93</v>
      </c>
      <c r="L94">
        <v>20</v>
      </c>
      <c r="M94" s="2">
        <v>22544.82</v>
      </c>
      <c r="N94" s="2">
        <v>13506.13</v>
      </c>
      <c r="O94" s="2">
        <v>9038.69</v>
      </c>
      <c r="P94" t="s">
        <v>41</v>
      </c>
      <c r="Q94" t="s">
        <v>49</v>
      </c>
      <c r="R94" t="str">
        <f>TEXT(Table1[[#This Row],[Order Date]],"mmmm")</f>
        <v>November</v>
      </c>
      <c r="S94">
        <f>YEAR(Table1[[#This Row],[Order Date]])</f>
        <v>2025</v>
      </c>
    </row>
    <row r="95" spans="1:19" x14ac:dyDescent="0.3">
      <c r="A95" t="s">
        <v>252</v>
      </c>
      <c r="B95" s="1">
        <v>45819</v>
      </c>
      <c r="C95" t="s">
        <v>70</v>
      </c>
      <c r="D95" t="s">
        <v>75</v>
      </c>
      <c r="E95" t="s">
        <v>22</v>
      </c>
      <c r="F95" t="s">
        <v>23</v>
      </c>
      <c r="G95" t="s">
        <v>45</v>
      </c>
      <c r="H95" t="s">
        <v>123</v>
      </c>
      <c r="I95" t="s">
        <v>253</v>
      </c>
      <c r="J95">
        <v>11</v>
      </c>
      <c r="K95" s="2">
        <v>533.29999999999995</v>
      </c>
      <c r="L95">
        <v>10</v>
      </c>
      <c r="M95" s="2">
        <v>5279.67</v>
      </c>
      <c r="N95" s="2">
        <v>3979.02</v>
      </c>
      <c r="O95" s="2">
        <v>1300.6500000000001</v>
      </c>
      <c r="P95" t="s">
        <v>27</v>
      </c>
      <c r="Q95" t="s">
        <v>42</v>
      </c>
      <c r="R95" t="str">
        <f>TEXT(Table1[[#This Row],[Order Date]],"mmmm")</f>
        <v>June</v>
      </c>
      <c r="S95">
        <f>YEAR(Table1[[#This Row],[Order Date]])</f>
        <v>2025</v>
      </c>
    </row>
    <row r="96" spans="1:19" x14ac:dyDescent="0.3">
      <c r="A96" t="s">
        <v>254</v>
      </c>
      <c r="B96" s="1">
        <v>46005</v>
      </c>
      <c r="C96" t="s">
        <v>86</v>
      </c>
      <c r="D96" t="s">
        <v>87</v>
      </c>
      <c r="E96" t="s">
        <v>120</v>
      </c>
      <c r="F96" t="s">
        <v>23</v>
      </c>
      <c r="G96" t="s">
        <v>24</v>
      </c>
      <c r="H96" t="s">
        <v>32</v>
      </c>
      <c r="I96" t="s">
        <v>255</v>
      </c>
      <c r="J96">
        <v>7</v>
      </c>
      <c r="K96" s="2">
        <v>883.19</v>
      </c>
      <c r="L96">
        <v>0</v>
      </c>
      <c r="M96" s="2">
        <v>6182.33</v>
      </c>
      <c r="N96" s="2">
        <v>4128.8599999999997</v>
      </c>
      <c r="O96" s="2">
        <v>2053.4699999999998</v>
      </c>
      <c r="P96" t="s">
        <v>41</v>
      </c>
      <c r="Q96" t="s">
        <v>49</v>
      </c>
      <c r="R96" t="str">
        <f>TEXT(Table1[[#This Row],[Order Date]],"mmmm")</f>
        <v>December</v>
      </c>
      <c r="S96">
        <f>YEAR(Table1[[#This Row],[Order Date]])</f>
        <v>2025</v>
      </c>
    </row>
    <row r="97" spans="1:19" x14ac:dyDescent="0.3">
      <c r="A97" t="s">
        <v>256</v>
      </c>
      <c r="B97" s="1">
        <v>46095</v>
      </c>
      <c r="C97" t="s">
        <v>35</v>
      </c>
      <c r="D97" t="s">
        <v>59</v>
      </c>
      <c r="E97" t="s">
        <v>66</v>
      </c>
      <c r="F97" t="s">
        <v>31</v>
      </c>
      <c r="G97" t="s">
        <v>45</v>
      </c>
      <c r="H97" t="s">
        <v>159</v>
      </c>
      <c r="I97" t="s">
        <v>257</v>
      </c>
      <c r="J97">
        <v>14</v>
      </c>
      <c r="K97" s="2">
        <v>2600.3200000000002</v>
      </c>
      <c r="L97">
        <v>15</v>
      </c>
      <c r="M97" s="2">
        <v>30943.81</v>
      </c>
      <c r="N97" s="2">
        <v>21475.3</v>
      </c>
      <c r="O97" s="2">
        <v>9468.51</v>
      </c>
      <c r="P97" t="s">
        <v>41</v>
      </c>
      <c r="Q97" t="s">
        <v>61</v>
      </c>
      <c r="R97" t="str">
        <f>TEXT(Table1[[#This Row],[Order Date]],"mmmm")</f>
        <v>March</v>
      </c>
      <c r="S97">
        <f>YEAR(Table1[[#This Row],[Order Date]])</f>
        <v>2026</v>
      </c>
    </row>
    <row r="98" spans="1:19" x14ac:dyDescent="0.3">
      <c r="A98" t="s">
        <v>258</v>
      </c>
      <c r="B98" s="1">
        <v>45684</v>
      </c>
      <c r="C98" t="s">
        <v>35</v>
      </c>
      <c r="D98" t="s">
        <v>59</v>
      </c>
      <c r="E98" t="s">
        <v>22</v>
      </c>
      <c r="F98" t="s">
        <v>23</v>
      </c>
      <c r="G98" t="s">
        <v>24</v>
      </c>
      <c r="H98" t="s">
        <v>56</v>
      </c>
      <c r="I98" t="s">
        <v>259</v>
      </c>
      <c r="J98">
        <v>6</v>
      </c>
      <c r="K98" s="2">
        <v>3885.14</v>
      </c>
      <c r="L98">
        <v>20</v>
      </c>
      <c r="M98" s="2">
        <v>18648.669999999998</v>
      </c>
      <c r="N98" s="2">
        <v>13015.15</v>
      </c>
      <c r="O98" s="2">
        <v>5633.52</v>
      </c>
      <c r="P98" t="s">
        <v>48</v>
      </c>
      <c r="Q98" t="s">
        <v>49</v>
      </c>
      <c r="R98" t="str">
        <f>TEXT(Table1[[#This Row],[Order Date]],"mmmm")</f>
        <v>January</v>
      </c>
      <c r="S98">
        <f>YEAR(Table1[[#This Row],[Order Date]])</f>
        <v>2025</v>
      </c>
    </row>
    <row r="99" spans="1:19" x14ac:dyDescent="0.3">
      <c r="A99" t="s">
        <v>260</v>
      </c>
      <c r="B99" s="1">
        <v>45784</v>
      </c>
      <c r="C99" t="s">
        <v>70</v>
      </c>
      <c r="D99" t="s">
        <v>71</v>
      </c>
      <c r="E99" t="s">
        <v>51</v>
      </c>
      <c r="F99" t="s">
        <v>31</v>
      </c>
      <c r="G99" t="s">
        <v>24</v>
      </c>
      <c r="H99" t="s">
        <v>56</v>
      </c>
      <c r="I99" t="s">
        <v>261</v>
      </c>
      <c r="J99">
        <v>3</v>
      </c>
      <c r="K99" s="2">
        <v>4537.88</v>
      </c>
      <c r="L99">
        <v>5</v>
      </c>
      <c r="M99" s="2">
        <v>12932.96</v>
      </c>
      <c r="N99" s="2">
        <v>7355.72</v>
      </c>
      <c r="O99" s="2">
        <v>5577.24</v>
      </c>
      <c r="P99" t="s">
        <v>48</v>
      </c>
      <c r="Q99" t="s">
        <v>61</v>
      </c>
      <c r="R99" t="str">
        <f>TEXT(Table1[[#This Row],[Order Date]],"mmmm")</f>
        <v>May</v>
      </c>
      <c r="S99">
        <f>YEAR(Table1[[#This Row],[Order Date]])</f>
        <v>2025</v>
      </c>
    </row>
    <row r="100" spans="1:19" x14ac:dyDescent="0.3">
      <c r="A100" t="s">
        <v>262</v>
      </c>
      <c r="B100" s="1">
        <v>45886</v>
      </c>
      <c r="C100" t="s">
        <v>70</v>
      </c>
      <c r="D100" t="s">
        <v>71</v>
      </c>
      <c r="E100" t="s">
        <v>66</v>
      </c>
      <c r="F100" t="s">
        <v>31</v>
      </c>
      <c r="G100" t="s">
        <v>24</v>
      </c>
      <c r="H100" t="s">
        <v>56</v>
      </c>
      <c r="I100" t="s">
        <v>263</v>
      </c>
      <c r="J100">
        <v>12</v>
      </c>
      <c r="K100" s="2">
        <v>3006.85</v>
      </c>
      <c r="L100">
        <v>5</v>
      </c>
      <c r="M100" s="2">
        <v>34278.089999999997</v>
      </c>
      <c r="N100" s="2">
        <v>23579.71</v>
      </c>
      <c r="O100" s="2">
        <v>10698.38</v>
      </c>
      <c r="P100" t="s">
        <v>27</v>
      </c>
      <c r="Q100" t="s">
        <v>42</v>
      </c>
      <c r="R100" t="str">
        <f>TEXT(Table1[[#This Row],[Order Date]],"mmmm")</f>
        <v>August</v>
      </c>
      <c r="S100">
        <f>YEAR(Table1[[#This Row],[Order Date]])</f>
        <v>2025</v>
      </c>
    </row>
    <row r="101" spans="1:19" x14ac:dyDescent="0.3">
      <c r="A101" t="s">
        <v>264</v>
      </c>
      <c r="B101" s="1">
        <v>46133</v>
      </c>
      <c r="C101" t="s">
        <v>70</v>
      </c>
      <c r="D101" t="s">
        <v>75</v>
      </c>
      <c r="E101" t="s">
        <v>170</v>
      </c>
      <c r="F101" t="s">
        <v>37</v>
      </c>
      <c r="G101" t="s">
        <v>24</v>
      </c>
      <c r="H101" t="s">
        <v>134</v>
      </c>
      <c r="I101" t="s">
        <v>265</v>
      </c>
      <c r="J101">
        <v>11</v>
      </c>
      <c r="K101" s="2">
        <v>4682.6499999999996</v>
      </c>
      <c r="L101">
        <v>10</v>
      </c>
      <c r="M101" s="2">
        <v>46358.23</v>
      </c>
      <c r="N101" s="2">
        <v>37986.6</v>
      </c>
      <c r="O101" s="2">
        <v>8371.6299999999992</v>
      </c>
      <c r="P101" t="s">
        <v>41</v>
      </c>
      <c r="Q101" t="s">
        <v>49</v>
      </c>
      <c r="R101" t="str">
        <f>TEXT(Table1[[#This Row],[Order Date]],"mmmm")</f>
        <v>April</v>
      </c>
      <c r="S101">
        <f>YEAR(Table1[[#This Row],[Order Date]])</f>
        <v>2026</v>
      </c>
    </row>
    <row r="102" spans="1:19" x14ac:dyDescent="0.3">
      <c r="A102" t="s">
        <v>266</v>
      </c>
      <c r="B102" s="1">
        <v>45871</v>
      </c>
      <c r="C102" t="s">
        <v>86</v>
      </c>
      <c r="D102" t="s">
        <v>87</v>
      </c>
      <c r="E102" t="s">
        <v>120</v>
      </c>
      <c r="F102" t="s">
        <v>37</v>
      </c>
      <c r="G102" t="s">
        <v>38</v>
      </c>
      <c r="H102" t="s">
        <v>39</v>
      </c>
      <c r="I102" t="s">
        <v>267</v>
      </c>
      <c r="J102">
        <v>3</v>
      </c>
      <c r="K102" s="2">
        <v>4560.08</v>
      </c>
      <c r="L102">
        <v>10</v>
      </c>
      <c r="M102" s="2">
        <v>12312.22</v>
      </c>
      <c r="N102" s="2">
        <v>8510.91</v>
      </c>
      <c r="O102" s="2">
        <v>3801.31</v>
      </c>
      <c r="P102" t="s">
        <v>41</v>
      </c>
      <c r="Q102" t="s">
        <v>49</v>
      </c>
      <c r="R102" t="str">
        <f>TEXT(Table1[[#This Row],[Order Date]],"mmmm")</f>
        <v>August</v>
      </c>
      <c r="S102">
        <f>YEAR(Table1[[#This Row],[Order Date]])</f>
        <v>2025</v>
      </c>
    </row>
    <row r="103" spans="1:19" x14ac:dyDescent="0.3">
      <c r="A103" t="s">
        <v>268</v>
      </c>
      <c r="B103" s="1">
        <v>45670</v>
      </c>
      <c r="C103" t="s">
        <v>35</v>
      </c>
      <c r="D103" t="s">
        <v>59</v>
      </c>
      <c r="E103" t="s">
        <v>30</v>
      </c>
      <c r="F103" t="s">
        <v>23</v>
      </c>
      <c r="G103" t="s">
        <v>24</v>
      </c>
      <c r="H103" t="s">
        <v>32</v>
      </c>
      <c r="I103" t="s">
        <v>269</v>
      </c>
      <c r="J103">
        <v>6</v>
      </c>
      <c r="K103" s="2">
        <v>4490.3999999999996</v>
      </c>
      <c r="L103">
        <v>5</v>
      </c>
      <c r="M103" s="2">
        <v>25595.279999999999</v>
      </c>
      <c r="N103" s="2">
        <v>16989.54</v>
      </c>
      <c r="O103" s="2">
        <v>8605.74</v>
      </c>
      <c r="P103" t="s">
        <v>41</v>
      </c>
      <c r="Q103" t="s">
        <v>28</v>
      </c>
      <c r="R103" t="str">
        <f>TEXT(Table1[[#This Row],[Order Date]],"mmmm")</f>
        <v>January</v>
      </c>
      <c r="S103">
        <f>YEAR(Table1[[#This Row],[Order Date]])</f>
        <v>2025</v>
      </c>
    </row>
    <row r="104" spans="1:19" x14ac:dyDescent="0.3">
      <c r="A104" t="s">
        <v>270</v>
      </c>
      <c r="B104" s="1">
        <v>45776</v>
      </c>
      <c r="C104" t="s">
        <v>86</v>
      </c>
      <c r="D104" t="s">
        <v>87</v>
      </c>
      <c r="E104" t="s">
        <v>44</v>
      </c>
      <c r="F104" t="s">
        <v>31</v>
      </c>
      <c r="G104" t="s">
        <v>38</v>
      </c>
      <c r="H104" t="s">
        <v>72</v>
      </c>
      <c r="I104" t="s">
        <v>271</v>
      </c>
      <c r="J104">
        <v>1</v>
      </c>
      <c r="K104" s="2">
        <v>2532.91</v>
      </c>
      <c r="L104">
        <v>0</v>
      </c>
      <c r="M104" s="2">
        <v>2532.91</v>
      </c>
      <c r="N104" s="2">
        <v>1959.38</v>
      </c>
      <c r="O104" s="2">
        <v>573.53</v>
      </c>
      <c r="P104" t="s">
        <v>41</v>
      </c>
      <c r="Q104" t="s">
        <v>61</v>
      </c>
      <c r="R104" t="str">
        <f>TEXT(Table1[[#This Row],[Order Date]],"mmmm")</f>
        <v>April</v>
      </c>
      <c r="S104">
        <f>YEAR(Table1[[#This Row],[Order Date]])</f>
        <v>2025</v>
      </c>
    </row>
    <row r="105" spans="1:19" x14ac:dyDescent="0.3">
      <c r="A105" t="s">
        <v>272</v>
      </c>
      <c r="B105" s="1">
        <v>46117</v>
      </c>
      <c r="C105" t="s">
        <v>70</v>
      </c>
      <c r="D105" t="s">
        <v>71</v>
      </c>
      <c r="E105" t="s">
        <v>22</v>
      </c>
      <c r="F105" t="s">
        <v>31</v>
      </c>
      <c r="G105" t="s">
        <v>24</v>
      </c>
      <c r="H105" t="s">
        <v>134</v>
      </c>
      <c r="I105" t="s">
        <v>273</v>
      </c>
      <c r="J105">
        <v>10</v>
      </c>
      <c r="K105" s="2">
        <v>1280.0899999999999</v>
      </c>
      <c r="L105">
        <v>10</v>
      </c>
      <c r="M105" s="2">
        <v>11520.81</v>
      </c>
      <c r="N105" s="2">
        <v>9250.34</v>
      </c>
      <c r="O105" s="2">
        <v>2270.4699999999998</v>
      </c>
      <c r="P105" t="s">
        <v>48</v>
      </c>
      <c r="Q105" t="s">
        <v>61</v>
      </c>
      <c r="R105" t="str">
        <f>TEXT(Table1[[#This Row],[Order Date]],"mmmm")</f>
        <v>April</v>
      </c>
      <c r="S105">
        <f>YEAR(Table1[[#This Row],[Order Date]])</f>
        <v>2026</v>
      </c>
    </row>
    <row r="106" spans="1:19" x14ac:dyDescent="0.3">
      <c r="A106" t="s">
        <v>274</v>
      </c>
      <c r="B106" s="1">
        <v>45843</v>
      </c>
      <c r="C106" t="s">
        <v>70</v>
      </c>
      <c r="D106" t="s">
        <v>71</v>
      </c>
      <c r="E106" t="s">
        <v>170</v>
      </c>
      <c r="F106" t="s">
        <v>23</v>
      </c>
      <c r="G106" t="s">
        <v>24</v>
      </c>
      <c r="H106" t="s">
        <v>32</v>
      </c>
      <c r="I106" t="s">
        <v>275</v>
      </c>
      <c r="J106">
        <v>5</v>
      </c>
      <c r="K106" s="2">
        <v>1986.61</v>
      </c>
      <c r="L106">
        <v>20</v>
      </c>
      <c r="M106" s="2">
        <v>7946.44</v>
      </c>
      <c r="N106" s="2">
        <v>5597.35</v>
      </c>
      <c r="O106" s="2">
        <v>2349.09</v>
      </c>
      <c r="P106" t="s">
        <v>48</v>
      </c>
      <c r="Q106" t="s">
        <v>42</v>
      </c>
      <c r="R106" t="str">
        <f>TEXT(Table1[[#This Row],[Order Date]],"mmmm")</f>
        <v>July</v>
      </c>
      <c r="S106">
        <f>YEAR(Table1[[#This Row],[Order Date]])</f>
        <v>2025</v>
      </c>
    </row>
    <row r="107" spans="1:19" x14ac:dyDescent="0.3">
      <c r="A107" t="s">
        <v>276</v>
      </c>
      <c r="B107" s="1">
        <v>45777</v>
      </c>
      <c r="C107" t="s">
        <v>70</v>
      </c>
      <c r="D107" t="s">
        <v>75</v>
      </c>
      <c r="E107" t="s">
        <v>22</v>
      </c>
      <c r="F107" t="s">
        <v>31</v>
      </c>
      <c r="G107" t="s">
        <v>24</v>
      </c>
      <c r="H107" t="s">
        <v>134</v>
      </c>
      <c r="I107" t="s">
        <v>277</v>
      </c>
      <c r="J107">
        <v>14</v>
      </c>
      <c r="K107" s="2">
        <v>3281.18</v>
      </c>
      <c r="L107">
        <v>15</v>
      </c>
      <c r="M107" s="2">
        <v>39046.04</v>
      </c>
      <c r="N107" s="2">
        <v>22324.65</v>
      </c>
      <c r="O107" s="2">
        <v>16721.39</v>
      </c>
      <c r="P107" t="s">
        <v>48</v>
      </c>
      <c r="Q107" t="s">
        <v>28</v>
      </c>
      <c r="R107" t="str">
        <f>TEXT(Table1[[#This Row],[Order Date]],"mmmm")</f>
        <v>April</v>
      </c>
      <c r="S107">
        <f>YEAR(Table1[[#This Row],[Order Date]])</f>
        <v>2025</v>
      </c>
    </row>
    <row r="108" spans="1:19" x14ac:dyDescent="0.3">
      <c r="A108" t="s">
        <v>278</v>
      </c>
      <c r="B108" s="1">
        <v>45980</v>
      </c>
      <c r="C108" t="s">
        <v>35</v>
      </c>
      <c r="D108" t="s">
        <v>59</v>
      </c>
      <c r="E108" t="s">
        <v>66</v>
      </c>
      <c r="F108" t="s">
        <v>31</v>
      </c>
      <c r="G108" t="s">
        <v>24</v>
      </c>
      <c r="H108" t="s">
        <v>32</v>
      </c>
      <c r="I108" t="s">
        <v>279</v>
      </c>
      <c r="J108">
        <v>3</v>
      </c>
      <c r="K108" s="2">
        <v>4617.83</v>
      </c>
      <c r="L108">
        <v>20</v>
      </c>
      <c r="M108" s="2">
        <v>11082.79</v>
      </c>
      <c r="N108" s="2">
        <v>8600.2800000000007</v>
      </c>
      <c r="O108" s="2">
        <v>2482.5100000000002</v>
      </c>
      <c r="P108" t="s">
        <v>27</v>
      </c>
      <c r="Q108" t="s">
        <v>28</v>
      </c>
      <c r="R108" t="str">
        <f>TEXT(Table1[[#This Row],[Order Date]],"mmmm")</f>
        <v>November</v>
      </c>
      <c r="S108">
        <f>YEAR(Table1[[#This Row],[Order Date]])</f>
        <v>2025</v>
      </c>
    </row>
    <row r="109" spans="1:19" x14ac:dyDescent="0.3">
      <c r="A109" t="s">
        <v>280</v>
      </c>
      <c r="B109" s="1">
        <v>45921</v>
      </c>
      <c r="C109" t="s">
        <v>86</v>
      </c>
      <c r="D109" t="s">
        <v>90</v>
      </c>
      <c r="E109" t="s">
        <v>51</v>
      </c>
      <c r="F109" t="s">
        <v>23</v>
      </c>
      <c r="G109" t="s">
        <v>45</v>
      </c>
      <c r="H109" t="s">
        <v>46</v>
      </c>
      <c r="I109" t="s">
        <v>281</v>
      </c>
      <c r="J109">
        <v>8</v>
      </c>
      <c r="K109" s="2">
        <v>3516.54</v>
      </c>
      <c r="L109">
        <v>15</v>
      </c>
      <c r="M109" s="2">
        <v>23912.47</v>
      </c>
      <c r="N109" s="2">
        <v>18499.509999999998</v>
      </c>
      <c r="O109" s="2">
        <v>5412.96</v>
      </c>
      <c r="P109" t="s">
        <v>41</v>
      </c>
      <c r="Q109" t="s">
        <v>42</v>
      </c>
      <c r="R109" t="str">
        <f>TEXT(Table1[[#This Row],[Order Date]],"mmmm")</f>
        <v>September</v>
      </c>
      <c r="S109">
        <f>YEAR(Table1[[#This Row],[Order Date]])</f>
        <v>2025</v>
      </c>
    </row>
    <row r="110" spans="1:19" x14ac:dyDescent="0.3">
      <c r="A110" t="s">
        <v>282</v>
      </c>
      <c r="B110" s="1">
        <v>45730</v>
      </c>
      <c r="C110" t="s">
        <v>86</v>
      </c>
      <c r="D110" t="s">
        <v>90</v>
      </c>
      <c r="E110" t="s">
        <v>51</v>
      </c>
      <c r="F110" t="s">
        <v>23</v>
      </c>
      <c r="G110" t="s">
        <v>24</v>
      </c>
      <c r="H110" t="s">
        <v>25</v>
      </c>
      <c r="I110" t="s">
        <v>283</v>
      </c>
      <c r="J110">
        <v>12</v>
      </c>
      <c r="K110" s="2">
        <v>4984.1000000000004</v>
      </c>
      <c r="L110">
        <v>20</v>
      </c>
      <c r="M110" s="2">
        <v>47847.360000000001</v>
      </c>
      <c r="N110" s="2">
        <v>38374.97</v>
      </c>
      <c r="O110" s="2">
        <v>9472.39</v>
      </c>
      <c r="P110" t="s">
        <v>41</v>
      </c>
      <c r="Q110" t="s">
        <v>61</v>
      </c>
      <c r="R110" t="str">
        <f>TEXT(Table1[[#This Row],[Order Date]],"mmmm")</f>
        <v>March</v>
      </c>
      <c r="S110">
        <f>YEAR(Table1[[#This Row],[Order Date]])</f>
        <v>2025</v>
      </c>
    </row>
    <row r="111" spans="1:19" x14ac:dyDescent="0.3">
      <c r="A111" t="s">
        <v>284</v>
      </c>
      <c r="B111" s="1">
        <v>45856</v>
      </c>
      <c r="C111" t="s">
        <v>70</v>
      </c>
      <c r="D111" t="s">
        <v>71</v>
      </c>
      <c r="E111" t="s">
        <v>170</v>
      </c>
      <c r="F111" t="s">
        <v>31</v>
      </c>
      <c r="G111" t="s">
        <v>24</v>
      </c>
      <c r="H111" t="s">
        <v>171</v>
      </c>
      <c r="I111" t="s">
        <v>285</v>
      </c>
      <c r="J111">
        <v>1</v>
      </c>
      <c r="K111" s="2">
        <v>4068.61</v>
      </c>
      <c r="L111">
        <v>5</v>
      </c>
      <c r="M111" s="2">
        <v>3865.18</v>
      </c>
      <c r="N111" s="2">
        <v>3092.24</v>
      </c>
      <c r="O111" s="2">
        <v>772.94</v>
      </c>
      <c r="P111" t="s">
        <v>41</v>
      </c>
      <c r="Q111" t="s">
        <v>28</v>
      </c>
      <c r="R111" t="str">
        <f>TEXT(Table1[[#This Row],[Order Date]],"mmmm")</f>
        <v>July</v>
      </c>
      <c r="S111">
        <f>YEAR(Table1[[#This Row],[Order Date]])</f>
        <v>2025</v>
      </c>
    </row>
    <row r="112" spans="1:19" x14ac:dyDescent="0.3">
      <c r="A112" t="s">
        <v>286</v>
      </c>
      <c r="B112" s="1">
        <v>46193</v>
      </c>
      <c r="C112" t="s">
        <v>70</v>
      </c>
      <c r="D112" t="s">
        <v>75</v>
      </c>
      <c r="E112" t="s">
        <v>44</v>
      </c>
      <c r="F112" t="s">
        <v>23</v>
      </c>
      <c r="G112" t="s">
        <v>38</v>
      </c>
      <c r="H112" t="s">
        <v>106</v>
      </c>
      <c r="I112" t="s">
        <v>287</v>
      </c>
      <c r="J112">
        <v>9</v>
      </c>
      <c r="K112" s="2">
        <v>1235.1199999999999</v>
      </c>
      <c r="L112">
        <v>0</v>
      </c>
      <c r="M112" s="2">
        <v>11116.08</v>
      </c>
      <c r="N112" s="2">
        <v>6273.97</v>
      </c>
      <c r="O112" s="2">
        <v>4842.1099999999997</v>
      </c>
      <c r="P112" t="s">
        <v>27</v>
      </c>
      <c r="Q112" t="s">
        <v>49</v>
      </c>
      <c r="R112" t="str">
        <f>TEXT(Table1[[#This Row],[Order Date]],"mmmm")</f>
        <v>June</v>
      </c>
      <c r="S112">
        <f>YEAR(Table1[[#This Row],[Order Date]])</f>
        <v>2026</v>
      </c>
    </row>
    <row r="113" spans="1:19" x14ac:dyDescent="0.3">
      <c r="A113" t="s">
        <v>288</v>
      </c>
      <c r="B113" s="1">
        <v>46058</v>
      </c>
      <c r="C113" t="s">
        <v>20</v>
      </c>
      <c r="D113" t="s">
        <v>21</v>
      </c>
      <c r="E113" t="s">
        <v>120</v>
      </c>
      <c r="F113" t="s">
        <v>23</v>
      </c>
      <c r="G113" t="s">
        <v>38</v>
      </c>
      <c r="H113" t="s">
        <v>39</v>
      </c>
      <c r="I113" t="s">
        <v>289</v>
      </c>
      <c r="J113">
        <v>8</v>
      </c>
      <c r="K113" s="2">
        <v>3557.37</v>
      </c>
      <c r="L113">
        <v>10</v>
      </c>
      <c r="M113" s="2">
        <v>25613.06</v>
      </c>
      <c r="N113" s="2">
        <v>18499.439999999999</v>
      </c>
      <c r="O113" s="2">
        <v>7113.62</v>
      </c>
      <c r="P113" t="s">
        <v>41</v>
      </c>
      <c r="Q113" t="s">
        <v>28</v>
      </c>
      <c r="R113" t="str">
        <f>TEXT(Table1[[#This Row],[Order Date]],"mmmm")</f>
        <v>February</v>
      </c>
      <c r="S113">
        <f>YEAR(Table1[[#This Row],[Order Date]])</f>
        <v>2026</v>
      </c>
    </row>
    <row r="114" spans="1:19" x14ac:dyDescent="0.3">
      <c r="A114" t="s">
        <v>290</v>
      </c>
      <c r="B114" s="1">
        <v>45699</v>
      </c>
      <c r="C114" t="s">
        <v>20</v>
      </c>
      <c r="D114" t="s">
        <v>21</v>
      </c>
      <c r="E114" t="s">
        <v>44</v>
      </c>
      <c r="F114" t="s">
        <v>37</v>
      </c>
      <c r="G114" t="s">
        <v>24</v>
      </c>
      <c r="H114" t="s">
        <v>56</v>
      </c>
      <c r="I114" t="s">
        <v>291</v>
      </c>
      <c r="J114">
        <v>9</v>
      </c>
      <c r="K114" s="2">
        <v>2213.2600000000002</v>
      </c>
      <c r="L114">
        <v>10</v>
      </c>
      <c r="M114" s="2">
        <v>17927.41</v>
      </c>
      <c r="N114" s="2">
        <v>10854.98</v>
      </c>
      <c r="O114" s="2">
        <v>7072.43</v>
      </c>
      <c r="P114" t="s">
        <v>27</v>
      </c>
      <c r="Q114" t="s">
        <v>28</v>
      </c>
      <c r="R114" t="str">
        <f>TEXT(Table1[[#This Row],[Order Date]],"mmmm")</f>
        <v>February</v>
      </c>
      <c r="S114">
        <f>YEAR(Table1[[#This Row],[Order Date]])</f>
        <v>2025</v>
      </c>
    </row>
    <row r="115" spans="1:19" x14ac:dyDescent="0.3">
      <c r="A115" t="s">
        <v>292</v>
      </c>
      <c r="B115" s="1">
        <v>45960</v>
      </c>
      <c r="C115" t="s">
        <v>20</v>
      </c>
      <c r="D115" t="s">
        <v>21</v>
      </c>
      <c r="E115" t="s">
        <v>30</v>
      </c>
      <c r="F115" t="s">
        <v>37</v>
      </c>
      <c r="G115" t="s">
        <v>45</v>
      </c>
      <c r="H115" t="s">
        <v>159</v>
      </c>
      <c r="I115" t="s">
        <v>293</v>
      </c>
      <c r="J115">
        <v>9</v>
      </c>
      <c r="K115" s="2">
        <v>3044.97</v>
      </c>
      <c r="L115">
        <v>0</v>
      </c>
      <c r="M115" s="2">
        <v>27404.73</v>
      </c>
      <c r="N115" s="2">
        <v>19067.82</v>
      </c>
      <c r="O115" s="2">
        <v>8336.91</v>
      </c>
      <c r="P115" t="s">
        <v>48</v>
      </c>
      <c r="Q115" t="s">
        <v>61</v>
      </c>
      <c r="R115" t="str">
        <f>TEXT(Table1[[#This Row],[Order Date]],"mmmm")</f>
        <v>October</v>
      </c>
      <c r="S115">
        <f>YEAR(Table1[[#This Row],[Order Date]])</f>
        <v>2025</v>
      </c>
    </row>
    <row r="116" spans="1:19" x14ac:dyDescent="0.3">
      <c r="A116" t="s">
        <v>294</v>
      </c>
      <c r="B116" s="1">
        <v>46193</v>
      </c>
      <c r="C116" t="s">
        <v>86</v>
      </c>
      <c r="D116" t="s">
        <v>90</v>
      </c>
      <c r="E116" t="s">
        <v>113</v>
      </c>
      <c r="F116" t="s">
        <v>23</v>
      </c>
      <c r="G116" t="s">
        <v>45</v>
      </c>
      <c r="H116" t="s">
        <v>123</v>
      </c>
      <c r="I116" t="s">
        <v>295</v>
      </c>
      <c r="J116">
        <v>12</v>
      </c>
      <c r="K116" s="2">
        <v>4017.05</v>
      </c>
      <c r="L116">
        <v>0</v>
      </c>
      <c r="M116" s="2">
        <v>48204.6</v>
      </c>
      <c r="N116" s="2">
        <v>30746.14</v>
      </c>
      <c r="O116" s="2">
        <v>17458.46</v>
      </c>
      <c r="P116" t="s">
        <v>41</v>
      </c>
      <c r="Q116" t="s">
        <v>61</v>
      </c>
      <c r="R116" t="str">
        <f>TEXT(Table1[[#This Row],[Order Date]],"mmmm")</f>
        <v>June</v>
      </c>
      <c r="S116">
        <f>YEAR(Table1[[#This Row],[Order Date]])</f>
        <v>2026</v>
      </c>
    </row>
    <row r="117" spans="1:19" x14ac:dyDescent="0.3">
      <c r="A117" t="s">
        <v>296</v>
      </c>
      <c r="B117" s="1">
        <v>46034</v>
      </c>
      <c r="C117" t="s">
        <v>20</v>
      </c>
      <c r="D117" t="s">
        <v>55</v>
      </c>
      <c r="E117" t="s">
        <v>120</v>
      </c>
      <c r="F117" t="s">
        <v>23</v>
      </c>
      <c r="G117" t="s">
        <v>45</v>
      </c>
      <c r="H117" t="s">
        <v>52</v>
      </c>
      <c r="I117" t="s">
        <v>297</v>
      </c>
      <c r="J117">
        <v>11</v>
      </c>
      <c r="K117" s="2">
        <v>3806.63</v>
      </c>
      <c r="L117">
        <v>10</v>
      </c>
      <c r="M117" s="2">
        <v>37685.64</v>
      </c>
      <c r="N117" s="2">
        <v>24193.1</v>
      </c>
      <c r="O117" s="2">
        <v>13492.54</v>
      </c>
      <c r="P117" t="s">
        <v>48</v>
      </c>
      <c r="Q117" t="s">
        <v>61</v>
      </c>
      <c r="R117" t="str">
        <f>TEXT(Table1[[#This Row],[Order Date]],"mmmm")</f>
        <v>January</v>
      </c>
      <c r="S117">
        <f>YEAR(Table1[[#This Row],[Order Date]])</f>
        <v>2026</v>
      </c>
    </row>
    <row r="118" spans="1:19" x14ac:dyDescent="0.3">
      <c r="A118" t="s">
        <v>298</v>
      </c>
      <c r="B118" s="1">
        <v>45774</v>
      </c>
      <c r="C118" t="s">
        <v>70</v>
      </c>
      <c r="D118" t="s">
        <v>71</v>
      </c>
      <c r="E118" t="s">
        <v>113</v>
      </c>
      <c r="F118" t="s">
        <v>37</v>
      </c>
      <c r="G118" t="s">
        <v>24</v>
      </c>
      <c r="H118" t="s">
        <v>134</v>
      </c>
      <c r="I118" t="s">
        <v>299</v>
      </c>
      <c r="J118">
        <v>3</v>
      </c>
      <c r="K118" s="2">
        <v>4679.6099999999997</v>
      </c>
      <c r="L118">
        <v>5</v>
      </c>
      <c r="M118" s="2">
        <v>13336.89</v>
      </c>
      <c r="N118" s="2">
        <v>8789.0400000000009</v>
      </c>
      <c r="O118" s="2">
        <v>4547.8500000000004</v>
      </c>
      <c r="P118" t="s">
        <v>27</v>
      </c>
      <c r="Q118" t="s">
        <v>28</v>
      </c>
      <c r="R118" t="str">
        <f>TEXT(Table1[[#This Row],[Order Date]],"mmmm")</f>
        <v>April</v>
      </c>
      <c r="S118">
        <f>YEAR(Table1[[#This Row],[Order Date]])</f>
        <v>2025</v>
      </c>
    </row>
    <row r="119" spans="1:19" x14ac:dyDescent="0.3">
      <c r="A119" t="s">
        <v>300</v>
      </c>
      <c r="B119" s="1">
        <v>45880</v>
      </c>
      <c r="C119" t="s">
        <v>70</v>
      </c>
      <c r="D119" t="s">
        <v>71</v>
      </c>
      <c r="E119" t="s">
        <v>22</v>
      </c>
      <c r="F119" t="s">
        <v>37</v>
      </c>
      <c r="G119" t="s">
        <v>45</v>
      </c>
      <c r="H119" t="s">
        <v>123</v>
      </c>
      <c r="I119" t="s">
        <v>301</v>
      </c>
      <c r="J119">
        <v>8</v>
      </c>
      <c r="K119" s="2">
        <v>4087.56</v>
      </c>
      <c r="L119">
        <v>15</v>
      </c>
      <c r="M119" s="2">
        <v>27795.41</v>
      </c>
      <c r="N119" s="2">
        <v>17025.099999999999</v>
      </c>
      <c r="O119" s="2">
        <v>10770.31</v>
      </c>
      <c r="P119" t="s">
        <v>48</v>
      </c>
      <c r="Q119" t="s">
        <v>49</v>
      </c>
      <c r="R119" t="str">
        <f>TEXT(Table1[[#This Row],[Order Date]],"mmmm")</f>
        <v>August</v>
      </c>
      <c r="S119">
        <f>YEAR(Table1[[#This Row],[Order Date]])</f>
        <v>2025</v>
      </c>
    </row>
    <row r="120" spans="1:19" x14ac:dyDescent="0.3">
      <c r="A120" t="s">
        <v>302</v>
      </c>
      <c r="B120" s="1">
        <v>45862</v>
      </c>
      <c r="C120" t="s">
        <v>86</v>
      </c>
      <c r="D120" t="s">
        <v>87</v>
      </c>
      <c r="E120" t="s">
        <v>120</v>
      </c>
      <c r="F120" t="s">
        <v>37</v>
      </c>
      <c r="G120" t="s">
        <v>24</v>
      </c>
      <c r="H120" t="s">
        <v>25</v>
      </c>
      <c r="I120" t="s">
        <v>303</v>
      </c>
      <c r="J120">
        <v>14</v>
      </c>
      <c r="K120" s="2">
        <v>215.44</v>
      </c>
      <c r="L120">
        <v>5</v>
      </c>
      <c r="M120" s="2">
        <v>2865.35</v>
      </c>
      <c r="N120" s="2">
        <v>2008.33</v>
      </c>
      <c r="O120" s="2">
        <v>857.02</v>
      </c>
      <c r="P120" t="s">
        <v>48</v>
      </c>
      <c r="Q120" t="s">
        <v>61</v>
      </c>
      <c r="R120" t="str">
        <f>TEXT(Table1[[#This Row],[Order Date]],"mmmm")</f>
        <v>July</v>
      </c>
      <c r="S120">
        <f>YEAR(Table1[[#This Row],[Order Date]])</f>
        <v>2025</v>
      </c>
    </row>
    <row r="121" spans="1:19" x14ac:dyDescent="0.3">
      <c r="A121" t="s">
        <v>304</v>
      </c>
      <c r="B121" s="1">
        <v>45745</v>
      </c>
      <c r="C121" t="s">
        <v>70</v>
      </c>
      <c r="D121" t="s">
        <v>75</v>
      </c>
      <c r="E121" t="s">
        <v>120</v>
      </c>
      <c r="F121" t="s">
        <v>23</v>
      </c>
      <c r="G121" t="s">
        <v>38</v>
      </c>
      <c r="H121" t="s">
        <v>63</v>
      </c>
      <c r="I121" t="s">
        <v>305</v>
      </c>
      <c r="J121">
        <v>14</v>
      </c>
      <c r="K121" s="2">
        <v>1875.57</v>
      </c>
      <c r="L121">
        <v>10</v>
      </c>
      <c r="M121" s="2">
        <v>23632.18</v>
      </c>
      <c r="N121" s="2">
        <v>17685.68</v>
      </c>
      <c r="O121" s="2">
        <v>5946.5</v>
      </c>
      <c r="P121" t="s">
        <v>48</v>
      </c>
      <c r="Q121" t="s">
        <v>49</v>
      </c>
      <c r="R121" t="str">
        <f>TEXT(Table1[[#This Row],[Order Date]],"mmmm")</f>
        <v>March</v>
      </c>
      <c r="S121">
        <f>YEAR(Table1[[#This Row],[Order Date]])</f>
        <v>2025</v>
      </c>
    </row>
    <row r="122" spans="1:19" x14ac:dyDescent="0.3">
      <c r="A122" t="s">
        <v>306</v>
      </c>
      <c r="B122" s="1">
        <v>46074</v>
      </c>
      <c r="C122" t="s">
        <v>20</v>
      </c>
      <c r="D122" t="s">
        <v>55</v>
      </c>
      <c r="E122" t="s">
        <v>113</v>
      </c>
      <c r="F122" t="s">
        <v>31</v>
      </c>
      <c r="G122" t="s">
        <v>24</v>
      </c>
      <c r="H122" t="s">
        <v>56</v>
      </c>
      <c r="I122" t="s">
        <v>307</v>
      </c>
      <c r="J122">
        <v>3</v>
      </c>
      <c r="K122" s="2">
        <v>3219.88</v>
      </c>
      <c r="L122">
        <v>10</v>
      </c>
      <c r="M122" s="2">
        <v>8693.68</v>
      </c>
      <c r="N122" s="2">
        <v>7006.69</v>
      </c>
      <c r="O122" s="2">
        <v>1686.99</v>
      </c>
      <c r="P122" t="s">
        <v>41</v>
      </c>
      <c r="Q122" t="s">
        <v>28</v>
      </c>
      <c r="R122" t="str">
        <f>TEXT(Table1[[#This Row],[Order Date]],"mmmm")</f>
        <v>February</v>
      </c>
      <c r="S122">
        <f>YEAR(Table1[[#This Row],[Order Date]])</f>
        <v>2026</v>
      </c>
    </row>
    <row r="123" spans="1:19" x14ac:dyDescent="0.3">
      <c r="A123" t="s">
        <v>308</v>
      </c>
      <c r="B123" s="1">
        <v>45911</v>
      </c>
      <c r="C123" t="s">
        <v>70</v>
      </c>
      <c r="D123" t="s">
        <v>71</v>
      </c>
      <c r="E123" t="s">
        <v>22</v>
      </c>
      <c r="F123" t="s">
        <v>31</v>
      </c>
      <c r="G123" t="s">
        <v>24</v>
      </c>
      <c r="H123" t="s">
        <v>134</v>
      </c>
      <c r="I123" t="s">
        <v>309</v>
      </c>
      <c r="J123">
        <v>1</v>
      </c>
      <c r="K123" s="2">
        <v>2730.16</v>
      </c>
      <c r="L123">
        <v>15</v>
      </c>
      <c r="M123" s="2">
        <v>2320.64</v>
      </c>
      <c r="N123" s="2">
        <v>1575.44</v>
      </c>
      <c r="O123" s="2">
        <v>745.2</v>
      </c>
      <c r="P123" t="s">
        <v>27</v>
      </c>
      <c r="Q123" t="s">
        <v>61</v>
      </c>
      <c r="R123" t="str">
        <f>TEXT(Table1[[#This Row],[Order Date]],"mmmm")</f>
        <v>September</v>
      </c>
      <c r="S123">
        <f>YEAR(Table1[[#This Row],[Order Date]])</f>
        <v>2025</v>
      </c>
    </row>
    <row r="124" spans="1:19" x14ac:dyDescent="0.3">
      <c r="A124" t="s">
        <v>310</v>
      </c>
      <c r="B124" s="1">
        <v>45839</v>
      </c>
      <c r="C124" t="s">
        <v>20</v>
      </c>
      <c r="D124" t="s">
        <v>21</v>
      </c>
      <c r="E124" t="s">
        <v>22</v>
      </c>
      <c r="F124" t="s">
        <v>37</v>
      </c>
      <c r="G124" t="s">
        <v>38</v>
      </c>
      <c r="H124" t="s">
        <v>63</v>
      </c>
      <c r="I124" t="s">
        <v>311</v>
      </c>
      <c r="J124">
        <v>9</v>
      </c>
      <c r="K124" s="2">
        <v>2886.52</v>
      </c>
      <c r="L124">
        <v>20</v>
      </c>
      <c r="M124" s="2">
        <v>20782.939999999999</v>
      </c>
      <c r="N124" s="2">
        <v>14752.04</v>
      </c>
      <c r="O124" s="2">
        <v>6030.9</v>
      </c>
      <c r="P124" t="s">
        <v>27</v>
      </c>
      <c r="Q124" t="s">
        <v>28</v>
      </c>
      <c r="R124" t="str">
        <f>TEXT(Table1[[#This Row],[Order Date]],"mmmm")</f>
        <v>July</v>
      </c>
      <c r="S124">
        <f>YEAR(Table1[[#This Row],[Order Date]])</f>
        <v>2025</v>
      </c>
    </row>
    <row r="125" spans="1:19" x14ac:dyDescent="0.3">
      <c r="A125" t="s">
        <v>312</v>
      </c>
      <c r="B125" s="1">
        <v>45830</v>
      </c>
      <c r="C125" t="s">
        <v>20</v>
      </c>
      <c r="D125" t="s">
        <v>55</v>
      </c>
      <c r="E125" t="s">
        <v>44</v>
      </c>
      <c r="F125" t="s">
        <v>37</v>
      </c>
      <c r="G125" t="s">
        <v>38</v>
      </c>
      <c r="H125" t="s">
        <v>106</v>
      </c>
      <c r="I125" t="s">
        <v>313</v>
      </c>
      <c r="J125">
        <v>9</v>
      </c>
      <c r="K125" s="2">
        <v>2813.54</v>
      </c>
      <c r="L125">
        <v>5</v>
      </c>
      <c r="M125" s="2">
        <v>24055.77</v>
      </c>
      <c r="N125" s="2">
        <v>16879.36</v>
      </c>
      <c r="O125" s="2">
        <v>7176.41</v>
      </c>
      <c r="P125" t="s">
        <v>48</v>
      </c>
      <c r="Q125" t="s">
        <v>61</v>
      </c>
      <c r="R125" t="str">
        <f>TEXT(Table1[[#This Row],[Order Date]],"mmmm")</f>
        <v>June</v>
      </c>
      <c r="S125">
        <f>YEAR(Table1[[#This Row],[Order Date]])</f>
        <v>2025</v>
      </c>
    </row>
    <row r="126" spans="1:19" x14ac:dyDescent="0.3">
      <c r="A126" t="s">
        <v>314</v>
      </c>
      <c r="B126" s="1">
        <v>45998</v>
      </c>
      <c r="C126" t="s">
        <v>35</v>
      </c>
      <c r="D126" t="s">
        <v>59</v>
      </c>
      <c r="E126" t="s">
        <v>120</v>
      </c>
      <c r="F126" t="s">
        <v>37</v>
      </c>
      <c r="G126" t="s">
        <v>38</v>
      </c>
      <c r="H126" t="s">
        <v>91</v>
      </c>
      <c r="I126" t="s">
        <v>315</v>
      </c>
      <c r="J126">
        <v>13</v>
      </c>
      <c r="K126" s="2">
        <v>2600.0700000000002</v>
      </c>
      <c r="L126">
        <v>15</v>
      </c>
      <c r="M126" s="2">
        <v>28730.77</v>
      </c>
      <c r="N126" s="2">
        <v>20362.86</v>
      </c>
      <c r="O126" s="2">
        <v>8367.91</v>
      </c>
      <c r="P126" t="s">
        <v>27</v>
      </c>
      <c r="Q126" t="s">
        <v>61</v>
      </c>
      <c r="R126" t="str">
        <f>TEXT(Table1[[#This Row],[Order Date]],"mmmm")</f>
        <v>December</v>
      </c>
      <c r="S126">
        <f>YEAR(Table1[[#This Row],[Order Date]])</f>
        <v>2025</v>
      </c>
    </row>
    <row r="127" spans="1:19" x14ac:dyDescent="0.3">
      <c r="A127" t="s">
        <v>316</v>
      </c>
      <c r="B127" s="1">
        <v>45809</v>
      </c>
      <c r="C127" t="s">
        <v>70</v>
      </c>
      <c r="D127" t="s">
        <v>71</v>
      </c>
      <c r="E127" t="s">
        <v>66</v>
      </c>
      <c r="F127" t="s">
        <v>31</v>
      </c>
      <c r="G127" t="s">
        <v>24</v>
      </c>
      <c r="H127" t="s">
        <v>25</v>
      </c>
      <c r="I127" t="s">
        <v>317</v>
      </c>
      <c r="J127">
        <v>7</v>
      </c>
      <c r="K127" s="2">
        <v>1324.83</v>
      </c>
      <c r="L127">
        <v>20</v>
      </c>
      <c r="M127" s="2">
        <v>7419.05</v>
      </c>
      <c r="N127" s="2">
        <v>4764.66</v>
      </c>
      <c r="O127" s="2">
        <v>2654.39</v>
      </c>
      <c r="P127" t="s">
        <v>41</v>
      </c>
      <c r="Q127" t="s">
        <v>49</v>
      </c>
      <c r="R127" t="str">
        <f>TEXT(Table1[[#This Row],[Order Date]],"mmmm")</f>
        <v>June</v>
      </c>
      <c r="S127">
        <f>YEAR(Table1[[#This Row],[Order Date]])</f>
        <v>2025</v>
      </c>
    </row>
    <row r="128" spans="1:19" x14ac:dyDescent="0.3">
      <c r="A128" t="s">
        <v>318</v>
      </c>
      <c r="B128" s="1">
        <v>46189</v>
      </c>
      <c r="C128" t="s">
        <v>70</v>
      </c>
      <c r="D128" t="s">
        <v>71</v>
      </c>
      <c r="E128" t="s">
        <v>66</v>
      </c>
      <c r="F128" t="s">
        <v>31</v>
      </c>
      <c r="G128" t="s">
        <v>38</v>
      </c>
      <c r="H128" t="s">
        <v>106</v>
      </c>
      <c r="I128" t="s">
        <v>319</v>
      </c>
      <c r="J128">
        <v>2</v>
      </c>
      <c r="K128" s="2">
        <v>3819.11</v>
      </c>
      <c r="L128">
        <v>20</v>
      </c>
      <c r="M128" s="2">
        <v>6110.58</v>
      </c>
      <c r="N128" s="2">
        <v>4579.93</v>
      </c>
      <c r="O128" s="2">
        <v>1530.65</v>
      </c>
      <c r="P128" t="s">
        <v>48</v>
      </c>
      <c r="Q128" t="s">
        <v>42</v>
      </c>
      <c r="R128" t="str">
        <f>TEXT(Table1[[#This Row],[Order Date]],"mmmm")</f>
        <v>June</v>
      </c>
      <c r="S128">
        <f>YEAR(Table1[[#This Row],[Order Date]])</f>
        <v>2026</v>
      </c>
    </row>
    <row r="129" spans="1:19" x14ac:dyDescent="0.3">
      <c r="A129" t="s">
        <v>320</v>
      </c>
      <c r="B129" s="1">
        <v>45784</v>
      </c>
      <c r="C129" t="s">
        <v>35</v>
      </c>
      <c r="D129" t="s">
        <v>36</v>
      </c>
      <c r="E129" t="s">
        <v>44</v>
      </c>
      <c r="F129" t="s">
        <v>23</v>
      </c>
      <c r="G129" t="s">
        <v>24</v>
      </c>
      <c r="H129" t="s">
        <v>25</v>
      </c>
      <c r="I129" t="s">
        <v>321</v>
      </c>
      <c r="J129">
        <v>2</v>
      </c>
      <c r="K129" s="2">
        <v>4465.8</v>
      </c>
      <c r="L129">
        <v>10</v>
      </c>
      <c r="M129" s="2">
        <v>8038.44</v>
      </c>
      <c r="N129" s="2">
        <v>6259.32</v>
      </c>
      <c r="O129" s="2">
        <v>1779.12</v>
      </c>
      <c r="P129" t="s">
        <v>48</v>
      </c>
      <c r="Q129" t="s">
        <v>42</v>
      </c>
      <c r="R129" t="str">
        <f>TEXT(Table1[[#This Row],[Order Date]],"mmmm")</f>
        <v>May</v>
      </c>
      <c r="S129">
        <f>YEAR(Table1[[#This Row],[Order Date]])</f>
        <v>2025</v>
      </c>
    </row>
    <row r="130" spans="1:19" x14ac:dyDescent="0.3">
      <c r="A130" t="s">
        <v>322</v>
      </c>
      <c r="B130" s="1">
        <v>45670</v>
      </c>
      <c r="C130" t="s">
        <v>70</v>
      </c>
      <c r="D130" t="s">
        <v>71</v>
      </c>
      <c r="E130" t="s">
        <v>44</v>
      </c>
      <c r="F130" t="s">
        <v>31</v>
      </c>
      <c r="G130" t="s">
        <v>24</v>
      </c>
      <c r="H130" t="s">
        <v>56</v>
      </c>
      <c r="I130" t="s">
        <v>323</v>
      </c>
      <c r="J130">
        <v>11</v>
      </c>
      <c r="K130" s="2">
        <v>4807.78</v>
      </c>
      <c r="L130">
        <v>5</v>
      </c>
      <c r="M130" s="2">
        <v>50241.3</v>
      </c>
      <c r="N130" s="2">
        <v>30910.07</v>
      </c>
      <c r="O130" s="2">
        <v>19331.23</v>
      </c>
      <c r="P130" t="s">
        <v>41</v>
      </c>
      <c r="Q130" t="s">
        <v>42</v>
      </c>
      <c r="R130" t="str">
        <f>TEXT(Table1[[#This Row],[Order Date]],"mmmm")</f>
        <v>January</v>
      </c>
      <c r="S130">
        <f>YEAR(Table1[[#This Row],[Order Date]])</f>
        <v>2025</v>
      </c>
    </row>
    <row r="131" spans="1:19" x14ac:dyDescent="0.3">
      <c r="A131" t="s">
        <v>324</v>
      </c>
      <c r="B131" s="1">
        <v>45913</v>
      </c>
      <c r="C131" t="s">
        <v>20</v>
      </c>
      <c r="D131" t="s">
        <v>55</v>
      </c>
      <c r="E131" t="s">
        <v>170</v>
      </c>
      <c r="F131" t="s">
        <v>37</v>
      </c>
      <c r="G131" t="s">
        <v>45</v>
      </c>
      <c r="H131" t="s">
        <v>52</v>
      </c>
      <c r="I131" t="s">
        <v>325</v>
      </c>
      <c r="J131">
        <v>13</v>
      </c>
      <c r="K131" s="2">
        <v>828.83</v>
      </c>
      <c r="L131">
        <v>20</v>
      </c>
      <c r="M131" s="2">
        <v>8619.83</v>
      </c>
      <c r="N131" s="2">
        <v>6196.76</v>
      </c>
      <c r="O131" s="2">
        <v>2423.0700000000002</v>
      </c>
      <c r="P131" t="s">
        <v>48</v>
      </c>
      <c r="Q131" t="s">
        <v>61</v>
      </c>
      <c r="R131" t="str">
        <f>TEXT(Table1[[#This Row],[Order Date]],"mmmm")</f>
        <v>September</v>
      </c>
      <c r="S131">
        <f>YEAR(Table1[[#This Row],[Order Date]])</f>
        <v>2025</v>
      </c>
    </row>
    <row r="132" spans="1:19" x14ac:dyDescent="0.3">
      <c r="A132" t="s">
        <v>326</v>
      </c>
      <c r="B132" s="1">
        <v>46189</v>
      </c>
      <c r="C132" t="s">
        <v>70</v>
      </c>
      <c r="D132" t="s">
        <v>75</v>
      </c>
      <c r="E132" t="s">
        <v>22</v>
      </c>
      <c r="F132" t="s">
        <v>23</v>
      </c>
      <c r="G132" t="s">
        <v>38</v>
      </c>
      <c r="H132" t="s">
        <v>63</v>
      </c>
      <c r="I132" t="s">
        <v>327</v>
      </c>
      <c r="J132">
        <v>1</v>
      </c>
      <c r="K132" s="2">
        <v>3968.2</v>
      </c>
      <c r="L132">
        <v>0</v>
      </c>
      <c r="M132" s="2">
        <v>3968.2</v>
      </c>
      <c r="N132" s="2">
        <v>2862.94</v>
      </c>
      <c r="O132" s="2">
        <v>1105.26</v>
      </c>
      <c r="P132" t="s">
        <v>41</v>
      </c>
      <c r="Q132" t="s">
        <v>42</v>
      </c>
      <c r="R132" t="str">
        <f>TEXT(Table1[[#This Row],[Order Date]],"mmmm")</f>
        <v>June</v>
      </c>
      <c r="S132">
        <f>YEAR(Table1[[#This Row],[Order Date]])</f>
        <v>2026</v>
      </c>
    </row>
    <row r="133" spans="1:19" x14ac:dyDescent="0.3">
      <c r="A133" t="s">
        <v>328</v>
      </c>
      <c r="B133" s="1">
        <v>46106</v>
      </c>
      <c r="C133" t="s">
        <v>20</v>
      </c>
      <c r="D133" t="s">
        <v>21</v>
      </c>
      <c r="E133" t="s">
        <v>44</v>
      </c>
      <c r="F133" t="s">
        <v>37</v>
      </c>
      <c r="G133" t="s">
        <v>38</v>
      </c>
      <c r="H133" t="s">
        <v>106</v>
      </c>
      <c r="I133" t="s">
        <v>329</v>
      </c>
      <c r="J133">
        <v>14</v>
      </c>
      <c r="K133" s="2">
        <v>1629.6</v>
      </c>
      <c r="L133">
        <v>0</v>
      </c>
      <c r="M133" s="2">
        <v>22814.400000000001</v>
      </c>
      <c r="N133" s="2">
        <v>18318.849999999999</v>
      </c>
      <c r="O133" s="2">
        <v>4495.55</v>
      </c>
      <c r="P133" t="s">
        <v>27</v>
      </c>
      <c r="Q133" t="s">
        <v>28</v>
      </c>
      <c r="R133" t="str">
        <f>TEXT(Table1[[#This Row],[Order Date]],"mmmm")</f>
        <v>March</v>
      </c>
      <c r="S133">
        <f>YEAR(Table1[[#This Row],[Order Date]])</f>
        <v>2026</v>
      </c>
    </row>
    <row r="134" spans="1:19" x14ac:dyDescent="0.3">
      <c r="A134" t="s">
        <v>330</v>
      </c>
      <c r="B134" s="1">
        <v>45711</v>
      </c>
      <c r="C134" t="s">
        <v>20</v>
      </c>
      <c r="D134" t="s">
        <v>55</v>
      </c>
      <c r="E134" t="s">
        <v>120</v>
      </c>
      <c r="F134" t="s">
        <v>23</v>
      </c>
      <c r="G134" t="s">
        <v>24</v>
      </c>
      <c r="H134" t="s">
        <v>25</v>
      </c>
      <c r="I134" t="s">
        <v>331</v>
      </c>
      <c r="J134">
        <v>11</v>
      </c>
      <c r="K134" s="2">
        <v>2062.66</v>
      </c>
      <c r="L134">
        <v>10</v>
      </c>
      <c r="M134" s="2">
        <v>20420.330000000002</v>
      </c>
      <c r="N134" s="2">
        <v>14799.22</v>
      </c>
      <c r="O134" s="2">
        <v>5621.11</v>
      </c>
      <c r="P134" t="s">
        <v>41</v>
      </c>
      <c r="Q134" t="s">
        <v>61</v>
      </c>
      <c r="R134" t="str">
        <f>TEXT(Table1[[#This Row],[Order Date]],"mmmm")</f>
        <v>February</v>
      </c>
      <c r="S134">
        <f>YEAR(Table1[[#This Row],[Order Date]])</f>
        <v>2025</v>
      </c>
    </row>
    <row r="135" spans="1:19" x14ac:dyDescent="0.3">
      <c r="A135" t="s">
        <v>332</v>
      </c>
      <c r="B135" s="1">
        <v>45722</v>
      </c>
      <c r="C135" t="s">
        <v>86</v>
      </c>
      <c r="D135" t="s">
        <v>90</v>
      </c>
      <c r="E135" t="s">
        <v>51</v>
      </c>
      <c r="F135" t="s">
        <v>23</v>
      </c>
      <c r="G135" t="s">
        <v>38</v>
      </c>
      <c r="H135" t="s">
        <v>39</v>
      </c>
      <c r="I135" t="s">
        <v>333</v>
      </c>
      <c r="J135">
        <v>5</v>
      </c>
      <c r="K135" s="2">
        <v>4909.21</v>
      </c>
      <c r="L135">
        <v>0</v>
      </c>
      <c r="M135" s="2">
        <v>24546.05</v>
      </c>
      <c r="N135" s="2">
        <v>14962.62</v>
      </c>
      <c r="O135" s="2">
        <v>9583.43</v>
      </c>
      <c r="P135" t="s">
        <v>41</v>
      </c>
      <c r="Q135" t="s">
        <v>28</v>
      </c>
      <c r="R135" t="str">
        <f>TEXT(Table1[[#This Row],[Order Date]],"mmmm")</f>
        <v>March</v>
      </c>
      <c r="S135">
        <f>YEAR(Table1[[#This Row],[Order Date]])</f>
        <v>2025</v>
      </c>
    </row>
    <row r="136" spans="1:19" x14ac:dyDescent="0.3">
      <c r="A136" t="s">
        <v>334</v>
      </c>
      <c r="B136" s="1">
        <v>45859</v>
      </c>
      <c r="C136" t="s">
        <v>35</v>
      </c>
      <c r="D136" t="s">
        <v>59</v>
      </c>
      <c r="E136" t="s">
        <v>22</v>
      </c>
      <c r="F136" t="s">
        <v>31</v>
      </c>
      <c r="G136" t="s">
        <v>38</v>
      </c>
      <c r="H136" t="s">
        <v>39</v>
      </c>
      <c r="I136" t="s">
        <v>335</v>
      </c>
      <c r="J136">
        <v>4</v>
      </c>
      <c r="K136" s="2">
        <v>4308.8500000000004</v>
      </c>
      <c r="L136">
        <v>0</v>
      </c>
      <c r="M136" s="2">
        <v>17235.400000000001</v>
      </c>
      <c r="N136" s="2">
        <v>10742.38</v>
      </c>
      <c r="O136" s="2">
        <v>6493.02</v>
      </c>
      <c r="P136" t="s">
        <v>48</v>
      </c>
      <c r="Q136" t="s">
        <v>61</v>
      </c>
      <c r="R136" t="str">
        <f>TEXT(Table1[[#This Row],[Order Date]],"mmmm")</f>
        <v>July</v>
      </c>
      <c r="S136">
        <f>YEAR(Table1[[#This Row],[Order Date]])</f>
        <v>2025</v>
      </c>
    </row>
    <row r="137" spans="1:19" x14ac:dyDescent="0.3">
      <c r="A137" t="s">
        <v>336</v>
      </c>
      <c r="B137" s="1">
        <v>45707</v>
      </c>
      <c r="C137" t="s">
        <v>70</v>
      </c>
      <c r="D137" t="s">
        <v>75</v>
      </c>
      <c r="E137" t="s">
        <v>120</v>
      </c>
      <c r="F137" t="s">
        <v>37</v>
      </c>
      <c r="G137" t="s">
        <v>38</v>
      </c>
      <c r="H137" t="s">
        <v>39</v>
      </c>
      <c r="I137" t="s">
        <v>337</v>
      </c>
      <c r="J137">
        <v>11</v>
      </c>
      <c r="K137" s="2">
        <v>1740.84</v>
      </c>
      <c r="L137">
        <v>5</v>
      </c>
      <c r="M137" s="2">
        <v>18191.78</v>
      </c>
      <c r="N137" s="2">
        <v>11287.73</v>
      </c>
      <c r="O137" s="2">
        <v>6904.05</v>
      </c>
      <c r="P137" t="s">
        <v>41</v>
      </c>
      <c r="Q137" t="s">
        <v>42</v>
      </c>
      <c r="R137" t="str">
        <f>TEXT(Table1[[#This Row],[Order Date]],"mmmm")</f>
        <v>February</v>
      </c>
      <c r="S137">
        <f>YEAR(Table1[[#This Row],[Order Date]])</f>
        <v>2025</v>
      </c>
    </row>
    <row r="138" spans="1:19" x14ac:dyDescent="0.3">
      <c r="A138" t="s">
        <v>338</v>
      </c>
      <c r="B138" s="1">
        <v>45957</v>
      </c>
      <c r="C138" t="s">
        <v>70</v>
      </c>
      <c r="D138" t="s">
        <v>75</v>
      </c>
      <c r="E138" t="s">
        <v>51</v>
      </c>
      <c r="F138" t="s">
        <v>37</v>
      </c>
      <c r="G138" t="s">
        <v>38</v>
      </c>
      <c r="H138" t="s">
        <v>106</v>
      </c>
      <c r="I138" t="s">
        <v>339</v>
      </c>
      <c r="J138">
        <v>6</v>
      </c>
      <c r="K138" s="2">
        <v>777.45</v>
      </c>
      <c r="L138">
        <v>20</v>
      </c>
      <c r="M138" s="2">
        <v>3731.76</v>
      </c>
      <c r="N138" s="2">
        <v>2496.71</v>
      </c>
      <c r="O138" s="2">
        <v>1235.05</v>
      </c>
      <c r="P138" t="s">
        <v>48</v>
      </c>
      <c r="Q138" t="s">
        <v>49</v>
      </c>
      <c r="R138" t="str">
        <f>TEXT(Table1[[#This Row],[Order Date]],"mmmm")</f>
        <v>October</v>
      </c>
      <c r="S138">
        <f>YEAR(Table1[[#This Row],[Order Date]])</f>
        <v>2025</v>
      </c>
    </row>
    <row r="139" spans="1:19" x14ac:dyDescent="0.3">
      <c r="A139" t="s">
        <v>340</v>
      </c>
      <c r="B139" s="1">
        <v>46146</v>
      </c>
      <c r="C139" t="s">
        <v>70</v>
      </c>
      <c r="D139" t="s">
        <v>71</v>
      </c>
      <c r="E139" t="s">
        <v>51</v>
      </c>
      <c r="F139" t="s">
        <v>37</v>
      </c>
      <c r="G139" t="s">
        <v>24</v>
      </c>
      <c r="H139" t="s">
        <v>56</v>
      </c>
      <c r="I139" t="s">
        <v>341</v>
      </c>
      <c r="J139">
        <v>1</v>
      </c>
      <c r="K139" s="2">
        <v>717.39</v>
      </c>
      <c r="L139">
        <v>0</v>
      </c>
      <c r="M139" s="2">
        <v>717.39</v>
      </c>
      <c r="N139" s="2">
        <v>543.52</v>
      </c>
      <c r="O139" s="2">
        <v>173.87</v>
      </c>
      <c r="P139" t="s">
        <v>27</v>
      </c>
      <c r="Q139" t="s">
        <v>28</v>
      </c>
      <c r="R139" t="str">
        <f>TEXT(Table1[[#This Row],[Order Date]],"mmmm")</f>
        <v>May</v>
      </c>
      <c r="S139">
        <f>YEAR(Table1[[#This Row],[Order Date]])</f>
        <v>2026</v>
      </c>
    </row>
    <row r="140" spans="1:19" x14ac:dyDescent="0.3">
      <c r="A140" t="s">
        <v>342</v>
      </c>
      <c r="B140" s="1">
        <v>46203</v>
      </c>
      <c r="C140" t="s">
        <v>86</v>
      </c>
      <c r="D140" t="s">
        <v>90</v>
      </c>
      <c r="E140" t="s">
        <v>120</v>
      </c>
      <c r="F140" t="s">
        <v>31</v>
      </c>
      <c r="G140" t="s">
        <v>45</v>
      </c>
      <c r="H140" t="s">
        <v>46</v>
      </c>
      <c r="I140" t="s">
        <v>343</v>
      </c>
      <c r="J140">
        <v>6</v>
      </c>
      <c r="K140" s="2">
        <v>2594.65</v>
      </c>
      <c r="L140">
        <v>15</v>
      </c>
      <c r="M140" s="2">
        <v>13232.72</v>
      </c>
      <c r="N140" s="2">
        <v>10671.61</v>
      </c>
      <c r="O140" s="2">
        <v>2561.11</v>
      </c>
      <c r="P140" t="s">
        <v>48</v>
      </c>
      <c r="Q140" t="s">
        <v>49</v>
      </c>
      <c r="R140" t="str">
        <f>TEXT(Table1[[#This Row],[Order Date]],"mmmm")</f>
        <v>June</v>
      </c>
      <c r="S140">
        <f>YEAR(Table1[[#This Row],[Order Date]])</f>
        <v>2026</v>
      </c>
    </row>
    <row r="141" spans="1:19" x14ac:dyDescent="0.3">
      <c r="A141" t="s">
        <v>344</v>
      </c>
      <c r="B141" s="1">
        <v>45921</v>
      </c>
      <c r="C141" t="s">
        <v>86</v>
      </c>
      <c r="D141" t="s">
        <v>87</v>
      </c>
      <c r="E141" t="s">
        <v>66</v>
      </c>
      <c r="F141" t="s">
        <v>23</v>
      </c>
      <c r="G141" t="s">
        <v>24</v>
      </c>
      <c r="H141" t="s">
        <v>32</v>
      </c>
      <c r="I141" t="s">
        <v>345</v>
      </c>
      <c r="J141">
        <v>3</v>
      </c>
      <c r="K141" s="2">
        <v>2171.81</v>
      </c>
      <c r="L141">
        <v>0</v>
      </c>
      <c r="M141" s="2">
        <v>6515.43</v>
      </c>
      <c r="N141" s="2">
        <v>3632.04</v>
      </c>
      <c r="O141" s="2">
        <v>2883.39</v>
      </c>
      <c r="P141" t="s">
        <v>48</v>
      </c>
      <c r="Q141" t="s">
        <v>42</v>
      </c>
      <c r="R141" t="str">
        <f>TEXT(Table1[[#This Row],[Order Date]],"mmmm")</f>
        <v>September</v>
      </c>
      <c r="S141">
        <f>YEAR(Table1[[#This Row],[Order Date]])</f>
        <v>2025</v>
      </c>
    </row>
    <row r="142" spans="1:19" x14ac:dyDescent="0.3">
      <c r="A142" t="s">
        <v>346</v>
      </c>
      <c r="B142" s="1">
        <v>45664</v>
      </c>
      <c r="C142" t="s">
        <v>70</v>
      </c>
      <c r="D142" t="s">
        <v>75</v>
      </c>
      <c r="E142" t="s">
        <v>66</v>
      </c>
      <c r="F142" t="s">
        <v>23</v>
      </c>
      <c r="G142" t="s">
        <v>45</v>
      </c>
      <c r="H142" t="s">
        <v>46</v>
      </c>
      <c r="I142" t="s">
        <v>347</v>
      </c>
      <c r="J142">
        <v>12</v>
      </c>
      <c r="K142" s="2">
        <v>524.91999999999996</v>
      </c>
      <c r="L142">
        <v>20</v>
      </c>
      <c r="M142" s="2">
        <v>5039.2299999999996</v>
      </c>
      <c r="N142" s="2">
        <v>3101.47</v>
      </c>
      <c r="O142" s="2">
        <v>1937.76</v>
      </c>
      <c r="P142" t="s">
        <v>27</v>
      </c>
      <c r="Q142" t="s">
        <v>61</v>
      </c>
      <c r="R142" t="str">
        <f>TEXT(Table1[[#This Row],[Order Date]],"mmmm")</f>
        <v>January</v>
      </c>
      <c r="S142">
        <f>YEAR(Table1[[#This Row],[Order Date]])</f>
        <v>2025</v>
      </c>
    </row>
    <row r="143" spans="1:19" x14ac:dyDescent="0.3">
      <c r="A143" t="s">
        <v>348</v>
      </c>
      <c r="B143" s="1">
        <v>45857</v>
      </c>
      <c r="C143" t="s">
        <v>70</v>
      </c>
      <c r="D143" t="s">
        <v>75</v>
      </c>
      <c r="E143" t="s">
        <v>113</v>
      </c>
      <c r="F143" t="s">
        <v>23</v>
      </c>
      <c r="G143" t="s">
        <v>45</v>
      </c>
      <c r="H143" t="s">
        <v>52</v>
      </c>
      <c r="I143" t="s">
        <v>349</v>
      </c>
      <c r="J143">
        <v>4</v>
      </c>
      <c r="K143" s="2">
        <v>4719.3500000000004</v>
      </c>
      <c r="L143">
        <v>0</v>
      </c>
      <c r="M143" s="2">
        <v>18877.400000000001</v>
      </c>
      <c r="N143" s="2">
        <v>11835.43</v>
      </c>
      <c r="O143" s="2">
        <v>7041.97</v>
      </c>
      <c r="P143" t="s">
        <v>48</v>
      </c>
      <c r="Q143" t="s">
        <v>49</v>
      </c>
      <c r="R143" t="str">
        <f>TEXT(Table1[[#This Row],[Order Date]],"mmmm")</f>
        <v>July</v>
      </c>
      <c r="S143">
        <f>YEAR(Table1[[#This Row],[Order Date]])</f>
        <v>2025</v>
      </c>
    </row>
    <row r="144" spans="1:19" x14ac:dyDescent="0.3">
      <c r="A144" t="s">
        <v>350</v>
      </c>
      <c r="B144" s="1">
        <v>45666</v>
      </c>
      <c r="C144" t="s">
        <v>70</v>
      </c>
      <c r="D144" t="s">
        <v>75</v>
      </c>
      <c r="E144" t="s">
        <v>120</v>
      </c>
      <c r="F144" t="s">
        <v>37</v>
      </c>
      <c r="G144" t="s">
        <v>45</v>
      </c>
      <c r="H144" t="s">
        <v>52</v>
      </c>
      <c r="I144" t="s">
        <v>351</v>
      </c>
      <c r="J144">
        <v>9</v>
      </c>
      <c r="K144" s="2">
        <v>601.32000000000005</v>
      </c>
      <c r="L144">
        <v>20</v>
      </c>
      <c r="M144" s="2">
        <v>4329.5</v>
      </c>
      <c r="N144" s="2">
        <v>3546.1</v>
      </c>
      <c r="O144" s="2">
        <v>783.4</v>
      </c>
      <c r="P144" t="s">
        <v>27</v>
      </c>
      <c r="Q144" t="s">
        <v>42</v>
      </c>
      <c r="R144" t="str">
        <f>TEXT(Table1[[#This Row],[Order Date]],"mmmm")</f>
        <v>January</v>
      </c>
      <c r="S144">
        <f>YEAR(Table1[[#This Row],[Order Date]])</f>
        <v>2025</v>
      </c>
    </row>
    <row r="145" spans="1:19" x14ac:dyDescent="0.3">
      <c r="A145" t="s">
        <v>352</v>
      </c>
      <c r="B145" s="1">
        <v>45999</v>
      </c>
      <c r="C145" t="s">
        <v>35</v>
      </c>
      <c r="D145" t="s">
        <v>59</v>
      </c>
      <c r="E145" t="s">
        <v>51</v>
      </c>
      <c r="F145" t="s">
        <v>37</v>
      </c>
      <c r="G145" t="s">
        <v>24</v>
      </c>
      <c r="H145" t="s">
        <v>56</v>
      </c>
      <c r="I145" t="s">
        <v>353</v>
      </c>
      <c r="J145">
        <v>12</v>
      </c>
      <c r="K145" s="2">
        <v>1021.93</v>
      </c>
      <c r="L145">
        <v>0</v>
      </c>
      <c r="M145" s="2">
        <v>12263.16</v>
      </c>
      <c r="N145" s="2">
        <v>9002.48</v>
      </c>
      <c r="O145" s="2">
        <v>3260.68</v>
      </c>
      <c r="P145" t="s">
        <v>41</v>
      </c>
      <c r="Q145" t="s">
        <v>42</v>
      </c>
      <c r="R145" t="str">
        <f>TEXT(Table1[[#This Row],[Order Date]],"mmmm")</f>
        <v>December</v>
      </c>
      <c r="S145">
        <f>YEAR(Table1[[#This Row],[Order Date]])</f>
        <v>2025</v>
      </c>
    </row>
    <row r="146" spans="1:19" x14ac:dyDescent="0.3">
      <c r="A146" t="s">
        <v>354</v>
      </c>
      <c r="B146" s="1">
        <v>46001</v>
      </c>
      <c r="C146" t="s">
        <v>35</v>
      </c>
      <c r="D146" t="s">
        <v>59</v>
      </c>
      <c r="E146" t="s">
        <v>22</v>
      </c>
      <c r="F146" t="s">
        <v>37</v>
      </c>
      <c r="G146" t="s">
        <v>45</v>
      </c>
      <c r="H146" t="s">
        <v>46</v>
      </c>
      <c r="I146" t="s">
        <v>355</v>
      </c>
      <c r="J146">
        <v>8</v>
      </c>
      <c r="K146" s="2">
        <v>634.79</v>
      </c>
      <c r="L146">
        <v>15</v>
      </c>
      <c r="M146" s="2">
        <v>4316.57</v>
      </c>
      <c r="N146" s="2">
        <v>3090.1</v>
      </c>
      <c r="O146" s="2">
        <v>1226.47</v>
      </c>
      <c r="P146" t="s">
        <v>48</v>
      </c>
      <c r="Q146" t="s">
        <v>28</v>
      </c>
      <c r="R146" t="str">
        <f>TEXT(Table1[[#This Row],[Order Date]],"mmmm")</f>
        <v>December</v>
      </c>
      <c r="S146">
        <f>YEAR(Table1[[#This Row],[Order Date]])</f>
        <v>2025</v>
      </c>
    </row>
    <row r="147" spans="1:19" x14ac:dyDescent="0.3">
      <c r="A147" t="s">
        <v>356</v>
      </c>
      <c r="B147" s="1">
        <v>46139</v>
      </c>
      <c r="C147" t="s">
        <v>35</v>
      </c>
      <c r="D147" t="s">
        <v>59</v>
      </c>
      <c r="E147" t="s">
        <v>30</v>
      </c>
      <c r="F147" t="s">
        <v>37</v>
      </c>
      <c r="G147" t="s">
        <v>45</v>
      </c>
      <c r="H147" t="s">
        <v>159</v>
      </c>
      <c r="I147" t="s">
        <v>357</v>
      </c>
      <c r="J147">
        <v>9</v>
      </c>
      <c r="K147" s="2">
        <v>2272.3200000000002</v>
      </c>
      <c r="L147">
        <v>20</v>
      </c>
      <c r="M147" s="2">
        <v>16360.7</v>
      </c>
      <c r="N147" s="2">
        <v>13100.48</v>
      </c>
      <c r="O147" s="2">
        <v>3260.22</v>
      </c>
      <c r="P147" t="s">
        <v>41</v>
      </c>
      <c r="Q147" t="s">
        <v>49</v>
      </c>
      <c r="R147" t="str">
        <f>TEXT(Table1[[#This Row],[Order Date]],"mmmm")</f>
        <v>April</v>
      </c>
      <c r="S147">
        <f>YEAR(Table1[[#This Row],[Order Date]])</f>
        <v>2026</v>
      </c>
    </row>
    <row r="148" spans="1:19" x14ac:dyDescent="0.3">
      <c r="A148" t="s">
        <v>358</v>
      </c>
      <c r="B148" s="1">
        <v>45985</v>
      </c>
      <c r="C148" t="s">
        <v>70</v>
      </c>
      <c r="D148" t="s">
        <v>75</v>
      </c>
      <c r="E148" t="s">
        <v>66</v>
      </c>
      <c r="F148" t="s">
        <v>31</v>
      </c>
      <c r="G148" t="s">
        <v>45</v>
      </c>
      <c r="H148" t="s">
        <v>46</v>
      </c>
      <c r="I148" t="s">
        <v>359</v>
      </c>
      <c r="J148">
        <v>10</v>
      </c>
      <c r="K148" s="2">
        <v>3232.72</v>
      </c>
      <c r="L148">
        <v>15</v>
      </c>
      <c r="M148" s="2">
        <v>27478.12</v>
      </c>
      <c r="N148" s="2">
        <v>15986.37</v>
      </c>
      <c r="O148" s="2">
        <v>11491.75</v>
      </c>
      <c r="P148" t="s">
        <v>41</v>
      </c>
      <c r="Q148" t="s">
        <v>28</v>
      </c>
      <c r="R148" t="str">
        <f>TEXT(Table1[[#This Row],[Order Date]],"mmmm")</f>
        <v>November</v>
      </c>
      <c r="S148">
        <f>YEAR(Table1[[#This Row],[Order Date]])</f>
        <v>2025</v>
      </c>
    </row>
    <row r="149" spans="1:19" x14ac:dyDescent="0.3">
      <c r="A149" t="s">
        <v>360</v>
      </c>
      <c r="B149" s="1">
        <v>45745</v>
      </c>
      <c r="C149" t="s">
        <v>20</v>
      </c>
      <c r="D149" t="s">
        <v>55</v>
      </c>
      <c r="E149" t="s">
        <v>44</v>
      </c>
      <c r="F149" t="s">
        <v>23</v>
      </c>
      <c r="G149" t="s">
        <v>45</v>
      </c>
      <c r="H149" t="s">
        <v>67</v>
      </c>
      <c r="I149" t="s">
        <v>361</v>
      </c>
      <c r="J149">
        <v>12</v>
      </c>
      <c r="K149" s="2">
        <v>1952.16</v>
      </c>
      <c r="L149">
        <v>10</v>
      </c>
      <c r="M149" s="2">
        <v>21083.33</v>
      </c>
      <c r="N149" s="2">
        <v>14344.43</v>
      </c>
      <c r="O149" s="2">
        <v>6738.9</v>
      </c>
      <c r="P149" t="s">
        <v>41</v>
      </c>
      <c r="Q149" t="s">
        <v>61</v>
      </c>
      <c r="R149" t="str">
        <f>TEXT(Table1[[#This Row],[Order Date]],"mmmm")</f>
        <v>March</v>
      </c>
      <c r="S149">
        <f>YEAR(Table1[[#This Row],[Order Date]])</f>
        <v>2025</v>
      </c>
    </row>
    <row r="150" spans="1:19" x14ac:dyDescent="0.3">
      <c r="A150" t="s">
        <v>362</v>
      </c>
      <c r="B150" s="1">
        <v>45918</v>
      </c>
      <c r="C150" t="s">
        <v>70</v>
      </c>
      <c r="D150" t="s">
        <v>71</v>
      </c>
      <c r="E150" t="s">
        <v>44</v>
      </c>
      <c r="F150" t="s">
        <v>37</v>
      </c>
      <c r="G150" t="s">
        <v>24</v>
      </c>
      <c r="H150" t="s">
        <v>56</v>
      </c>
      <c r="I150" t="s">
        <v>363</v>
      </c>
      <c r="J150">
        <v>3</v>
      </c>
      <c r="K150" s="2">
        <v>3780.69</v>
      </c>
      <c r="L150">
        <v>5</v>
      </c>
      <c r="M150" s="2">
        <v>10774.97</v>
      </c>
      <c r="N150" s="2">
        <v>8254.61</v>
      </c>
      <c r="O150" s="2">
        <v>2520.36</v>
      </c>
      <c r="P150" t="s">
        <v>48</v>
      </c>
      <c r="Q150" t="s">
        <v>61</v>
      </c>
      <c r="R150" t="str">
        <f>TEXT(Table1[[#This Row],[Order Date]],"mmmm")</f>
        <v>September</v>
      </c>
      <c r="S150">
        <f>YEAR(Table1[[#This Row],[Order Date]])</f>
        <v>2025</v>
      </c>
    </row>
    <row r="151" spans="1:19" x14ac:dyDescent="0.3">
      <c r="A151" t="s">
        <v>364</v>
      </c>
      <c r="B151" s="1">
        <v>45824</v>
      </c>
      <c r="C151" t="s">
        <v>86</v>
      </c>
      <c r="D151" t="s">
        <v>87</v>
      </c>
      <c r="E151" t="s">
        <v>170</v>
      </c>
      <c r="F151" t="s">
        <v>23</v>
      </c>
      <c r="G151" t="s">
        <v>24</v>
      </c>
      <c r="H151" t="s">
        <v>25</v>
      </c>
      <c r="I151" t="s">
        <v>365</v>
      </c>
      <c r="J151">
        <v>5</v>
      </c>
      <c r="K151" s="2">
        <v>2198.65</v>
      </c>
      <c r="L151">
        <v>20</v>
      </c>
      <c r="M151" s="2">
        <v>8794.6</v>
      </c>
      <c r="N151" s="2">
        <v>6234.97</v>
      </c>
      <c r="O151" s="2">
        <v>2559.63</v>
      </c>
      <c r="P151" t="s">
        <v>48</v>
      </c>
      <c r="Q151" t="s">
        <v>42</v>
      </c>
      <c r="R151" t="str">
        <f>TEXT(Table1[[#This Row],[Order Date]],"mmmm")</f>
        <v>June</v>
      </c>
      <c r="S151">
        <f>YEAR(Table1[[#This Row],[Order Date]])</f>
        <v>2025</v>
      </c>
    </row>
    <row r="152" spans="1:19" x14ac:dyDescent="0.3">
      <c r="A152" t="s">
        <v>366</v>
      </c>
      <c r="B152" s="1">
        <v>45896</v>
      </c>
      <c r="C152" t="s">
        <v>70</v>
      </c>
      <c r="D152" t="s">
        <v>71</v>
      </c>
      <c r="E152" t="s">
        <v>170</v>
      </c>
      <c r="F152" t="s">
        <v>23</v>
      </c>
      <c r="G152" t="s">
        <v>45</v>
      </c>
      <c r="H152" t="s">
        <v>46</v>
      </c>
      <c r="I152" t="s">
        <v>367</v>
      </c>
      <c r="J152">
        <v>4</v>
      </c>
      <c r="K152" s="2">
        <v>3545.41</v>
      </c>
      <c r="L152">
        <v>15</v>
      </c>
      <c r="M152" s="2">
        <v>12054.39</v>
      </c>
      <c r="N152" s="2">
        <v>9217.5300000000007</v>
      </c>
      <c r="O152" s="2">
        <v>2836.86</v>
      </c>
      <c r="P152" t="s">
        <v>48</v>
      </c>
      <c r="Q152" t="s">
        <v>42</v>
      </c>
      <c r="R152" t="str">
        <f>TEXT(Table1[[#This Row],[Order Date]],"mmmm")</f>
        <v>August</v>
      </c>
      <c r="S152">
        <f>YEAR(Table1[[#This Row],[Order Date]])</f>
        <v>2025</v>
      </c>
    </row>
    <row r="153" spans="1:19" x14ac:dyDescent="0.3">
      <c r="A153" t="s">
        <v>368</v>
      </c>
      <c r="B153" s="1">
        <v>46197</v>
      </c>
      <c r="C153" t="s">
        <v>70</v>
      </c>
      <c r="D153" t="s">
        <v>75</v>
      </c>
      <c r="E153" t="s">
        <v>44</v>
      </c>
      <c r="F153" t="s">
        <v>23</v>
      </c>
      <c r="G153" t="s">
        <v>38</v>
      </c>
      <c r="H153" t="s">
        <v>39</v>
      </c>
      <c r="I153" t="s">
        <v>369</v>
      </c>
      <c r="J153">
        <v>12</v>
      </c>
      <c r="K153" s="2">
        <v>2942.6</v>
      </c>
      <c r="L153">
        <v>20</v>
      </c>
      <c r="M153" s="2">
        <v>28248.959999999999</v>
      </c>
      <c r="N153" s="2">
        <v>16195.03</v>
      </c>
      <c r="O153" s="2">
        <v>12053.93</v>
      </c>
      <c r="P153" t="s">
        <v>41</v>
      </c>
      <c r="Q153" t="s">
        <v>49</v>
      </c>
      <c r="R153" t="str">
        <f>TEXT(Table1[[#This Row],[Order Date]],"mmmm")</f>
        <v>June</v>
      </c>
      <c r="S153">
        <f>YEAR(Table1[[#This Row],[Order Date]])</f>
        <v>2026</v>
      </c>
    </row>
    <row r="154" spans="1:19" x14ac:dyDescent="0.3">
      <c r="A154" t="s">
        <v>370</v>
      </c>
      <c r="B154" s="1">
        <v>45734</v>
      </c>
      <c r="C154" t="s">
        <v>70</v>
      </c>
      <c r="D154" t="s">
        <v>71</v>
      </c>
      <c r="E154" t="s">
        <v>22</v>
      </c>
      <c r="F154" t="s">
        <v>37</v>
      </c>
      <c r="G154" t="s">
        <v>45</v>
      </c>
      <c r="H154" t="s">
        <v>123</v>
      </c>
      <c r="I154" t="s">
        <v>371</v>
      </c>
      <c r="J154">
        <v>9</v>
      </c>
      <c r="K154" s="2">
        <v>3972.82</v>
      </c>
      <c r="L154">
        <v>0</v>
      </c>
      <c r="M154" s="2">
        <v>35755.379999999997</v>
      </c>
      <c r="N154" s="2">
        <v>22124.31</v>
      </c>
      <c r="O154" s="2">
        <v>13631.07</v>
      </c>
      <c r="P154" t="s">
        <v>41</v>
      </c>
      <c r="Q154" t="s">
        <v>28</v>
      </c>
      <c r="R154" t="str">
        <f>TEXT(Table1[[#This Row],[Order Date]],"mmmm")</f>
        <v>March</v>
      </c>
      <c r="S154">
        <f>YEAR(Table1[[#This Row],[Order Date]])</f>
        <v>2025</v>
      </c>
    </row>
    <row r="155" spans="1:19" x14ac:dyDescent="0.3">
      <c r="A155" t="s">
        <v>372</v>
      </c>
      <c r="B155" s="1">
        <v>45812</v>
      </c>
      <c r="C155" t="s">
        <v>70</v>
      </c>
      <c r="D155" t="s">
        <v>75</v>
      </c>
      <c r="E155" t="s">
        <v>22</v>
      </c>
      <c r="F155" t="s">
        <v>23</v>
      </c>
      <c r="G155" t="s">
        <v>45</v>
      </c>
      <c r="H155" t="s">
        <v>46</v>
      </c>
      <c r="I155" t="s">
        <v>373</v>
      </c>
      <c r="J155">
        <v>13</v>
      </c>
      <c r="K155" s="2">
        <v>1506.48</v>
      </c>
      <c r="L155">
        <v>20</v>
      </c>
      <c r="M155" s="2">
        <v>15667.39</v>
      </c>
      <c r="N155" s="2">
        <v>9163.7000000000007</v>
      </c>
      <c r="O155" s="2">
        <v>6503.69</v>
      </c>
      <c r="P155" t="s">
        <v>41</v>
      </c>
      <c r="Q155" t="s">
        <v>28</v>
      </c>
      <c r="R155" t="str">
        <f>TEXT(Table1[[#This Row],[Order Date]],"mmmm")</f>
        <v>June</v>
      </c>
      <c r="S155">
        <f>YEAR(Table1[[#This Row],[Order Date]])</f>
        <v>2025</v>
      </c>
    </row>
    <row r="156" spans="1:19" x14ac:dyDescent="0.3">
      <c r="A156" t="s">
        <v>374</v>
      </c>
      <c r="B156" s="1">
        <v>46190</v>
      </c>
      <c r="C156" t="s">
        <v>70</v>
      </c>
      <c r="D156" t="s">
        <v>71</v>
      </c>
      <c r="E156" t="s">
        <v>120</v>
      </c>
      <c r="F156" t="s">
        <v>37</v>
      </c>
      <c r="G156" t="s">
        <v>24</v>
      </c>
      <c r="H156" t="s">
        <v>134</v>
      </c>
      <c r="I156" t="s">
        <v>375</v>
      </c>
      <c r="J156">
        <v>13</v>
      </c>
      <c r="K156" s="2">
        <v>3829.87</v>
      </c>
      <c r="L156">
        <v>5</v>
      </c>
      <c r="M156" s="2">
        <v>47298.89</v>
      </c>
      <c r="N156" s="2">
        <v>34387.03</v>
      </c>
      <c r="O156" s="2">
        <v>12911.86</v>
      </c>
      <c r="P156" t="s">
        <v>48</v>
      </c>
      <c r="Q156" t="s">
        <v>42</v>
      </c>
      <c r="R156" t="str">
        <f>TEXT(Table1[[#This Row],[Order Date]],"mmmm")</f>
        <v>June</v>
      </c>
      <c r="S156">
        <f>YEAR(Table1[[#This Row],[Order Date]])</f>
        <v>2026</v>
      </c>
    </row>
    <row r="157" spans="1:19" x14ac:dyDescent="0.3">
      <c r="A157" t="s">
        <v>376</v>
      </c>
      <c r="B157" s="1">
        <v>46155</v>
      </c>
      <c r="C157" t="s">
        <v>35</v>
      </c>
      <c r="D157" t="s">
        <v>59</v>
      </c>
      <c r="E157" t="s">
        <v>51</v>
      </c>
      <c r="F157" t="s">
        <v>23</v>
      </c>
      <c r="G157" t="s">
        <v>38</v>
      </c>
      <c r="H157" t="s">
        <v>106</v>
      </c>
      <c r="I157" t="s">
        <v>377</v>
      </c>
      <c r="J157">
        <v>6</v>
      </c>
      <c r="K157" s="2">
        <v>1591.29</v>
      </c>
      <c r="L157">
        <v>0</v>
      </c>
      <c r="M157" s="2">
        <v>9547.74</v>
      </c>
      <c r="N157" s="2">
        <v>5792.26</v>
      </c>
      <c r="O157" s="2">
        <v>3755.48</v>
      </c>
      <c r="P157" t="s">
        <v>41</v>
      </c>
      <c r="Q157" t="s">
        <v>28</v>
      </c>
      <c r="R157" t="str">
        <f>TEXT(Table1[[#This Row],[Order Date]],"mmmm")</f>
        <v>May</v>
      </c>
      <c r="S157">
        <f>YEAR(Table1[[#This Row],[Order Date]])</f>
        <v>2026</v>
      </c>
    </row>
    <row r="158" spans="1:19" x14ac:dyDescent="0.3">
      <c r="A158" t="s">
        <v>378</v>
      </c>
      <c r="B158" s="1">
        <v>46109</v>
      </c>
      <c r="C158" t="s">
        <v>86</v>
      </c>
      <c r="D158" t="s">
        <v>87</v>
      </c>
      <c r="E158" t="s">
        <v>44</v>
      </c>
      <c r="F158" t="s">
        <v>31</v>
      </c>
      <c r="G158" t="s">
        <v>38</v>
      </c>
      <c r="H158" t="s">
        <v>39</v>
      </c>
      <c r="I158" t="s">
        <v>379</v>
      </c>
      <c r="J158">
        <v>13</v>
      </c>
      <c r="K158" s="2">
        <v>1408.56</v>
      </c>
      <c r="L158">
        <v>15</v>
      </c>
      <c r="M158" s="2">
        <v>15564.59</v>
      </c>
      <c r="N158" s="2">
        <v>12436.84</v>
      </c>
      <c r="O158" s="2">
        <v>3127.75</v>
      </c>
      <c r="P158" t="s">
        <v>41</v>
      </c>
      <c r="Q158" t="s">
        <v>28</v>
      </c>
      <c r="R158" t="str">
        <f>TEXT(Table1[[#This Row],[Order Date]],"mmmm")</f>
        <v>March</v>
      </c>
      <c r="S158">
        <f>YEAR(Table1[[#This Row],[Order Date]])</f>
        <v>2026</v>
      </c>
    </row>
    <row r="159" spans="1:19" x14ac:dyDescent="0.3">
      <c r="A159" t="s">
        <v>380</v>
      </c>
      <c r="B159" s="1">
        <v>45838</v>
      </c>
      <c r="C159" t="s">
        <v>20</v>
      </c>
      <c r="D159" t="s">
        <v>55</v>
      </c>
      <c r="E159" t="s">
        <v>22</v>
      </c>
      <c r="F159" t="s">
        <v>31</v>
      </c>
      <c r="G159" t="s">
        <v>45</v>
      </c>
      <c r="H159" t="s">
        <v>67</v>
      </c>
      <c r="I159" t="s">
        <v>381</v>
      </c>
      <c r="J159">
        <v>12</v>
      </c>
      <c r="K159" s="2">
        <v>2150.64</v>
      </c>
      <c r="L159">
        <v>10</v>
      </c>
      <c r="M159" s="2">
        <v>23226.91</v>
      </c>
      <c r="N159" s="2">
        <v>13773.68</v>
      </c>
      <c r="O159" s="2">
        <v>9453.23</v>
      </c>
      <c r="P159" t="s">
        <v>48</v>
      </c>
      <c r="Q159" t="s">
        <v>42</v>
      </c>
      <c r="R159" t="str">
        <f>TEXT(Table1[[#This Row],[Order Date]],"mmmm")</f>
        <v>June</v>
      </c>
      <c r="S159">
        <f>YEAR(Table1[[#This Row],[Order Date]])</f>
        <v>2025</v>
      </c>
    </row>
    <row r="160" spans="1:19" x14ac:dyDescent="0.3">
      <c r="A160" t="s">
        <v>382</v>
      </c>
      <c r="B160" s="1">
        <v>45693</v>
      </c>
      <c r="C160" t="s">
        <v>86</v>
      </c>
      <c r="D160" t="s">
        <v>87</v>
      </c>
      <c r="E160" t="s">
        <v>44</v>
      </c>
      <c r="F160" t="s">
        <v>37</v>
      </c>
      <c r="G160" t="s">
        <v>45</v>
      </c>
      <c r="H160" t="s">
        <v>67</v>
      </c>
      <c r="I160" t="s">
        <v>383</v>
      </c>
      <c r="J160">
        <v>6</v>
      </c>
      <c r="K160" s="2">
        <v>4345.6499999999996</v>
      </c>
      <c r="L160">
        <v>20</v>
      </c>
      <c r="M160" s="2">
        <v>20859.12</v>
      </c>
      <c r="N160" s="2">
        <v>12064.04</v>
      </c>
      <c r="O160" s="2">
        <v>8795.08</v>
      </c>
      <c r="P160" t="s">
        <v>41</v>
      </c>
      <c r="Q160" t="s">
        <v>42</v>
      </c>
      <c r="R160" t="str">
        <f>TEXT(Table1[[#This Row],[Order Date]],"mmmm")</f>
        <v>February</v>
      </c>
      <c r="S160">
        <f>YEAR(Table1[[#This Row],[Order Date]])</f>
        <v>2025</v>
      </c>
    </row>
    <row r="161" spans="1:19" x14ac:dyDescent="0.3">
      <c r="A161" t="s">
        <v>384</v>
      </c>
      <c r="B161" s="1">
        <v>45991</v>
      </c>
      <c r="C161" t="s">
        <v>70</v>
      </c>
      <c r="D161" t="s">
        <v>75</v>
      </c>
      <c r="E161" t="s">
        <v>113</v>
      </c>
      <c r="F161" t="s">
        <v>37</v>
      </c>
      <c r="G161" t="s">
        <v>38</v>
      </c>
      <c r="H161" t="s">
        <v>63</v>
      </c>
      <c r="I161" t="s">
        <v>385</v>
      </c>
      <c r="J161">
        <v>3</v>
      </c>
      <c r="K161" s="2">
        <v>3160.92</v>
      </c>
      <c r="L161">
        <v>20</v>
      </c>
      <c r="M161" s="2">
        <v>7586.21</v>
      </c>
      <c r="N161" s="2">
        <v>6134.01</v>
      </c>
      <c r="O161" s="2">
        <v>1452.2</v>
      </c>
      <c r="P161" t="s">
        <v>48</v>
      </c>
      <c r="Q161" t="s">
        <v>61</v>
      </c>
      <c r="R161" t="str">
        <f>TEXT(Table1[[#This Row],[Order Date]],"mmmm")</f>
        <v>November</v>
      </c>
      <c r="S161">
        <f>YEAR(Table1[[#This Row],[Order Date]])</f>
        <v>2025</v>
      </c>
    </row>
    <row r="162" spans="1:19" x14ac:dyDescent="0.3">
      <c r="A162" t="s">
        <v>386</v>
      </c>
      <c r="B162" s="1">
        <v>45864</v>
      </c>
      <c r="C162" t="s">
        <v>35</v>
      </c>
      <c r="D162" t="s">
        <v>36</v>
      </c>
      <c r="E162" t="s">
        <v>113</v>
      </c>
      <c r="F162" t="s">
        <v>31</v>
      </c>
      <c r="G162" t="s">
        <v>24</v>
      </c>
      <c r="H162" t="s">
        <v>56</v>
      </c>
      <c r="I162" t="s">
        <v>387</v>
      </c>
      <c r="J162">
        <v>4</v>
      </c>
      <c r="K162" s="2">
        <v>1180.24</v>
      </c>
      <c r="L162">
        <v>15</v>
      </c>
      <c r="M162" s="2">
        <v>4012.82</v>
      </c>
      <c r="N162" s="2">
        <v>3073.65</v>
      </c>
      <c r="O162" s="2">
        <v>939.17</v>
      </c>
      <c r="P162" t="s">
        <v>48</v>
      </c>
      <c r="Q162" t="s">
        <v>61</v>
      </c>
      <c r="R162" t="str">
        <f>TEXT(Table1[[#This Row],[Order Date]],"mmmm")</f>
        <v>July</v>
      </c>
      <c r="S162">
        <f>YEAR(Table1[[#This Row],[Order Date]])</f>
        <v>2025</v>
      </c>
    </row>
    <row r="163" spans="1:19" x14ac:dyDescent="0.3">
      <c r="A163" t="s">
        <v>388</v>
      </c>
      <c r="B163" s="1">
        <v>45960</v>
      </c>
      <c r="C163" t="s">
        <v>20</v>
      </c>
      <c r="D163" t="s">
        <v>55</v>
      </c>
      <c r="E163" t="s">
        <v>113</v>
      </c>
      <c r="F163" t="s">
        <v>23</v>
      </c>
      <c r="G163" t="s">
        <v>38</v>
      </c>
      <c r="H163" t="s">
        <v>39</v>
      </c>
      <c r="I163" t="s">
        <v>389</v>
      </c>
      <c r="J163">
        <v>9</v>
      </c>
      <c r="K163" s="2">
        <v>4853.5600000000004</v>
      </c>
      <c r="L163">
        <v>15</v>
      </c>
      <c r="M163" s="2">
        <v>37129.730000000003</v>
      </c>
      <c r="N163" s="2">
        <v>30349.040000000001</v>
      </c>
      <c r="O163" s="2">
        <v>6780.69</v>
      </c>
      <c r="P163" t="s">
        <v>48</v>
      </c>
      <c r="Q163" t="s">
        <v>28</v>
      </c>
      <c r="R163" t="str">
        <f>TEXT(Table1[[#This Row],[Order Date]],"mmmm")</f>
        <v>October</v>
      </c>
      <c r="S163">
        <f>YEAR(Table1[[#This Row],[Order Date]])</f>
        <v>2025</v>
      </c>
    </row>
    <row r="164" spans="1:19" x14ac:dyDescent="0.3">
      <c r="A164" t="s">
        <v>390</v>
      </c>
      <c r="B164" s="1">
        <v>46132</v>
      </c>
      <c r="C164" t="s">
        <v>86</v>
      </c>
      <c r="D164" t="s">
        <v>90</v>
      </c>
      <c r="E164" t="s">
        <v>51</v>
      </c>
      <c r="F164" t="s">
        <v>23</v>
      </c>
      <c r="G164" t="s">
        <v>38</v>
      </c>
      <c r="H164" t="s">
        <v>39</v>
      </c>
      <c r="I164" t="s">
        <v>147</v>
      </c>
      <c r="J164">
        <v>15</v>
      </c>
      <c r="K164" s="2">
        <v>783.86</v>
      </c>
      <c r="L164">
        <v>10</v>
      </c>
      <c r="M164" s="2">
        <v>10582.11</v>
      </c>
      <c r="N164" s="2">
        <v>7805.7</v>
      </c>
      <c r="O164" s="2">
        <v>2776.41</v>
      </c>
      <c r="P164" t="s">
        <v>41</v>
      </c>
      <c r="Q164" t="s">
        <v>61</v>
      </c>
      <c r="R164" t="str">
        <f>TEXT(Table1[[#This Row],[Order Date]],"mmmm")</f>
        <v>April</v>
      </c>
      <c r="S164">
        <f>YEAR(Table1[[#This Row],[Order Date]])</f>
        <v>2026</v>
      </c>
    </row>
    <row r="165" spans="1:19" x14ac:dyDescent="0.3">
      <c r="A165" t="s">
        <v>391</v>
      </c>
      <c r="B165" s="1">
        <v>45707</v>
      </c>
      <c r="C165" t="s">
        <v>70</v>
      </c>
      <c r="D165" t="s">
        <v>75</v>
      </c>
      <c r="E165" t="s">
        <v>44</v>
      </c>
      <c r="F165" t="s">
        <v>37</v>
      </c>
      <c r="G165" t="s">
        <v>38</v>
      </c>
      <c r="H165" t="s">
        <v>72</v>
      </c>
      <c r="I165" t="s">
        <v>392</v>
      </c>
      <c r="J165">
        <v>8</v>
      </c>
      <c r="K165" s="2">
        <v>2974.43</v>
      </c>
      <c r="L165">
        <v>5</v>
      </c>
      <c r="M165" s="2">
        <v>22605.67</v>
      </c>
      <c r="N165" s="2">
        <v>15503.23</v>
      </c>
      <c r="O165" s="2">
        <v>7102.44</v>
      </c>
      <c r="P165" t="s">
        <v>41</v>
      </c>
      <c r="Q165" t="s">
        <v>28</v>
      </c>
      <c r="R165" t="str">
        <f>TEXT(Table1[[#This Row],[Order Date]],"mmmm")</f>
        <v>February</v>
      </c>
      <c r="S165">
        <f>YEAR(Table1[[#This Row],[Order Date]])</f>
        <v>2025</v>
      </c>
    </row>
    <row r="166" spans="1:19" x14ac:dyDescent="0.3">
      <c r="A166" t="s">
        <v>393</v>
      </c>
      <c r="B166" s="1">
        <v>45857</v>
      </c>
      <c r="C166" t="s">
        <v>20</v>
      </c>
      <c r="D166" t="s">
        <v>21</v>
      </c>
      <c r="E166" t="s">
        <v>113</v>
      </c>
      <c r="F166" t="s">
        <v>23</v>
      </c>
      <c r="G166" t="s">
        <v>24</v>
      </c>
      <c r="H166" t="s">
        <v>171</v>
      </c>
      <c r="I166" t="s">
        <v>394</v>
      </c>
      <c r="J166">
        <v>10</v>
      </c>
      <c r="K166" s="2">
        <v>3632.11</v>
      </c>
      <c r="L166">
        <v>5</v>
      </c>
      <c r="M166" s="2">
        <v>34505.040000000001</v>
      </c>
      <c r="N166" s="2">
        <v>23315.02</v>
      </c>
      <c r="O166" s="2">
        <v>11190.02</v>
      </c>
      <c r="P166" t="s">
        <v>48</v>
      </c>
      <c r="Q166" t="s">
        <v>49</v>
      </c>
      <c r="R166" t="str">
        <f>TEXT(Table1[[#This Row],[Order Date]],"mmmm")</f>
        <v>July</v>
      </c>
      <c r="S166">
        <f>YEAR(Table1[[#This Row],[Order Date]])</f>
        <v>2025</v>
      </c>
    </row>
    <row r="167" spans="1:19" x14ac:dyDescent="0.3">
      <c r="A167" t="s">
        <v>395</v>
      </c>
      <c r="B167" s="1">
        <v>45957</v>
      </c>
      <c r="C167" t="s">
        <v>70</v>
      </c>
      <c r="D167" t="s">
        <v>75</v>
      </c>
      <c r="E167" t="s">
        <v>22</v>
      </c>
      <c r="F167" t="s">
        <v>31</v>
      </c>
      <c r="G167" t="s">
        <v>24</v>
      </c>
      <c r="H167" t="s">
        <v>25</v>
      </c>
      <c r="I167" t="s">
        <v>166</v>
      </c>
      <c r="J167">
        <v>8</v>
      </c>
      <c r="K167" s="2">
        <v>4432.03</v>
      </c>
      <c r="L167">
        <v>15</v>
      </c>
      <c r="M167" s="2">
        <v>30137.8</v>
      </c>
      <c r="N167" s="2">
        <v>18551.03</v>
      </c>
      <c r="O167" s="2">
        <v>11586.77</v>
      </c>
      <c r="P167" t="s">
        <v>27</v>
      </c>
      <c r="Q167" t="s">
        <v>28</v>
      </c>
      <c r="R167" t="str">
        <f>TEXT(Table1[[#This Row],[Order Date]],"mmmm")</f>
        <v>October</v>
      </c>
      <c r="S167">
        <f>YEAR(Table1[[#This Row],[Order Date]])</f>
        <v>2025</v>
      </c>
    </row>
    <row r="168" spans="1:19" x14ac:dyDescent="0.3">
      <c r="A168" t="s">
        <v>396</v>
      </c>
      <c r="B168" s="1">
        <v>45679</v>
      </c>
      <c r="C168" t="s">
        <v>86</v>
      </c>
      <c r="D168" t="s">
        <v>90</v>
      </c>
      <c r="E168" t="s">
        <v>120</v>
      </c>
      <c r="F168" t="s">
        <v>31</v>
      </c>
      <c r="G168" t="s">
        <v>38</v>
      </c>
      <c r="H168" t="s">
        <v>63</v>
      </c>
      <c r="I168" t="s">
        <v>397</v>
      </c>
      <c r="J168">
        <v>10</v>
      </c>
      <c r="K168" s="2">
        <v>1798.05</v>
      </c>
      <c r="L168">
        <v>5</v>
      </c>
      <c r="M168" s="2">
        <v>17081.47</v>
      </c>
      <c r="N168" s="2">
        <v>12706.99</v>
      </c>
      <c r="O168" s="2">
        <v>4374.4799999999996</v>
      </c>
      <c r="P168" t="s">
        <v>41</v>
      </c>
      <c r="Q168" t="s">
        <v>28</v>
      </c>
      <c r="R168" t="str">
        <f>TEXT(Table1[[#This Row],[Order Date]],"mmmm")</f>
        <v>January</v>
      </c>
      <c r="S168">
        <f>YEAR(Table1[[#This Row],[Order Date]])</f>
        <v>2025</v>
      </c>
    </row>
    <row r="169" spans="1:19" x14ac:dyDescent="0.3">
      <c r="A169" t="s">
        <v>398</v>
      </c>
      <c r="B169" s="1">
        <v>45905</v>
      </c>
      <c r="C169" t="s">
        <v>20</v>
      </c>
      <c r="D169" t="s">
        <v>21</v>
      </c>
      <c r="E169" t="s">
        <v>120</v>
      </c>
      <c r="F169" t="s">
        <v>37</v>
      </c>
      <c r="G169" t="s">
        <v>45</v>
      </c>
      <c r="H169" t="s">
        <v>123</v>
      </c>
      <c r="I169" t="s">
        <v>399</v>
      </c>
      <c r="J169">
        <v>11</v>
      </c>
      <c r="K169" s="2">
        <v>2407.4</v>
      </c>
      <c r="L169">
        <v>15</v>
      </c>
      <c r="M169" s="2">
        <v>22509.19</v>
      </c>
      <c r="N169" s="2">
        <v>14251.78</v>
      </c>
      <c r="O169" s="2">
        <v>8257.41</v>
      </c>
      <c r="P169" t="s">
        <v>27</v>
      </c>
      <c r="Q169" t="s">
        <v>49</v>
      </c>
      <c r="R169" t="str">
        <f>TEXT(Table1[[#This Row],[Order Date]],"mmmm")</f>
        <v>September</v>
      </c>
      <c r="S169">
        <f>YEAR(Table1[[#This Row],[Order Date]])</f>
        <v>2025</v>
      </c>
    </row>
    <row r="170" spans="1:19" x14ac:dyDescent="0.3">
      <c r="A170" t="s">
        <v>400</v>
      </c>
      <c r="B170" s="1">
        <v>45984</v>
      </c>
      <c r="C170" t="s">
        <v>70</v>
      </c>
      <c r="D170" t="s">
        <v>71</v>
      </c>
      <c r="E170" t="s">
        <v>120</v>
      </c>
      <c r="F170" t="s">
        <v>37</v>
      </c>
      <c r="G170" t="s">
        <v>38</v>
      </c>
      <c r="H170" t="s">
        <v>63</v>
      </c>
      <c r="I170" t="s">
        <v>401</v>
      </c>
      <c r="J170">
        <v>14</v>
      </c>
      <c r="K170" s="2">
        <v>4710.5</v>
      </c>
      <c r="L170">
        <v>0</v>
      </c>
      <c r="M170" s="2">
        <v>65947</v>
      </c>
      <c r="N170" s="2">
        <v>49804.44</v>
      </c>
      <c r="O170" s="2">
        <v>16142.56</v>
      </c>
      <c r="P170" t="s">
        <v>27</v>
      </c>
      <c r="Q170" t="s">
        <v>28</v>
      </c>
      <c r="R170" t="str">
        <f>TEXT(Table1[[#This Row],[Order Date]],"mmmm")</f>
        <v>November</v>
      </c>
      <c r="S170">
        <f>YEAR(Table1[[#This Row],[Order Date]])</f>
        <v>2025</v>
      </c>
    </row>
    <row r="171" spans="1:19" x14ac:dyDescent="0.3">
      <c r="A171" t="s">
        <v>402</v>
      </c>
      <c r="B171" s="1">
        <v>45974</v>
      </c>
      <c r="C171" t="s">
        <v>86</v>
      </c>
      <c r="D171" t="s">
        <v>90</v>
      </c>
      <c r="E171" t="s">
        <v>51</v>
      </c>
      <c r="F171" t="s">
        <v>31</v>
      </c>
      <c r="G171" t="s">
        <v>45</v>
      </c>
      <c r="H171" t="s">
        <v>52</v>
      </c>
      <c r="I171" t="s">
        <v>403</v>
      </c>
      <c r="J171">
        <v>15</v>
      </c>
      <c r="K171" s="2">
        <v>701.13</v>
      </c>
      <c r="L171">
        <v>0</v>
      </c>
      <c r="M171" s="2">
        <v>10516.95</v>
      </c>
      <c r="N171" s="2">
        <v>8415.11</v>
      </c>
      <c r="O171" s="2">
        <v>2101.84</v>
      </c>
      <c r="P171" t="s">
        <v>27</v>
      </c>
      <c r="Q171" t="s">
        <v>42</v>
      </c>
      <c r="R171" t="str">
        <f>TEXT(Table1[[#This Row],[Order Date]],"mmmm")</f>
        <v>November</v>
      </c>
      <c r="S171">
        <f>YEAR(Table1[[#This Row],[Order Date]])</f>
        <v>2025</v>
      </c>
    </row>
    <row r="172" spans="1:19" x14ac:dyDescent="0.3">
      <c r="A172" t="s">
        <v>404</v>
      </c>
      <c r="B172" s="1">
        <v>46102</v>
      </c>
      <c r="C172" t="s">
        <v>70</v>
      </c>
      <c r="D172" t="s">
        <v>71</v>
      </c>
      <c r="E172" t="s">
        <v>120</v>
      </c>
      <c r="F172" t="s">
        <v>37</v>
      </c>
      <c r="G172" t="s">
        <v>45</v>
      </c>
      <c r="H172" t="s">
        <v>159</v>
      </c>
      <c r="I172" t="s">
        <v>405</v>
      </c>
      <c r="J172">
        <v>13</v>
      </c>
      <c r="K172" s="2">
        <v>4368.72</v>
      </c>
      <c r="L172">
        <v>10</v>
      </c>
      <c r="M172" s="2">
        <v>51114.02</v>
      </c>
      <c r="N172" s="2">
        <v>37038.65</v>
      </c>
      <c r="O172" s="2">
        <v>14075.37</v>
      </c>
      <c r="P172" t="s">
        <v>41</v>
      </c>
      <c r="Q172" t="s">
        <v>61</v>
      </c>
      <c r="R172" t="str">
        <f>TEXT(Table1[[#This Row],[Order Date]],"mmmm")</f>
        <v>March</v>
      </c>
      <c r="S172">
        <f>YEAR(Table1[[#This Row],[Order Date]])</f>
        <v>2026</v>
      </c>
    </row>
    <row r="173" spans="1:19" x14ac:dyDescent="0.3">
      <c r="A173" t="s">
        <v>406</v>
      </c>
      <c r="B173" s="1">
        <v>45883</v>
      </c>
      <c r="C173" t="s">
        <v>35</v>
      </c>
      <c r="D173" t="s">
        <v>59</v>
      </c>
      <c r="E173" t="s">
        <v>22</v>
      </c>
      <c r="F173" t="s">
        <v>37</v>
      </c>
      <c r="G173" t="s">
        <v>45</v>
      </c>
      <c r="H173" t="s">
        <v>46</v>
      </c>
      <c r="I173" t="s">
        <v>407</v>
      </c>
      <c r="J173">
        <v>11</v>
      </c>
      <c r="K173" s="2">
        <v>1008.16</v>
      </c>
      <c r="L173">
        <v>5</v>
      </c>
      <c r="M173" s="2">
        <v>10535.27</v>
      </c>
      <c r="N173" s="2">
        <v>7135.38</v>
      </c>
      <c r="O173" s="2">
        <v>3399.89</v>
      </c>
      <c r="P173" t="s">
        <v>41</v>
      </c>
      <c r="Q173" t="s">
        <v>61</v>
      </c>
      <c r="R173" t="str">
        <f>TEXT(Table1[[#This Row],[Order Date]],"mmmm")</f>
        <v>August</v>
      </c>
      <c r="S173">
        <f>YEAR(Table1[[#This Row],[Order Date]])</f>
        <v>2025</v>
      </c>
    </row>
    <row r="174" spans="1:19" x14ac:dyDescent="0.3">
      <c r="A174" t="s">
        <v>408</v>
      </c>
      <c r="B174" s="1">
        <v>45964</v>
      </c>
      <c r="C174" t="s">
        <v>70</v>
      </c>
      <c r="D174" t="s">
        <v>71</v>
      </c>
      <c r="E174" t="s">
        <v>22</v>
      </c>
      <c r="F174" t="s">
        <v>37</v>
      </c>
      <c r="G174" t="s">
        <v>45</v>
      </c>
      <c r="H174" t="s">
        <v>46</v>
      </c>
      <c r="I174" t="s">
        <v>409</v>
      </c>
      <c r="J174">
        <v>11</v>
      </c>
      <c r="K174" s="2">
        <v>4769.01</v>
      </c>
      <c r="L174">
        <v>0</v>
      </c>
      <c r="M174" s="2">
        <v>52459.11</v>
      </c>
      <c r="N174" s="2">
        <v>29485.68</v>
      </c>
      <c r="O174" s="2">
        <v>22973.43</v>
      </c>
      <c r="P174" t="s">
        <v>48</v>
      </c>
      <c r="Q174" t="s">
        <v>28</v>
      </c>
      <c r="R174" t="str">
        <f>TEXT(Table1[[#This Row],[Order Date]],"mmmm")</f>
        <v>November</v>
      </c>
      <c r="S174">
        <f>YEAR(Table1[[#This Row],[Order Date]])</f>
        <v>2025</v>
      </c>
    </row>
    <row r="175" spans="1:19" x14ac:dyDescent="0.3">
      <c r="A175" t="s">
        <v>410</v>
      </c>
      <c r="B175" s="1">
        <v>45732</v>
      </c>
      <c r="C175" t="s">
        <v>20</v>
      </c>
      <c r="D175" t="s">
        <v>55</v>
      </c>
      <c r="E175" t="s">
        <v>66</v>
      </c>
      <c r="F175" t="s">
        <v>23</v>
      </c>
      <c r="G175" t="s">
        <v>45</v>
      </c>
      <c r="H175" t="s">
        <v>67</v>
      </c>
      <c r="I175" t="s">
        <v>411</v>
      </c>
      <c r="J175">
        <v>1</v>
      </c>
      <c r="K175" s="2">
        <v>3581.86</v>
      </c>
      <c r="L175">
        <v>5</v>
      </c>
      <c r="M175" s="2">
        <v>3402.77</v>
      </c>
      <c r="N175" s="2">
        <v>2312.42</v>
      </c>
      <c r="O175" s="2">
        <v>1090.3499999999999</v>
      </c>
      <c r="P175" t="s">
        <v>41</v>
      </c>
      <c r="Q175" t="s">
        <v>61</v>
      </c>
      <c r="R175" t="str">
        <f>TEXT(Table1[[#This Row],[Order Date]],"mmmm")</f>
        <v>March</v>
      </c>
      <c r="S175">
        <f>YEAR(Table1[[#This Row],[Order Date]])</f>
        <v>2025</v>
      </c>
    </row>
    <row r="176" spans="1:19" x14ac:dyDescent="0.3">
      <c r="A176" t="s">
        <v>412</v>
      </c>
      <c r="B176" s="1">
        <v>46189</v>
      </c>
      <c r="C176" t="s">
        <v>70</v>
      </c>
      <c r="D176" t="s">
        <v>75</v>
      </c>
      <c r="E176" t="s">
        <v>66</v>
      </c>
      <c r="F176" t="s">
        <v>23</v>
      </c>
      <c r="G176" t="s">
        <v>38</v>
      </c>
      <c r="H176" t="s">
        <v>72</v>
      </c>
      <c r="I176" t="s">
        <v>413</v>
      </c>
      <c r="J176">
        <v>3</v>
      </c>
      <c r="K176" s="2">
        <v>1700.02</v>
      </c>
      <c r="L176">
        <v>0</v>
      </c>
      <c r="M176" s="2">
        <v>5100.0600000000004</v>
      </c>
      <c r="N176" s="2">
        <v>3084.27</v>
      </c>
      <c r="O176" s="2">
        <v>2015.79</v>
      </c>
      <c r="P176" t="s">
        <v>48</v>
      </c>
      <c r="Q176" t="s">
        <v>42</v>
      </c>
      <c r="R176" t="str">
        <f>TEXT(Table1[[#This Row],[Order Date]],"mmmm")</f>
        <v>June</v>
      </c>
      <c r="S176">
        <f>YEAR(Table1[[#This Row],[Order Date]])</f>
        <v>2026</v>
      </c>
    </row>
    <row r="177" spans="1:19" x14ac:dyDescent="0.3">
      <c r="A177" t="s">
        <v>414</v>
      </c>
      <c r="B177" s="1">
        <v>45679</v>
      </c>
      <c r="C177" t="s">
        <v>86</v>
      </c>
      <c r="D177" t="s">
        <v>87</v>
      </c>
      <c r="E177" t="s">
        <v>44</v>
      </c>
      <c r="F177" t="s">
        <v>23</v>
      </c>
      <c r="G177" t="s">
        <v>38</v>
      </c>
      <c r="H177" t="s">
        <v>39</v>
      </c>
      <c r="I177" t="s">
        <v>415</v>
      </c>
      <c r="J177">
        <v>2</v>
      </c>
      <c r="K177" s="2">
        <v>2857.75</v>
      </c>
      <c r="L177">
        <v>0</v>
      </c>
      <c r="M177" s="2">
        <v>5715.5</v>
      </c>
      <c r="N177" s="2">
        <v>4616.93</v>
      </c>
      <c r="O177" s="2">
        <v>1098.57</v>
      </c>
      <c r="P177" t="s">
        <v>27</v>
      </c>
      <c r="Q177" t="s">
        <v>49</v>
      </c>
      <c r="R177" t="str">
        <f>TEXT(Table1[[#This Row],[Order Date]],"mmmm")</f>
        <v>January</v>
      </c>
      <c r="S177">
        <f>YEAR(Table1[[#This Row],[Order Date]])</f>
        <v>2025</v>
      </c>
    </row>
    <row r="178" spans="1:19" x14ac:dyDescent="0.3">
      <c r="A178" t="s">
        <v>416</v>
      </c>
      <c r="B178" s="1">
        <v>46183</v>
      </c>
      <c r="C178" t="s">
        <v>70</v>
      </c>
      <c r="D178" t="s">
        <v>71</v>
      </c>
      <c r="E178" t="s">
        <v>44</v>
      </c>
      <c r="F178" t="s">
        <v>23</v>
      </c>
      <c r="G178" t="s">
        <v>24</v>
      </c>
      <c r="H178" t="s">
        <v>134</v>
      </c>
      <c r="I178" t="s">
        <v>417</v>
      </c>
      <c r="J178">
        <v>4</v>
      </c>
      <c r="K178" s="2">
        <v>3752.84</v>
      </c>
      <c r="L178">
        <v>20</v>
      </c>
      <c r="M178" s="2">
        <v>12009.09</v>
      </c>
      <c r="N178" s="2">
        <v>9767.4699999999993</v>
      </c>
      <c r="O178" s="2">
        <v>2241.62</v>
      </c>
      <c r="P178" t="s">
        <v>48</v>
      </c>
      <c r="Q178" t="s">
        <v>42</v>
      </c>
      <c r="R178" t="str">
        <f>TEXT(Table1[[#This Row],[Order Date]],"mmmm")</f>
        <v>June</v>
      </c>
      <c r="S178">
        <f>YEAR(Table1[[#This Row],[Order Date]])</f>
        <v>2026</v>
      </c>
    </row>
    <row r="179" spans="1:19" x14ac:dyDescent="0.3">
      <c r="A179" t="s">
        <v>418</v>
      </c>
      <c r="B179" s="1">
        <v>46189</v>
      </c>
      <c r="C179" t="s">
        <v>20</v>
      </c>
      <c r="D179" t="s">
        <v>21</v>
      </c>
      <c r="E179" t="s">
        <v>120</v>
      </c>
      <c r="F179" t="s">
        <v>23</v>
      </c>
      <c r="G179" t="s">
        <v>45</v>
      </c>
      <c r="H179" t="s">
        <v>52</v>
      </c>
      <c r="I179" t="s">
        <v>419</v>
      </c>
      <c r="J179">
        <v>13</v>
      </c>
      <c r="K179" s="2">
        <v>3206.6</v>
      </c>
      <c r="L179">
        <v>0</v>
      </c>
      <c r="M179" s="2">
        <v>41685.800000000003</v>
      </c>
      <c r="N179" s="2">
        <v>33263.35</v>
      </c>
      <c r="O179" s="2">
        <v>8422.4500000000007</v>
      </c>
      <c r="P179" t="s">
        <v>27</v>
      </c>
      <c r="Q179" t="s">
        <v>42</v>
      </c>
      <c r="R179" t="str">
        <f>TEXT(Table1[[#This Row],[Order Date]],"mmmm")</f>
        <v>June</v>
      </c>
      <c r="S179">
        <f>YEAR(Table1[[#This Row],[Order Date]])</f>
        <v>2026</v>
      </c>
    </row>
    <row r="180" spans="1:19" x14ac:dyDescent="0.3">
      <c r="A180" t="s">
        <v>420</v>
      </c>
      <c r="B180" s="1">
        <v>46104</v>
      </c>
      <c r="C180" t="s">
        <v>35</v>
      </c>
      <c r="D180" t="s">
        <v>59</v>
      </c>
      <c r="E180" t="s">
        <v>66</v>
      </c>
      <c r="F180" t="s">
        <v>23</v>
      </c>
      <c r="G180" t="s">
        <v>38</v>
      </c>
      <c r="H180" t="s">
        <v>72</v>
      </c>
      <c r="I180" t="s">
        <v>421</v>
      </c>
      <c r="J180">
        <v>2</v>
      </c>
      <c r="K180" s="2">
        <v>2532.64</v>
      </c>
      <c r="L180">
        <v>20</v>
      </c>
      <c r="M180" s="2">
        <v>4052.22</v>
      </c>
      <c r="N180" s="2">
        <v>2984.22</v>
      </c>
      <c r="O180" s="2">
        <v>1068</v>
      </c>
      <c r="P180" t="s">
        <v>27</v>
      </c>
      <c r="Q180" t="s">
        <v>42</v>
      </c>
      <c r="R180" t="str">
        <f>TEXT(Table1[[#This Row],[Order Date]],"mmmm")</f>
        <v>March</v>
      </c>
      <c r="S180">
        <f>YEAR(Table1[[#This Row],[Order Date]])</f>
        <v>2026</v>
      </c>
    </row>
    <row r="181" spans="1:19" x14ac:dyDescent="0.3">
      <c r="A181" t="s">
        <v>422</v>
      </c>
      <c r="B181" s="1">
        <v>45867</v>
      </c>
      <c r="C181" t="s">
        <v>70</v>
      </c>
      <c r="D181" t="s">
        <v>71</v>
      </c>
      <c r="E181" t="s">
        <v>170</v>
      </c>
      <c r="F181" t="s">
        <v>31</v>
      </c>
      <c r="G181" t="s">
        <v>24</v>
      </c>
      <c r="H181" t="s">
        <v>171</v>
      </c>
      <c r="I181" t="s">
        <v>423</v>
      </c>
      <c r="J181">
        <v>3</v>
      </c>
      <c r="K181" s="2">
        <v>3190.73</v>
      </c>
      <c r="L181">
        <v>0</v>
      </c>
      <c r="M181" s="2">
        <v>9572.19</v>
      </c>
      <c r="N181" s="2">
        <v>7610.5</v>
      </c>
      <c r="O181" s="2">
        <v>1961.69</v>
      </c>
      <c r="P181" t="s">
        <v>27</v>
      </c>
      <c r="Q181" t="s">
        <v>49</v>
      </c>
      <c r="R181" t="str">
        <f>TEXT(Table1[[#This Row],[Order Date]],"mmmm")</f>
        <v>July</v>
      </c>
      <c r="S181">
        <f>YEAR(Table1[[#This Row],[Order Date]])</f>
        <v>2025</v>
      </c>
    </row>
    <row r="182" spans="1:19" x14ac:dyDescent="0.3">
      <c r="A182" t="s">
        <v>424</v>
      </c>
      <c r="B182" s="1">
        <v>46140</v>
      </c>
      <c r="C182" t="s">
        <v>20</v>
      </c>
      <c r="D182" t="s">
        <v>21</v>
      </c>
      <c r="E182" t="s">
        <v>22</v>
      </c>
      <c r="F182" t="s">
        <v>23</v>
      </c>
      <c r="G182" t="s">
        <v>38</v>
      </c>
      <c r="H182" t="s">
        <v>72</v>
      </c>
      <c r="I182" t="s">
        <v>425</v>
      </c>
      <c r="J182">
        <v>10</v>
      </c>
      <c r="K182" s="2">
        <v>329.33</v>
      </c>
      <c r="L182">
        <v>15</v>
      </c>
      <c r="M182" s="2">
        <v>2799.3</v>
      </c>
      <c r="N182" s="2">
        <v>1779.54</v>
      </c>
      <c r="O182" s="2">
        <v>1019.76</v>
      </c>
      <c r="P182" t="s">
        <v>41</v>
      </c>
      <c r="Q182" t="s">
        <v>61</v>
      </c>
      <c r="R182" t="str">
        <f>TEXT(Table1[[#This Row],[Order Date]],"mmmm")</f>
        <v>April</v>
      </c>
      <c r="S182">
        <f>YEAR(Table1[[#This Row],[Order Date]])</f>
        <v>2026</v>
      </c>
    </row>
    <row r="183" spans="1:19" x14ac:dyDescent="0.3">
      <c r="A183" t="s">
        <v>426</v>
      </c>
      <c r="B183" s="1">
        <v>46164</v>
      </c>
      <c r="C183" t="s">
        <v>70</v>
      </c>
      <c r="D183" t="s">
        <v>75</v>
      </c>
      <c r="E183" t="s">
        <v>66</v>
      </c>
      <c r="F183" t="s">
        <v>23</v>
      </c>
      <c r="G183" t="s">
        <v>24</v>
      </c>
      <c r="H183" t="s">
        <v>25</v>
      </c>
      <c r="I183" t="s">
        <v>427</v>
      </c>
      <c r="J183">
        <v>4</v>
      </c>
      <c r="K183" s="2">
        <v>1750.94</v>
      </c>
      <c r="L183">
        <v>5</v>
      </c>
      <c r="M183" s="2">
        <v>6653.57</v>
      </c>
      <c r="N183" s="2">
        <v>5056.32</v>
      </c>
      <c r="O183" s="2">
        <v>1597.25</v>
      </c>
      <c r="P183" t="s">
        <v>48</v>
      </c>
      <c r="Q183" t="s">
        <v>61</v>
      </c>
      <c r="R183" t="str">
        <f>TEXT(Table1[[#This Row],[Order Date]],"mmmm")</f>
        <v>May</v>
      </c>
      <c r="S183">
        <f>YEAR(Table1[[#This Row],[Order Date]])</f>
        <v>2026</v>
      </c>
    </row>
    <row r="184" spans="1:19" x14ac:dyDescent="0.3">
      <c r="A184" t="s">
        <v>428</v>
      </c>
      <c r="B184" s="1">
        <v>45873</v>
      </c>
      <c r="C184" t="s">
        <v>70</v>
      </c>
      <c r="D184" t="s">
        <v>75</v>
      </c>
      <c r="E184" t="s">
        <v>22</v>
      </c>
      <c r="F184" t="s">
        <v>23</v>
      </c>
      <c r="G184" t="s">
        <v>24</v>
      </c>
      <c r="H184" t="s">
        <v>56</v>
      </c>
      <c r="I184" t="s">
        <v>429</v>
      </c>
      <c r="J184">
        <v>8</v>
      </c>
      <c r="K184" s="2">
        <v>734.72</v>
      </c>
      <c r="L184">
        <v>0</v>
      </c>
      <c r="M184" s="2">
        <v>5877.76</v>
      </c>
      <c r="N184" s="2">
        <v>3309.27</v>
      </c>
      <c r="O184" s="2">
        <v>2568.4899999999998</v>
      </c>
      <c r="P184" t="s">
        <v>41</v>
      </c>
      <c r="Q184" t="s">
        <v>61</v>
      </c>
      <c r="R184" t="str">
        <f>TEXT(Table1[[#This Row],[Order Date]],"mmmm")</f>
        <v>August</v>
      </c>
      <c r="S184">
        <f>YEAR(Table1[[#This Row],[Order Date]])</f>
        <v>2025</v>
      </c>
    </row>
    <row r="185" spans="1:19" x14ac:dyDescent="0.3">
      <c r="A185" t="s">
        <v>430</v>
      </c>
      <c r="B185" s="1">
        <v>45669</v>
      </c>
      <c r="C185" t="s">
        <v>86</v>
      </c>
      <c r="D185" t="s">
        <v>90</v>
      </c>
      <c r="E185" t="s">
        <v>113</v>
      </c>
      <c r="F185" t="s">
        <v>23</v>
      </c>
      <c r="G185" t="s">
        <v>24</v>
      </c>
      <c r="H185" t="s">
        <v>32</v>
      </c>
      <c r="I185" t="s">
        <v>431</v>
      </c>
      <c r="J185">
        <v>7</v>
      </c>
      <c r="K185" s="2">
        <v>1172.04</v>
      </c>
      <c r="L185">
        <v>15</v>
      </c>
      <c r="M185" s="2">
        <v>6973.64</v>
      </c>
      <c r="N185" s="2">
        <v>5535.22</v>
      </c>
      <c r="O185" s="2">
        <v>1438.42</v>
      </c>
      <c r="P185" t="s">
        <v>27</v>
      </c>
      <c r="Q185" t="s">
        <v>49</v>
      </c>
      <c r="R185" t="str">
        <f>TEXT(Table1[[#This Row],[Order Date]],"mmmm")</f>
        <v>January</v>
      </c>
      <c r="S185">
        <f>YEAR(Table1[[#This Row],[Order Date]])</f>
        <v>2025</v>
      </c>
    </row>
    <row r="186" spans="1:19" x14ac:dyDescent="0.3">
      <c r="A186" t="s">
        <v>432</v>
      </c>
      <c r="B186" s="1">
        <v>46056</v>
      </c>
      <c r="C186" t="s">
        <v>70</v>
      </c>
      <c r="D186" t="s">
        <v>75</v>
      </c>
      <c r="E186" t="s">
        <v>113</v>
      </c>
      <c r="F186" t="s">
        <v>31</v>
      </c>
      <c r="G186" t="s">
        <v>24</v>
      </c>
      <c r="H186" t="s">
        <v>32</v>
      </c>
      <c r="I186" t="s">
        <v>433</v>
      </c>
      <c r="J186">
        <v>12</v>
      </c>
      <c r="K186" s="2">
        <v>1255.1500000000001</v>
      </c>
      <c r="L186">
        <v>10</v>
      </c>
      <c r="M186" s="2">
        <v>13555.62</v>
      </c>
      <c r="N186" s="2">
        <v>9810.74</v>
      </c>
      <c r="O186" s="2">
        <v>3744.88</v>
      </c>
      <c r="P186" t="s">
        <v>41</v>
      </c>
      <c r="Q186" t="s">
        <v>28</v>
      </c>
      <c r="R186" t="str">
        <f>TEXT(Table1[[#This Row],[Order Date]],"mmmm")</f>
        <v>February</v>
      </c>
      <c r="S186">
        <f>YEAR(Table1[[#This Row],[Order Date]])</f>
        <v>2026</v>
      </c>
    </row>
    <row r="187" spans="1:19" x14ac:dyDescent="0.3">
      <c r="A187" t="s">
        <v>434</v>
      </c>
      <c r="B187" s="1">
        <v>45782</v>
      </c>
      <c r="C187" t="s">
        <v>20</v>
      </c>
      <c r="D187" t="s">
        <v>55</v>
      </c>
      <c r="E187" t="s">
        <v>44</v>
      </c>
      <c r="F187" t="s">
        <v>31</v>
      </c>
      <c r="G187" t="s">
        <v>24</v>
      </c>
      <c r="H187" t="s">
        <v>25</v>
      </c>
      <c r="I187" t="s">
        <v>435</v>
      </c>
      <c r="J187">
        <v>5</v>
      </c>
      <c r="K187" s="2">
        <v>3380.26</v>
      </c>
      <c r="L187">
        <v>15</v>
      </c>
      <c r="M187" s="2">
        <v>14366.11</v>
      </c>
      <c r="N187" s="2">
        <v>10163.69</v>
      </c>
      <c r="O187" s="2">
        <v>4202.42</v>
      </c>
      <c r="P187" t="s">
        <v>48</v>
      </c>
      <c r="Q187" t="s">
        <v>61</v>
      </c>
      <c r="R187" t="str">
        <f>TEXT(Table1[[#This Row],[Order Date]],"mmmm")</f>
        <v>May</v>
      </c>
      <c r="S187">
        <f>YEAR(Table1[[#This Row],[Order Date]])</f>
        <v>2025</v>
      </c>
    </row>
    <row r="188" spans="1:19" x14ac:dyDescent="0.3">
      <c r="A188" t="s">
        <v>436</v>
      </c>
      <c r="B188" s="1">
        <v>45965</v>
      </c>
      <c r="C188" t="s">
        <v>70</v>
      </c>
      <c r="D188" t="s">
        <v>71</v>
      </c>
      <c r="E188" t="s">
        <v>66</v>
      </c>
      <c r="F188" t="s">
        <v>31</v>
      </c>
      <c r="G188" t="s">
        <v>38</v>
      </c>
      <c r="H188" t="s">
        <v>106</v>
      </c>
      <c r="I188" t="s">
        <v>437</v>
      </c>
      <c r="J188">
        <v>11</v>
      </c>
      <c r="K188" s="2">
        <v>2601.7800000000002</v>
      </c>
      <c r="L188">
        <v>20</v>
      </c>
      <c r="M188" s="2">
        <v>22895.66</v>
      </c>
      <c r="N188" s="2">
        <v>17546.7</v>
      </c>
      <c r="O188" s="2">
        <v>5348.96</v>
      </c>
      <c r="P188" t="s">
        <v>41</v>
      </c>
      <c r="Q188" t="s">
        <v>42</v>
      </c>
      <c r="R188" t="str">
        <f>TEXT(Table1[[#This Row],[Order Date]],"mmmm")</f>
        <v>November</v>
      </c>
      <c r="S188">
        <f>YEAR(Table1[[#This Row],[Order Date]])</f>
        <v>2025</v>
      </c>
    </row>
    <row r="189" spans="1:19" x14ac:dyDescent="0.3">
      <c r="A189" t="s">
        <v>438</v>
      </c>
      <c r="B189" s="1">
        <v>46079</v>
      </c>
      <c r="C189" t="s">
        <v>86</v>
      </c>
      <c r="D189" t="s">
        <v>90</v>
      </c>
      <c r="E189" t="s">
        <v>120</v>
      </c>
      <c r="F189" t="s">
        <v>31</v>
      </c>
      <c r="G189" t="s">
        <v>45</v>
      </c>
      <c r="H189" t="s">
        <v>46</v>
      </c>
      <c r="I189" t="s">
        <v>439</v>
      </c>
      <c r="J189">
        <v>9</v>
      </c>
      <c r="K189" s="2">
        <v>1945.57</v>
      </c>
      <c r="L189">
        <v>5</v>
      </c>
      <c r="M189" s="2">
        <v>16634.62</v>
      </c>
      <c r="N189" s="2">
        <v>9855.2800000000007</v>
      </c>
      <c r="O189" s="2">
        <v>6779.34</v>
      </c>
      <c r="P189" t="s">
        <v>41</v>
      </c>
      <c r="Q189" t="s">
        <v>42</v>
      </c>
      <c r="R189" t="str">
        <f>TEXT(Table1[[#This Row],[Order Date]],"mmmm")</f>
        <v>February</v>
      </c>
      <c r="S189">
        <f>YEAR(Table1[[#This Row],[Order Date]])</f>
        <v>2026</v>
      </c>
    </row>
    <row r="190" spans="1:19" x14ac:dyDescent="0.3">
      <c r="A190" t="s">
        <v>440</v>
      </c>
      <c r="B190" s="1">
        <v>45721</v>
      </c>
      <c r="C190" t="s">
        <v>86</v>
      </c>
      <c r="D190" t="s">
        <v>87</v>
      </c>
      <c r="E190" t="s">
        <v>66</v>
      </c>
      <c r="F190" t="s">
        <v>31</v>
      </c>
      <c r="G190" t="s">
        <v>24</v>
      </c>
      <c r="H190" t="s">
        <v>134</v>
      </c>
      <c r="I190" t="s">
        <v>309</v>
      </c>
      <c r="J190">
        <v>15</v>
      </c>
      <c r="K190" s="2">
        <v>1901.14</v>
      </c>
      <c r="L190">
        <v>0</v>
      </c>
      <c r="M190" s="2">
        <v>28517.1</v>
      </c>
      <c r="N190" s="2">
        <v>21888.53</v>
      </c>
      <c r="O190" s="2">
        <v>6628.57</v>
      </c>
      <c r="P190" t="s">
        <v>27</v>
      </c>
      <c r="Q190" t="s">
        <v>42</v>
      </c>
      <c r="R190" t="str">
        <f>TEXT(Table1[[#This Row],[Order Date]],"mmmm")</f>
        <v>March</v>
      </c>
      <c r="S190">
        <f>YEAR(Table1[[#This Row],[Order Date]])</f>
        <v>2025</v>
      </c>
    </row>
    <row r="191" spans="1:19" x14ac:dyDescent="0.3">
      <c r="A191" t="s">
        <v>441</v>
      </c>
      <c r="B191" s="1">
        <v>45729</v>
      </c>
      <c r="C191" t="s">
        <v>86</v>
      </c>
      <c r="D191" t="s">
        <v>90</v>
      </c>
      <c r="E191" t="s">
        <v>113</v>
      </c>
      <c r="F191" t="s">
        <v>31</v>
      </c>
      <c r="G191" t="s">
        <v>45</v>
      </c>
      <c r="H191" t="s">
        <v>52</v>
      </c>
      <c r="I191" t="s">
        <v>442</v>
      </c>
      <c r="J191">
        <v>2</v>
      </c>
      <c r="K191" s="2">
        <v>3353.15</v>
      </c>
      <c r="L191">
        <v>5</v>
      </c>
      <c r="M191" s="2">
        <v>6370.98</v>
      </c>
      <c r="N191" s="2">
        <v>4289.5600000000004</v>
      </c>
      <c r="O191" s="2">
        <v>2081.42</v>
      </c>
      <c r="P191" t="s">
        <v>41</v>
      </c>
      <c r="Q191" t="s">
        <v>42</v>
      </c>
      <c r="R191" t="str">
        <f>TEXT(Table1[[#This Row],[Order Date]],"mmmm")</f>
        <v>March</v>
      </c>
      <c r="S191">
        <f>YEAR(Table1[[#This Row],[Order Date]])</f>
        <v>2025</v>
      </c>
    </row>
    <row r="192" spans="1:19" x14ac:dyDescent="0.3">
      <c r="A192" t="s">
        <v>443</v>
      </c>
      <c r="B192" s="1">
        <v>46015</v>
      </c>
      <c r="C192" t="s">
        <v>70</v>
      </c>
      <c r="D192" t="s">
        <v>71</v>
      </c>
      <c r="E192" t="s">
        <v>44</v>
      </c>
      <c r="F192" t="s">
        <v>37</v>
      </c>
      <c r="G192" t="s">
        <v>24</v>
      </c>
      <c r="H192" t="s">
        <v>171</v>
      </c>
      <c r="I192" t="s">
        <v>444</v>
      </c>
      <c r="J192">
        <v>9</v>
      </c>
      <c r="K192" s="2">
        <v>3502.44</v>
      </c>
      <c r="L192">
        <v>5</v>
      </c>
      <c r="M192" s="2">
        <v>29945.86</v>
      </c>
      <c r="N192" s="2">
        <v>23448.57</v>
      </c>
      <c r="O192" s="2">
        <v>6497.29</v>
      </c>
      <c r="P192" t="s">
        <v>27</v>
      </c>
      <c r="Q192" t="s">
        <v>28</v>
      </c>
      <c r="R192" t="str">
        <f>TEXT(Table1[[#This Row],[Order Date]],"mmmm")</f>
        <v>December</v>
      </c>
      <c r="S192">
        <f>YEAR(Table1[[#This Row],[Order Date]])</f>
        <v>2025</v>
      </c>
    </row>
    <row r="193" spans="1:19" x14ac:dyDescent="0.3">
      <c r="A193" t="s">
        <v>445</v>
      </c>
      <c r="B193" s="1">
        <v>46045</v>
      </c>
      <c r="C193" t="s">
        <v>70</v>
      </c>
      <c r="D193" t="s">
        <v>71</v>
      </c>
      <c r="E193" t="s">
        <v>120</v>
      </c>
      <c r="F193" t="s">
        <v>31</v>
      </c>
      <c r="G193" t="s">
        <v>38</v>
      </c>
      <c r="H193" t="s">
        <v>39</v>
      </c>
      <c r="I193" t="s">
        <v>446</v>
      </c>
      <c r="J193">
        <v>5</v>
      </c>
      <c r="K193" s="2">
        <v>1554.57</v>
      </c>
      <c r="L193">
        <v>10</v>
      </c>
      <c r="M193" s="2">
        <v>6995.56</v>
      </c>
      <c r="N193" s="2">
        <v>4472.9399999999996</v>
      </c>
      <c r="O193" s="2">
        <v>2522.62</v>
      </c>
      <c r="P193" t="s">
        <v>48</v>
      </c>
      <c r="Q193" t="s">
        <v>49</v>
      </c>
      <c r="R193" t="str">
        <f>TEXT(Table1[[#This Row],[Order Date]],"mmmm")</f>
        <v>January</v>
      </c>
      <c r="S193">
        <f>YEAR(Table1[[#This Row],[Order Date]])</f>
        <v>2026</v>
      </c>
    </row>
    <row r="194" spans="1:19" x14ac:dyDescent="0.3">
      <c r="A194" t="s">
        <v>447</v>
      </c>
      <c r="B194" s="1">
        <v>45774</v>
      </c>
      <c r="C194" t="s">
        <v>35</v>
      </c>
      <c r="D194" t="s">
        <v>59</v>
      </c>
      <c r="E194" t="s">
        <v>22</v>
      </c>
      <c r="F194" t="s">
        <v>23</v>
      </c>
      <c r="G194" t="s">
        <v>38</v>
      </c>
      <c r="H194" t="s">
        <v>63</v>
      </c>
      <c r="I194" t="s">
        <v>448</v>
      </c>
      <c r="J194">
        <v>6</v>
      </c>
      <c r="K194" s="2">
        <v>3293.37</v>
      </c>
      <c r="L194">
        <v>10</v>
      </c>
      <c r="M194" s="2">
        <v>17784.2</v>
      </c>
      <c r="N194" s="2">
        <v>14264.3</v>
      </c>
      <c r="O194" s="2">
        <v>3519.9</v>
      </c>
      <c r="P194" t="s">
        <v>41</v>
      </c>
      <c r="Q194" t="s">
        <v>42</v>
      </c>
      <c r="R194" t="str">
        <f>TEXT(Table1[[#This Row],[Order Date]],"mmmm")</f>
        <v>April</v>
      </c>
      <c r="S194">
        <f>YEAR(Table1[[#This Row],[Order Date]])</f>
        <v>2025</v>
      </c>
    </row>
    <row r="195" spans="1:19" x14ac:dyDescent="0.3">
      <c r="A195" t="s">
        <v>449</v>
      </c>
      <c r="B195" s="1">
        <v>45754</v>
      </c>
      <c r="C195" t="s">
        <v>86</v>
      </c>
      <c r="D195" t="s">
        <v>87</v>
      </c>
      <c r="E195" t="s">
        <v>113</v>
      </c>
      <c r="F195" t="s">
        <v>31</v>
      </c>
      <c r="G195" t="s">
        <v>38</v>
      </c>
      <c r="H195" t="s">
        <v>39</v>
      </c>
      <c r="I195" t="s">
        <v>450</v>
      </c>
      <c r="J195">
        <v>4</v>
      </c>
      <c r="K195" s="2">
        <v>1830.34</v>
      </c>
      <c r="L195">
        <v>0</v>
      </c>
      <c r="M195" s="2">
        <v>7321.36</v>
      </c>
      <c r="N195" s="2">
        <v>4256.67</v>
      </c>
      <c r="O195" s="2">
        <v>3064.69</v>
      </c>
      <c r="P195" t="s">
        <v>48</v>
      </c>
      <c r="Q195" t="s">
        <v>49</v>
      </c>
      <c r="R195" t="str">
        <f>TEXT(Table1[[#This Row],[Order Date]],"mmmm")</f>
        <v>April</v>
      </c>
      <c r="S195">
        <f>YEAR(Table1[[#This Row],[Order Date]])</f>
        <v>2025</v>
      </c>
    </row>
    <row r="196" spans="1:19" x14ac:dyDescent="0.3">
      <c r="A196" t="s">
        <v>451</v>
      </c>
      <c r="B196" s="1">
        <v>46167</v>
      </c>
      <c r="C196" t="s">
        <v>86</v>
      </c>
      <c r="D196" t="s">
        <v>90</v>
      </c>
      <c r="E196" t="s">
        <v>22</v>
      </c>
      <c r="F196" t="s">
        <v>23</v>
      </c>
      <c r="G196" t="s">
        <v>45</v>
      </c>
      <c r="H196" t="s">
        <v>159</v>
      </c>
      <c r="I196" t="s">
        <v>452</v>
      </c>
      <c r="J196">
        <v>9</v>
      </c>
      <c r="K196" s="2">
        <v>4210.54</v>
      </c>
      <c r="L196">
        <v>20</v>
      </c>
      <c r="M196" s="2">
        <v>30315.89</v>
      </c>
      <c r="N196" s="2">
        <v>19710.48</v>
      </c>
      <c r="O196" s="2">
        <v>10605.41</v>
      </c>
      <c r="P196" t="s">
        <v>48</v>
      </c>
      <c r="Q196" t="s">
        <v>49</v>
      </c>
      <c r="R196" t="str">
        <f>TEXT(Table1[[#This Row],[Order Date]],"mmmm")</f>
        <v>May</v>
      </c>
      <c r="S196">
        <f>YEAR(Table1[[#This Row],[Order Date]])</f>
        <v>2026</v>
      </c>
    </row>
    <row r="197" spans="1:19" x14ac:dyDescent="0.3">
      <c r="A197" t="s">
        <v>453</v>
      </c>
      <c r="B197" s="1">
        <v>46078</v>
      </c>
      <c r="C197" t="s">
        <v>35</v>
      </c>
      <c r="D197" t="s">
        <v>36</v>
      </c>
      <c r="E197" t="s">
        <v>51</v>
      </c>
      <c r="F197" t="s">
        <v>23</v>
      </c>
      <c r="G197" t="s">
        <v>45</v>
      </c>
      <c r="H197" t="s">
        <v>123</v>
      </c>
      <c r="I197" t="s">
        <v>454</v>
      </c>
      <c r="J197">
        <v>1</v>
      </c>
      <c r="K197" s="2">
        <v>3912.03</v>
      </c>
      <c r="L197">
        <v>5</v>
      </c>
      <c r="M197" s="2">
        <v>3716.43</v>
      </c>
      <c r="N197" s="2">
        <v>2314.9699999999998</v>
      </c>
      <c r="O197" s="2">
        <v>1401.46</v>
      </c>
      <c r="P197" t="s">
        <v>48</v>
      </c>
      <c r="Q197" t="s">
        <v>61</v>
      </c>
      <c r="R197" t="str">
        <f>TEXT(Table1[[#This Row],[Order Date]],"mmmm")</f>
        <v>February</v>
      </c>
      <c r="S197">
        <f>YEAR(Table1[[#This Row],[Order Date]])</f>
        <v>2026</v>
      </c>
    </row>
    <row r="198" spans="1:19" x14ac:dyDescent="0.3">
      <c r="A198" t="s">
        <v>455</v>
      </c>
      <c r="B198" s="1">
        <v>45852</v>
      </c>
      <c r="C198" t="s">
        <v>20</v>
      </c>
      <c r="D198" t="s">
        <v>21</v>
      </c>
      <c r="E198" t="s">
        <v>51</v>
      </c>
      <c r="F198" t="s">
        <v>37</v>
      </c>
      <c r="G198" t="s">
        <v>38</v>
      </c>
      <c r="H198" t="s">
        <v>72</v>
      </c>
      <c r="I198" t="s">
        <v>456</v>
      </c>
      <c r="J198">
        <v>12</v>
      </c>
      <c r="K198" s="2">
        <v>2971.41</v>
      </c>
      <c r="L198">
        <v>0</v>
      </c>
      <c r="M198" s="2">
        <v>35656.92</v>
      </c>
      <c r="N198" s="2">
        <v>22444.37</v>
      </c>
      <c r="O198" s="2">
        <v>13212.55</v>
      </c>
      <c r="P198" t="s">
        <v>41</v>
      </c>
      <c r="Q198" t="s">
        <v>42</v>
      </c>
      <c r="R198" t="str">
        <f>TEXT(Table1[[#This Row],[Order Date]],"mmmm")</f>
        <v>July</v>
      </c>
      <c r="S198">
        <f>YEAR(Table1[[#This Row],[Order Date]])</f>
        <v>2025</v>
      </c>
    </row>
    <row r="199" spans="1:19" x14ac:dyDescent="0.3">
      <c r="A199" t="s">
        <v>457</v>
      </c>
      <c r="B199" s="1">
        <v>46181</v>
      </c>
      <c r="C199" t="s">
        <v>35</v>
      </c>
      <c r="D199" t="s">
        <v>59</v>
      </c>
      <c r="E199" t="s">
        <v>66</v>
      </c>
      <c r="F199" t="s">
        <v>23</v>
      </c>
      <c r="G199" t="s">
        <v>24</v>
      </c>
      <c r="H199" t="s">
        <v>171</v>
      </c>
      <c r="I199" t="s">
        <v>458</v>
      </c>
      <c r="J199">
        <v>2</v>
      </c>
      <c r="K199" s="2">
        <v>2460.6999999999998</v>
      </c>
      <c r="L199">
        <v>0</v>
      </c>
      <c r="M199" s="2">
        <v>4921.3999999999996</v>
      </c>
      <c r="N199" s="2">
        <v>2841.63</v>
      </c>
      <c r="O199" s="2">
        <v>2079.77</v>
      </c>
      <c r="P199" t="s">
        <v>48</v>
      </c>
      <c r="Q199" t="s">
        <v>28</v>
      </c>
      <c r="R199" t="str">
        <f>TEXT(Table1[[#This Row],[Order Date]],"mmmm")</f>
        <v>June</v>
      </c>
      <c r="S199">
        <f>YEAR(Table1[[#This Row],[Order Date]])</f>
        <v>2026</v>
      </c>
    </row>
    <row r="200" spans="1:19" x14ac:dyDescent="0.3">
      <c r="A200" t="s">
        <v>459</v>
      </c>
      <c r="B200" s="1">
        <v>45673</v>
      </c>
      <c r="C200" t="s">
        <v>70</v>
      </c>
      <c r="D200" t="s">
        <v>75</v>
      </c>
      <c r="E200" t="s">
        <v>170</v>
      </c>
      <c r="F200" t="s">
        <v>37</v>
      </c>
      <c r="G200" t="s">
        <v>45</v>
      </c>
      <c r="H200" t="s">
        <v>52</v>
      </c>
      <c r="I200" t="s">
        <v>460</v>
      </c>
      <c r="J200">
        <v>8</v>
      </c>
      <c r="K200" s="2">
        <v>719.28</v>
      </c>
      <c r="L200">
        <v>10</v>
      </c>
      <c r="M200" s="2">
        <v>5178.82</v>
      </c>
      <c r="N200" s="2">
        <v>4179.46</v>
      </c>
      <c r="O200" s="2">
        <v>999.36</v>
      </c>
      <c r="P200" t="s">
        <v>41</v>
      </c>
      <c r="Q200" t="s">
        <v>28</v>
      </c>
      <c r="R200" t="str">
        <f>TEXT(Table1[[#This Row],[Order Date]],"mmmm")</f>
        <v>January</v>
      </c>
      <c r="S200">
        <f>YEAR(Table1[[#This Row],[Order Date]])</f>
        <v>2025</v>
      </c>
    </row>
    <row r="201" spans="1:19" x14ac:dyDescent="0.3">
      <c r="A201" t="s">
        <v>461</v>
      </c>
      <c r="B201" s="1">
        <v>45734</v>
      </c>
      <c r="C201" t="s">
        <v>70</v>
      </c>
      <c r="D201" t="s">
        <v>75</v>
      </c>
      <c r="E201" t="s">
        <v>22</v>
      </c>
      <c r="F201" t="s">
        <v>31</v>
      </c>
      <c r="G201" t="s">
        <v>38</v>
      </c>
      <c r="H201" t="s">
        <v>39</v>
      </c>
      <c r="I201" t="s">
        <v>462</v>
      </c>
      <c r="J201">
        <v>14</v>
      </c>
      <c r="K201" s="2">
        <v>1147.24</v>
      </c>
      <c r="L201">
        <v>20</v>
      </c>
      <c r="M201" s="2">
        <v>12849.09</v>
      </c>
      <c r="N201" s="2">
        <v>8181.27</v>
      </c>
      <c r="O201" s="2">
        <v>4667.82</v>
      </c>
      <c r="P201" t="s">
        <v>27</v>
      </c>
      <c r="Q201" t="s">
        <v>49</v>
      </c>
      <c r="R201" t="str">
        <f>TEXT(Table1[[#This Row],[Order Date]],"mmmm")</f>
        <v>March</v>
      </c>
      <c r="S201">
        <f>YEAR(Table1[[#This Row],[Order Date]])</f>
        <v>2025</v>
      </c>
    </row>
    <row r="202" spans="1:19" x14ac:dyDescent="0.3">
      <c r="A202" t="s">
        <v>463</v>
      </c>
      <c r="B202" s="1">
        <v>45731</v>
      </c>
      <c r="C202" t="s">
        <v>35</v>
      </c>
      <c r="D202" t="s">
        <v>59</v>
      </c>
      <c r="E202" t="s">
        <v>170</v>
      </c>
      <c r="F202" t="s">
        <v>31</v>
      </c>
      <c r="G202" t="s">
        <v>45</v>
      </c>
      <c r="H202" t="s">
        <v>123</v>
      </c>
      <c r="I202" t="s">
        <v>464</v>
      </c>
      <c r="J202">
        <v>2</v>
      </c>
      <c r="K202" s="2">
        <v>4677.54</v>
      </c>
      <c r="L202">
        <v>20</v>
      </c>
      <c r="M202" s="2">
        <v>7484.06</v>
      </c>
      <c r="N202" s="2">
        <v>6051.01</v>
      </c>
      <c r="O202" s="2">
        <v>1433.05</v>
      </c>
      <c r="P202" t="s">
        <v>41</v>
      </c>
      <c r="Q202" t="s">
        <v>28</v>
      </c>
      <c r="R202" t="str">
        <f>TEXT(Table1[[#This Row],[Order Date]],"mmmm")</f>
        <v>March</v>
      </c>
      <c r="S202">
        <f>YEAR(Table1[[#This Row],[Order Date]])</f>
        <v>2025</v>
      </c>
    </row>
    <row r="203" spans="1:19" x14ac:dyDescent="0.3">
      <c r="A203" t="s">
        <v>465</v>
      </c>
      <c r="B203" s="1">
        <v>45900</v>
      </c>
      <c r="C203" t="s">
        <v>70</v>
      </c>
      <c r="D203" t="s">
        <v>75</v>
      </c>
      <c r="E203" t="s">
        <v>66</v>
      </c>
      <c r="F203" t="s">
        <v>23</v>
      </c>
      <c r="G203" t="s">
        <v>38</v>
      </c>
      <c r="H203" t="s">
        <v>39</v>
      </c>
      <c r="I203" t="s">
        <v>466</v>
      </c>
      <c r="J203">
        <v>2</v>
      </c>
      <c r="K203" s="2">
        <v>4096.2700000000004</v>
      </c>
      <c r="L203">
        <v>0</v>
      </c>
      <c r="M203" s="2">
        <v>8192.5400000000009</v>
      </c>
      <c r="N203" s="2">
        <v>5314.88</v>
      </c>
      <c r="O203" s="2">
        <v>2877.66</v>
      </c>
      <c r="P203" t="s">
        <v>48</v>
      </c>
      <c r="Q203" t="s">
        <v>42</v>
      </c>
      <c r="R203" t="str">
        <f>TEXT(Table1[[#This Row],[Order Date]],"mmmm")</f>
        <v>August</v>
      </c>
      <c r="S203">
        <f>YEAR(Table1[[#This Row],[Order Date]])</f>
        <v>2025</v>
      </c>
    </row>
    <row r="204" spans="1:19" x14ac:dyDescent="0.3">
      <c r="A204" t="s">
        <v>467</v>
      </c>
      <c r="B204" s="1">
        <v>45743</v>
      </c>
      <c r="C204" t="s">
        <v>70</v>
      </c>
      <c r="D204" t="s">
        <v>71</v>
      </c>
      <c r="E204" t="s">
        <v>30</v>
      </c>
      <c r="F204" t="s">
        <v>37</v>
      </c>
      <c r="G204" t="s">
        <v>38</v>
      </c>
      <c r="H204" t="s">
        <v>91</v>
      </c>
      <c r="I204" t="s">
        <v>468</v>
      </c>
      <c r="J204">
        <v>7</v>
      </c>
      <c r="K204" s="2">
        <v>4140.58</v>
      </c>
      <c r="L204">
        <v>5</v>
      </c>
      <c r="M204" s="2">
        <v>27534.86</v>
      </c>
      <c r="N204" s="2">
        <v>21619.43</v>
      </c>
      <c r="O204" s="2">
        <v>5915.43</v>
      </c>
      <c r="P204" t="s">
        <v>48</v>
      </c>
      <c r="Q204" t="s">
        <v>28</v>
      </c>
      <c r="R204" t="str">
        <f>TEXT(Table1[[#This Row],[Order Date]],"mmmm")</f>
        <v>March</v>
      </c>
      <c r="S204">
        <f>YEAR(Table1[[#This Row],[Order Date]])</f>
        <v>2025</v>
      </c>
    </row>
    <row r="205" spans="1:19" x14ac:dyDescent="0.3">
      <c r="A205" t="s">
        <v>469</v>
      </c>
      <c r="B205" s="1">
        <v>46186</v>
      </c>
      <c r="C205" t="s">
        <v>86</v>
      </c>
      <c r="D205" t="s">
        <v>87</v>
      </c>
      <c r="E205" t="s">
        <v>51</v>
      </c>
      <c r="F205" t="s">
        <v>31</v>
      </c>
      <c r="G205" t="s">
        <v>24</v>
      </c>
      <c r="H205" t="s">
        <v>56</v>
      </c>
      <c r="I205" t="s">
        <v>470</v>
      </c>
      <c r="J205">
        <v>11</v>
      </c>
      <c r="K205" s="2">
        <v>2467.09</v>
      </c>
      <c r="L205">
        <v>15</v>
      </c>
      <c r="M205" s="2">
        <v>23067.29</v>
      </c>
      <c r="N205" s="2">
        <v>16859.759999999998</v>
      </c>
      <c r="O205" s="2">
        <v>6207.53</v>
      </c>
      <c r="P205" t="s">
        <v>27</v>
      </c>
      <c r="Q205" t="s">
        <v>42</v>
      </c>
      <c r="R205" t="str">
        <f>TEXT(Table1[[#This Row],[Order Date]],"mmmm")</f>
        <v>June</v>
      </c>
      <c r="S205">
        <f>YEAR(Table1[[#This Row],[Order Date]])</f>
        <v>2026</v>
      </c>
    </row>
    <row r="206" spans="1:19" x14ac:dyDescent="0.3">
      <c r="A206" t="s">
        <v>471</v>
      </c>
      <c r="B206" s="1">
        <v>45941</v>
      </c>
      <c r="C206" t="s">
        <v>86</v>
      </c>
      <c r="D206" t="s">
        <v>90</v>
      </c>
      <c r="E206" t="s">
        <v>113</v>
      </c>
      <c r="F206" t="s">
        <v>37</v>
      </c>
      <c r="G206" t="s">
        <v>38</v>
      </c>
      <c r="H206" t="s">
        <v>39</v>
      </c>
      <c r="I206" t="s">
        <v>472</v>
      </c>
      <c r="J206">
        <v>9</v>
      </c>
      <c r="K206" s="2">
        <v>886.25</v>
      </c>
      <c r="L206">
        <v>10</v>
      </c>
      <c r="M206" s="2">
        <v>7178.62</v>
      </c>
      <c r="N206" s="2">
        <v>5751.04</v>
      </c>
      <c r="O206" s="2">
        <v>1427.58</v>
      </c>
      <c r="P206" t="s">
        <v>27</v>
      </c>
      <c r="Q206" t="s">
        <v>61</v>
      </c>
      <c r="R206" t="str">
        <f>TEXT(Table1[[#This Row],[Order Date]],"mmmm")</f>
        <v>October</v>
      </c>
      <c r="S206">
        <f>YEAR(Table1[[#This Row],[Order Date]])</f>
        <v>2025</v>
      </c>
    </row>
    <row r="207" spans="1:19" x14ac:dyDescent="0.3">
      <c r="A207" t="s">
        <v>473</v>
      </c>
      <c r="B207" s="1">
        <v>45876</v>
      </c>
      <c r="C207" t="s">
        <v>86</v>
      </c>
      <c r="D207" t="s">
        <v>87</v>
      </c>
      <c r="E207" t="s">
        <v>170</v>
      </c>
      <c r="F207" t="s">
        <v>37</v>
      </c>
      <c r="G207" t="s">
        <v>24</v>
      </c>
      <c r="H207" t="s">
        <v>25</v>
      </c>
      <c r="I207" t="s">
        <v>474</v>
      </c>
      <c r="J207">
        <v>11</v>
      </c>
      <c r="K207" s="2">
        <v>793.85</v>
      </c>
      <c r="L207">
        <v>5</v>
      </c>
      <c r="M207" s="2">
        <v>8295.73</v>
      </c>
      <c r="N207" s="2">
        <v>5469.97</v>
      </c>
      <c r="O207" s="2">
        <v>2825.76</v>
      </c>
      <c r="P207" t="s">
        <v>27</v>
      </c>
      <c r="Q207" t="s">
        <v>49</v>
      </c>
      <c r="R207" t="str">
        <f>TEXT(Table1[[#This Row],[Order Date]],"mmmm")</f>
        <v>August</v>
      </c>
      <c r="S207">
        <f>YEAR(Table1[[#This Row],[Order Date]])</f>
        <v>2025</v>
      </c>
    </row>
    <row r="208" spans="1:19" x14ac:dyDescent="0.3">
      <c r="A208" t="s">
        <v>475</v>
      </c>
      <c r="B208" s="1">
        <v>46051</v>
      </c>
      <c r="C208" t="s">
        <v>86</v>
      </c>
      <c r="D208" t="s">
        <v>90</v>
      </c>
      <c r="E208" t="s">
        <v>113</v>
      </c>
      <c r="F208" t="s">
        <v>31</v>
      </c>
      <c r="G208" t="s">
        <v>24</v>
      </c>
      <c r="H208" t="s">
        <v>171</v>
      </c>
      <c r="I208" t="s">
        <v>423</v>
      </c>
      <c r="J208">
        <v>1</v>
      </c>
      <c r="K208" s="2">
        <v>2441.11</v>
      </c>
      <c r="L208">
        <v>20</v>
      </c>
      <c r="M208" s="2">
        <v>1952.89</v>
      </c>
      <c r="N208" s="2">
        <v>1176.67</v>
      </c>
      <c r="O208" s="2">
        <v>776.22</v>
      </c>
      <c r="P208" t="s">
        <v>27</v>
      </c>
      <c r="Q208" t="s">
        <v>49</v>
      </c>
      <c r="R208" t="str">
        <f>TEXT(Table1[[#This Row],[Order Date]],"mmmm")</f>
        <v>January</v>
      </c>
      <c r="S208">
        <f>YEAR(Table1[[#This Row],[Order Date]])</f>
        <v>2026</v>
      </c>
    </row>
    <row r="209" spans="1:19" x14ac:dyDescent="0.3">
      <c r="A209" t="s">
        <v>476</v>
      </c>
      <c r="B209" s="1">
        <v>45766</v>
      </c>
      <c r="C209" t="s">
        <v>20</v>
      </c>
      <c r="D209" t="s">
        <v>55</v>
      </c>
      <c r="E209" t="s">
        <v>30</v>
      </c>
      <c r="F209" t="s">
        <v>31</v>
      </c>
      <c r="G209" t="s">
        <v>38</v>
      </c>
      <c r="H209" t="s">
        <v>63</v>
      </c>
      <c r="I209" t="s">
        <v>477</v>
      </c>
      <c r="J209">
        <v>3</v>
      </c>
      <c r="K209" s="2">
        <v>1808.82</v>
      </c>
      <c r="L209">
        <v>10</v>
      </c>
      <c r="M209" s="2">
        <v>4883.8100000000004</v>
      </c>
      <c r="N209" s="2">
        <v>3114.4</v>
      </c>
      <c r="O209" s="2">
        <v>1769.41</v>
      </c>
      <c r="P209" t="s">
        <v>41</v>
      </c>
      <c r="Q209" t="s">
        <v>49</v>
      </c>
      <c r="R209" t="str">
        <f>TEXT(Table1[[#This Row],[Order Date]],"mmmm")</f>
        <v>April</v>
      </c>
      <c r="S209">
        <f>YEAR(Table1[[#This Row],[Order Date]])</f>
        <v>2025</v>
      </c>
    </row>
    <row r="210" spans="1:19" x14ac:dyDescent="0.3">
      <c r="A210" t="s">
        <v>478</v>
      </c>
      <c r="B210" s="1">
        <v>46065</v>
      </c>
      <c r="C210" t="s">
        <v>86</v>
      </c>
      <c r="D210" t="s">
        <v>87</v>
      </c>
      <c r="E210" t="s">
        <v>30</v>
      </c>
      <c r="F210" t="s">
        <v>37</v>
      </c>
      <c r="G210" t="s">
        <v>45</v>
      </c>
      <c r="H210" t="s">
        <v>46</v>
      </c>
      <c r="I210" t="s">
        <v>479</v>
      </c>
      <c r="J210">
        <v>10</v>
      </c>
      <c r="K210" s="2">
        <v>4355.58</v>
      </c>
      <c r="L210">
        <v>20</v>
      </c>
      <c r="M210" s="2">
        <v>34844.639999999999</v>
      </c>
      <c r="N210" s="2">
        <v>26330.44</v>
      </c>
      <c r="O210" s="2">
        <v>8514.2000000000007</v>
      </c>
      <c r="P210" t="s">
        <v>48</v>
      </c>
      <c r="Q210" t="s">
        <v>42</v>
      </c>
      <c r="R210" t="str">
        <f>TEXT(Table1[[#This Row],[Order Date]],"mmmm")</f>
        <v>February</v>
      </c>
      <c r="S210">
        <f>YEAR(Table1[[#This Row],[Order Date]])</f>
        <v>2026</v>
      </c>
    </row>
    <row r="211" spans="1:19" x14ac:dyDescent="0.3">
      <c r="A211" t="s">
        <v>480</v>
      </c>
      <c r="B211" s="1">
        <v>46187</v>
      </c>
      <c r="C211" t="s">
        <v>70</v>
      </c>
      <c r="D211" t="s">
        <v>71</v>
      </c>
      <c r="E211" t="s">
        <v>66</v>
      </c>
      <c r="F211" t="s">
        <v>37</v>
      </c>
      <c r="G211" t="s">
        <v>24</v>
      </c>
      <c r="H211" t="s">
        <v>25</v>
      </c>
      <c r="I211" t="s">
        <v>481</v>
      </c>
      <c r="J211">
        <v>2</v>
      </c>
      <c r="K211" s="2">
        <v>3047.51</v>
      </c>
      <c r="L211">
        <v>0</v>
      </c>
      <c r="M211" s="2">
        <v>6095.02</v>
      </c>
      <c r="N211" s="2">
        <v>4247.3</v>
      </c>
      <c r="O211" s="2">
        <v>1847.72</v>
      </c>
      <c r="P211" t="s">
        <v>27</v>
      </c>
      <c r="Q211" t="s">
        <v>61</v>
      </c>
      <c r="R211" t="str">
        <f>TEXT(Table1[[#This Row],[Order Date]],"mmmm")</f>
        <v>June</v>
      </c>
      <c r="S211">
        <f>YEAR(Table1[[#This Row],[Order Date]])</f>
        <v>2026</v>
      </c>
    </row>
    <row r="212" spans="1:19" x14ac:dyDescent="0.3">
      <c r="A212" t="s">
        <v>482</v>
      </c>
      <c r="B212" s="1">
        <v>45950</v>
      </c>
      <c r="C212" t="s">
        <v>35</v>
      </c>
      <c r="D212" t="s">
        <v>36</v>
      </c>
      <c r="E212" t="s">
        <v>66</v>
      </c>
      <c r="F212" t="s">
        <v>31</v>
      </c>
      <c r="G212" t="s">
        <v>38</v>
      </c>
      <c r="H212" t="s">
        <v>106</v>
      </c>
      <c r="I212" t="s">
        <v>483</v>
      </c>
      <c r="J212">
        <v>2</v>
      </c>
      <c r="K212" s="2">
        <v>2564.14</v>
      </c>
      <c r="L212">
        <v>15</v>
      </c>
      <c r="M212" s="2">
        <v>4359.04</v>
      </c>
      <c r="N212" s="2">
        <v>3364.64</v>
      </c>
      <c r="O212" s="2">
        <v>994.4</v>
      </c>
      <c r="P212" t="s">
        <v>48</v>
      </c>
      <c r="Q212" t="s">
        <v>61</v>
      </c>
      <c r="R212" t="str">
        <f>TEXT(Table1[[#This Row],[Order Date]],"mmmm")</f>
        <v>October</v>
      </c>
      <c r="S212">
        <f>YEAR(Table1[[#This Row],[Order Date]])</f>
        <v>2025</v>
      </c>
    </row>
    <row r="213" spans="1:19" x14ac:dyDescent="0.3">
      <c r="A213" t="s">
        <v>484</v>
      </c>
      <c r="B213" s="1">
        <v>45890</v>
      </c>
      <c r="C213" t="s">
        <v>86</v>
      </c>
      <c r="D213" t="s">
        <v>87</v>
      </c>
      <c r="E213" t="s">
        <v>51</v>
      </c>
      <c r="F213" t="s">
        <v>37</v>
      </c>
      <c r="G213" t="s">
        <v>24</v>
      </c>
      <c r="H213" t="s">
        <v>32</v>
      </c>
      <c r="I213" t="s">
        <v>485</v>
      </c>
      <c r="J213">
        <v>8</v>
      </c>
      <c r="K213" s="2">
        <v>252.74</v>
      </c>
      <c r="L213">
        <v>5</v>
      </c>
      <c r="M213" s="2">
        <v>1920.82</v>
      </c>
      <c r="N213" s="2">
        <v>1074.43</v>
      </c>
      <c r="O213" s="2">
        <v>846.39</v>
      </c>
      <c r="P213" t="s">
        <v>41</v>
      </c>
      <c r="Q213" t="s">
        <v>61</v>
      </c>
      <c r="R213" t="str">
        <f>TEXT(Table1[[#This Row],[Order Date]],"mmmm")</f>
        <v>August</v>
      </c>
      <c r="S213">
        <f>YEAR(Table1[[#This Row],[Order Date]])</f>
        <v>2025</v>
      </c>
    </row>
    <row r="214" spans="1:19" x14ac:dyDescent="0.3">
      <c r="A214" t="s">
        <v>486</v>
      </c>
      <c r="B214" s="1">
        <v>45708</v>
      </c>
      <c r="C214" t="s">
        <v>35</v>
      </c>
      <c r="D214" t="s">
        <v>36</v>
      </c>
      <c r="E214" t="s">
        <v>170</v>
      </c>
      <c r="F214" t="s">
        <v>23</v>
      </c>
      <c r="G214" t="s">
        <v>24</v>
      </c>
      <c r="H214" t="s">
        <v>56</v>
      </c>
      <c r="I214" t="s">
        <v>487</v>
      </c>
      <c r="J214">
        <v>6</v>
      </c>
      <c r="K214" s="2">
        <v>4037.73</v>
      </c>
      <c r="L214">
        <v>0</v>
      </c>
      <c r="M214" s="2">
        <v>24226.38</v>
      </c>
      <c r="N214" s="2">
        <v>15552.81</v>
      </c>
      <c r="O214" s="2">
        <v>8673.57</v>
      </c>
      <c r="P214" t="s">
        <v>48</v>
      </c>
      <c r="Q214" t="s">
        <v>49</v>
      </c>
      <c r="R214" t="str">
        <f>TEXT(Table1[[#This Row],[Order Date]],"mmmm")</f>
        <v>February</v>
      </c>
      <c r="S214">
        <f>YEAR(Table1[[#This Row],[Order Date]])</f>
        <v>2025</v>
      </c>
    </row>
    <row r="215" spans="1:19" x14ac:dyDescent="0.3">
      <c r="A215" t="s">
        <v>488</v>
      </c>
      <c r="B215" s="1">
        <v>45683</v>
      </c>
      <c r="C215" t="s">
        <v>70</v>
      </c>
      <c r="D215" t="s">
        <v>75</v>
      </c>
      <c r="E215" t="s">
        <v>120</v>
      </c>
      <c r="F215" t="s">
        <v>37</v>
      </c>
      <c r="G215" t="s">
        <v>45</v>
      </c>
      <c r="H215" t="s">
        <v>67</v>
      </c>
      <c r="I215" t="s">
        <v>489</v>
      </c>
      <c r="J215">
        <v>15</v>
      </c>
      <c r="K215" s="2">
        <v>3510.32</v>
      </c>
      <c r="L215">
        <v>0</v>
      </c>
      <c r="M215" s="2">
        <v>52654.8</v>
      </c>
      <c r="N215" s="2">
        <v>41850.080000000002</v>
      </c>
      <c r="O215" s="2">
        <v>10804.72</v>
      </c>
      <c r="P215" t="s">
        <v>41</v>
      </c>
      <c r="Q215" t="s">
        <v>42</v>
      </c>
      <c r="R215" t="str">
        <f>TEXT(Table1[[#This Row],[Order Date]],"mmmm")</f>
        <v>January</v>
      </c>
      <c r="S215">
        <f>YEAR(Table1[[#This Row],[Order Date]])</f>
        <v>2025</v>
      </c>
    </row>
    <row r="216" spans="1:19" x14ac:dyDescent="0.3">
      <c r="A216" t="s">
        <v>490</v>
      </c>
      <c r="B216" s="1">
        <v>45953</v>
      </c>
      <c r="C216" t="s">
        <v>35</v>
      </c>
      <c r="D216" t="s">
        <v>59</v>
      </c>
      <c r="E216" t="s">
        <v>44</v>
      </c>
      <c r="F216" t="s">
        <v>23</v>
      </c>
      <c r="G216" t="s">
        <v>24</v>
      </c>
      <c r="H216" t="s">
        <v>56</v>
      </c>
      <c r="I216" t="s">
        <v>491</v>
      </c>
      <c r="J216">
        <v>6</v>
      </c>
      <c r="K216" s="2">
        <v>1106.6400000000001</v>
      </c>
      <c r="L216">
        <v>10</v>
      </c>
      <c r="M216" s="2">
        <v>5975.86</v>
      </c>
      <c r="N216" s="2">
        <v>3553.78</v>
      </c>
      <c r="O216" s="2">
        <v>2422.08</v>
      </c>
      <c r="P216" t="s">
        <v>41</v>
      </c>
      <c r="Q216" t="s">
        <v>28</v>
      </c>
      <c r="R216" t="str">
        <f>TEXT(Table1[[#This Row],[Order Date]],"mmmm")</f>
        <v>October</v>
      </c>
      <c r="S216">
        <f>YEAR(Table1[[#This Row],[Order Date]])</f>
        <v>2025</v>
      </c>
    </row>
    <row r="217" spans="1:19" x14ac:dyDescent="0.3">
      <c r="A217" t="s">
        <v>492</v>
      </c>
      <c r="B217" s="1">
        <v>46101</v>
      </c>
      <c r="C217" t="s">
        <v>70</v>
      </c>
      <c r="D217" t="s">
        <v>71</v>
      </c>
      <c r="E217" t="s">
        <v>44</v>
      </c>
      <c r="F217" t="s">
        <v>23</v>
      </c>
      <c r="G217" t="s">
        <v>38</v>
      </c>
      <c r="H217" t="s">
        <v>91</v>
      </c>
      <c r="I217" t="s">
        <v>493</v>
      </c>
      <c r="J217">
        <v>12</v>
      </c>
      <c r="K217" s="2">
        <v>3825.39</v>
      </c>
      <c r="L217">
        <v>10</v>
      </c>
      <c r="M217" s="2">
        <v>41314.21</v>
      </c>
      <c r="N217" s="2">
        <v>31659</v>
      </c>
      <c r="O217" s="2">
        <v>9655.2099999999991</v>
      </c>
      <c r="P217" t="s">
        <v>48</v>
      </c>
      <c r="Q217" t="s">
        <v>42</v>
      </c>
      <c r="R217" t="str">
        <f>TEXT(Table1[[#This Row],[Order Date]],"mmmm")</f>
        <v>March</v>
      </c>
      <c r="S217">
        <f>YEAR(Table1[[#This Row],[Order Date]])</f>
        <v>2026</v>
      </c>
    </row>
    <row r="218" spans="1:19" x14ac:dyDescent="0.3">
      <c r="A218" t="s">
        <v>494</v>
      </c>
      <c r="B218" s="1">
        <v>45764</v>
      </c>
      <c r="C218" t="s">
        <v>70</v>
      </c>
      <c r="D218" t="s">
        <v>71</v>
      </c>
      <c r="E218" t="s">
        <v>44</v>
      </c>
      <c r="F218" t="s">
        <v>23</v>
      </c>
      <c r="G218" t="s">
        <v>24</v>
      </c>
      <c r="H218" t="s">
        <v>134</v>
      </c>
      <c r="I218" t="s">
        <v>495</v>
      </c>
      <c r="J218">
        <v>7</v>
      </c>
      <c r="K218" s="2">
        <v>3785.13</v>
      </c>
      <c r="L218">
        <v>10</v>
      </c>
      <c r="M218" s="2">
        <v>23846.32</v>
      </c>
      <c r="N218" s="2">
        <v>15275.52</v>
      </c>
      <c r="O218" s="2">
        <v>8570.7999999999993</v>
      </c>
      <c r="P218" t="s">
        <v>48</v>
      </c>
      <c r="Q218" t="s">
        <v>42</v>
      </c>
      <c r="R218" t="str">
        <f>TEXT(Table1[[#This Row],[Order Date]],"mmmm")</f>
        <v>April</v>
      </c>
      <c r="S218">
        <f>YEAR(Table1[[#This Row],[Order Date]])</f>
        <v>2025</v>
      </c>
    </row>
    <row r="219" spans="1:19" x14ac:dyDescent="0.3">
      <c r="A219" t="s">
        <v>496</v>
      </c>
      <c r="B219" s="1">
        <v>46174</v>
      </c>
      <c r="C219" t="s">
        <v>35</v>
      </c>
      <c r="D219" t="s">
        <v>36</v>
      </c>
      <c r="E219" t="s">
        <v>170</v>
      </c>
      <c r="F219" t="s">
        <v>23</v>
      </c>
      <c r="G219" t="s">
        <v>38</v>
      </c>
      <c r="H219" t="s">
        <v>106</v>
      </c>
      <c r="I219" t="s">
        <v>497</v>
      </c>
      <c r="J219">
        <v>4</v>
      </c>
      <c r="K219" s="2">
        <v>2398.25</v>
      </c>
      <c r="L219">
        <v>5</v>
      </c>
      <c r="M219" s="2">
        <v>9113.35</v>
      </c>
      <c r="N219" s="2">
        <v>6270.77</v>
      </c>
      <c r="O219" s="2">
        <v>2842.58</v>
      </c>
      <c r="P219" t="s">
        <v>48</v>
      </c>
      <c r="Q219" t="s">
        <v>28</v>
      </c>
      <c r="R219" t="str">
        <f>TEXT(Table1[[#This Row],[Order Date]],"mmmm")</f>
        <v>June</v>
      </c>
      <c r="S219">
        <f>YEAR(Table1[[#This Row],[Order Date]])</f>
        <v>2026</v>
      </c>
    </row>
    <row r="220" spans="1:19" x14ac:dyDescent="0.3">
      <c r="A220" t="s">
        <v>498</v>
      </c>
      <c r="B220" s="1">
        <v>45930</v>
      </c>
      <c r="C220" t="s">
        <v>70</v>
      </c>
      <c r="D220" t="s">
        <v>71</v>
      </c>
      <c r="E220" t="s">
        <v>44</v>
      </c>
      <c r="F220" t="s">
        <v>31</v>
      </c>
      <c r="G220" t="s">
        <v>24</v>
      </c>
      <c r="H220" t="s">
        <v>134</v>
      </c>
      <c r="I220" t="s">
        <v>499</v>
      </c>
      <c r="J220">
        <v>11</v>
      </c>
      <c r="K220" s="2">
        <v>1268.25</v>
      </c>
      <c r="L220">
        <v>20</v>
      </c>
      <c r="M220" s="2">
        <v>11160.6</v>
      </c>
      <c r="N220" s="2">
        <v>7472.02</v>
      </c>
      <c r="O220" s="2">
        <v>3688.58</v>
      </c>
      <c r="P220" t="s">
        <v>27</v>
      </c>
      <c r="Q220" t="s">
        <v>42</v>
      </c>
      <c r="R220" t="str">
        <f>TEXT(Table1[[#This Row],[Order Date]],"mmmm")</f>
        <v>September</v>
      </c>
      <c r="S220">
        <f>YEAR(Table1[[#This Row],[Order Date]])</f>
        <v>2025</v>
      </c>
    </row>
    <row r="221" spans="1:19" x14ac:dyDescent="0.3">
      <c r="A221" t="s">
        <v>500</v>
      </c>
      <c r="B221" s="1">
        <v>46126</v>
      </c>
      <c r="C221" t="s">
        <v>20</v>
      </c>
      <c r="D221" t="s">
        <v>21</v>
      </c>
      <c r="E221" t="s">
        <v>120</v>
      </c>
      <c r="F221" t="s">
        <v>23</v>
      </c>
      <c r="G221" t="s">
        <v>24</v>
      </c>
      <c r="H221" t="s">
        <v>171</v>
      </c>
      <c r="I221" t="s">
        <v>501</v>
      </c>
      <c r="J221">
        <v>6</v>
      </c>
      <c r="K221" s="2">
        <v>2677.73</v>
      </c>
      <c r="L221">
        <v>0</v>
      </c>
      <c r="M221" s="2">
        <v>16066.38</v>
      </c>
      <c r="N221" s="2">
        <v>9067.89</v>
      </c>
      <c r="O221" s="2">
        <v>6998.49</v>
      </c>
      <c r="P221" t="s">
        <v>48</v>
      </c>
      <c r="Q221" t="s">
        <v>42</v>
      </c>
      <c r="R221" t="str">
        <f>TEXT(Table1[[#This Row],[Order Date]],"mmmm")</f>
        <v>April</v>
      </c>
      <c r="S221">
        <f>YEAR(Table1[[#This Row],[Order Date]])</f>
        <v>2026</v>
      </c>
    </row>
    <row r="222" spans="1:19" x14ac:dyDescent="0.3">
      <c r="A222" t="s">
        <v>502</v>
      </c>
      <c r="B222" s="1">
        <v>45987</v>
      </c>
      <c r="C222" t="s">
        <v>35</v>
      </c>
      <c r="D222" t="s">
        <v>36</v>
      </c>
      <c r="E222" t="s">
        <v>51</v>
      </c>
      <c r="F222" t="s">
        <v>31</v>
      </c>
      <c r="G222" t="s">
        <v>45</v>
      </c>
      <c r="H222" t="s">
        <v>52</v>
      </c>
      <c r="I222" t="s">
        <v>503</v>
      </c>
      <c r="J222">
        <v>11</v>
      </c>
      <c r="K222" s="2">
        <v>365.84</v>
      </c>
      <c r="L222">
        <v>20</v>
      </c>
      <c r="M222" s="2">
        <v>3219.39</v>
      </c>
      <c r="N222" s="2">
        <v>2296.04</v>
      </c>
      <c r="O222" s="2">
        <v>923.35</v>
      </c>
      <c r="P222" t="s">
        <v>48</v>
      </c>
      <c r="Q222" t="s">
        <v>42</v>
      </c>
      <c r="R222" t="str">
        <f>TEXT(Table1[[#This Row],[Order Date]],"mmmm")</f>
        <v>November</v>
      </c>
      <c r="S222">
        <f>YEAR(Table1[[#This Row],[Order Date]])</f>
        <v>2025</v>
      </c>
    </row>
    <row r="223" spans="1:19" x14ac:dyDescent="0.3">
      <c r="A223" t="s">
        <v>504</v>
      </c>
      <c r="B223" s="1">
        <v>45927</v>
      </c>
      <c r="C223" t="s">
        <v>86</v>
      </c>
      <c r="D223" t="s">
        <v>87</v>
      </c>
      <c r="E223" t="s">
        <v>51</v>
      </c>
      <c r="F223" t="s">
        <v>23</v>
      </c>
      <c r="G223" t="s">
        <v>38</v>
      </c>
      <c r="H223" t="s">
        <v>106</v>
      </c>
      <c r="I223" t="s">
        <v>505</v>
      </c>
      <c r="J223">
        <v>15</v>
      </c>
      <c r="K223" s="2">
        <v>1423.92</v>
      </c>
      <c r="L223">
        <v>10</v>
      </c>
      <c r="M223" s="2">
        <v>19222.919999999998</v>
      </c>
      <c r="N223" s="2">
        <v>10575.93</v>
      </c>
      <c r="O223" s="2">
        <v>8646.99</v>
      </c>
      <c r="P223" t="s">
        <v>48</v>
      </c>
      <c r="Q223" t="s">
        <v>28</v>
      </c>
      <c r="R223" t="str">
        <f>TEXT(Table1[[#This Row],[Order Date]],"mmmm")</f>
        <v>September</v>
      </c>
      <c r="S223">
        <f>YEAR(Table1[[#This Row],[Order Date]])</f>
        <v>2025</v>
      </c>
    </row>
    <row r="224" spans="1:19" x14ac:dyDescent="0.3">
      <c r="A224" t="s">
        <v>506</v>
      </c>
      <c r="B224" s="1">
        <v>46023</v>
      </c>
      <c r="C224" t="s">
        <v>20</v>
      </c>
      <c r="D224" t="s">
        <v>55</v>
      </c>
      <c r="E224" t="s">
        <v>51</v>
      </c>
      <c r="F224" t="s">
        <v>23</v>
      </c>
      <c r="G224" t="s">
        <v>24</v>
      </c>
      <c r="H224" t="s">
        <v>25</v>
      </c>
      <c r="I224" t="s">
        <v>507</v>
      </c>
      <c r="J224">
        <v>9</v>
      </c>
      <c r="K224" s="2">
        <v>1899.33</v>
      </c>
      <c r="L224">
        <v>5</v>
      </c>
      <c r="M224" s="2">
        <v>16239.27</v>
      </c>
      <c r="N224" s="2">
        <v>11676.5</v>
      </c>
      <c r="O224" s="2">
        <v>4562.7700000000004</v>
      </c>
      <c r="P224" t="s">
        <v>41</v>
      </c>
      <c r="Q224" t="s">
        <v>49</v>
      </c>
      <c r="R224" t="str">
        <f>TEXT(Table1[[#This Row],[Order Date]],"mmmm")</f>
        <v>January</v>
      </c>
      <c r="S224">
        <f>YEAR(Table1[[#This Row],[Order Date]])</f>
        <v>2026</v>
      </c>
    </row>
    <row r="225" spans="1:19" x14ac:dyDescent="0.3">
      <c r="A225" t="s">
        <v>508</v>
      </c>
      <c r="B225" s="1">
        <v>46156</v>
      </c>
      <c r="C225" t="s">
        <v>86</v>
      </c>
      <c r="D225" t="s">
        <v>90</v>
      </c>
      <c r="E225" t="s">
        <v>170</v>
      </c>
      <c r="F225" t="s">
        <v>37</v>
      </c>
      <c r="G225" t="s">
        <v>45</v>
      </c>
      <c r="H225" t="s">
        <v>159</v>
      </c>
      <c r="I225" t="s">
        <v>509</v>
      </c>
      <c r="J225">
        <v>15</v>
      </c>
      <c r="K225" s="2">
        <v>2738.04</v>
      </c>
      <c r="L225">
        <v>5</v>
      </c>
      <c r="M225" s="2">
        <v>39017.07</v>
      </c>
      <c r="N225" s="2">
        <v>22713.1</v>
      </c>
      <c r="O225" s="2">
        <v>16303.97</v>
      </c>
      <c r="P225" t="s">
        <v>27</v>
      </c>
      <c r="Q225" t="s">
        <v>28</v>
      </c>
      <c r="R225" t="str">
        <f>TEXT(Table1[[#This Row],[Order Date]],"mmmm")</f>
        <v>May</v>
      </c>
      <c r="S225">
        <f>YEAR(Table1[[#This Row],[Order Date]])</f>
        <v>2026</v>
      </c>
    </row>
    <row r="226" spans="1:19" x14ac:dyDescent="0.3">
      <c r="A226" t="s">
        <v>510</v>
      </c>
      <c r="B226" s="1">
        <v>46176</v>
      </c>
      <c r="C226" t="s">
        <v>35</v>
      </c>
      <c r="D226" t="s">
        <v>36</v>
      </c>
      <c r="E226" t="s">
        <v>120</v>
      </c>
      <c r="F226" t="s">
        <v>23</v>
      </c>
      <c r="G226" t="s">
        <v>45</v>
      </c>
      <c r="H226" t="s">
        <v>123</v>
      </c>
      <c r="I226" t="s">
        <v>511</v>
      </c>
      <c r="J226">
        <v>4</v>
      </c>
      <c r="K226" s="2">
        <v>1193.52</v>
      </c>
      <c r="L226">
        <v>15</v>
      </c>
      <c r="M226" s="2">
        <v>4057.97</v>
      </c>
      <c r="N226" s="2">
        <v>2896.41</v>
      </c>
      <c r="O226" s="2">
        <v>1161.56</v>
      </c>
      <c r="P226" t="s">
        <v>48</v>
      </c>
      <c r="Q226" t="s">
        <v>49</v>
      </c>
      <c r="R226" t="str">
        <f>TEXT(Table1[[#This Row],[Order Date]],"mmmm")</f>
        <v>June</v>
      </c>
      <c r="S226">
        <f>YEAR(Table1[[#This Row],[Order Date]])</f>
        <v>2026</v>
      </c>
    </row>
    <row r="227" spans="1:19" x14ac:dyDescent="0.3">
      <c r="A227" t="s">
        <v>512</v>
      </c>
      <c r="B227" s="1">
        <v>45759</v>
      </c>
      <c r="C227" t="s">
        <v>70</v>
      </c>
      <c r="D227" t="s">
        <v>71</v>
      </c>
      <c r="E227" t="s">
        <v>51</v>
      </c>
      <c r="F227" t="s">
        <v>31</v>
      </c>
      <c r="G227" t="s">
        <v>45</v>
      </c>
      <c r="H227" t="s">
        <v>46</v>
      </c>
      <c r="I227" t="s">
        <v>513</v>
      </c>
      <c r="J227">
        <v>3</v>
      </c>
      <c r="K227" s="2">
        <v>639.99</v>
      </c>
      <c r="L227">
        <v>15</v>
      </c>
      <c r="M227" s="2">
        <v>1631.97</v>
      </c>
      <c r="N227" s="2">
        <v>1236.79</v>
      </c>
      <c r="O227" s="2">
        <v>395.18</v>
      </c>
      <c r="P227" t="s">
        <v>48</v>
      </c>
      <c r="Q227" t="s">
        <v>61</v>
      </c>
      <c r="R227" t="str">
        <f>TEXT(Table1[[#This Row],[Order Date]],"mmmm")</f>
        <v>April</v>
      </c>
      <c r="S227">
        <f>YEAR(Table1[[#This Row],[Order Date]])</f>
        <v>2025</v>
      </c>
    </row>
    <row r="228" spans="1:19" x14ac:dyDescent="0.3">
      <c r="A228" t="s">
        <v>514</v>
      </c>
      <c r="B228" s="1">
        <v>46063</v>
      </c>
      <c r="C228" t="s">
        <v>86</v>
      </c>
      <c r="D228" t="s">
        <v>90</v>
      </c>
      <c r="E228" t="s">
        <v>44</v>
      </c>
      <c r="F228" t="s">
        <v>31</v>
      </c>
      <c r="G228" t="s">
        <v>45</v>
      </c>
      <c r="H228" t="s">
        <v>159</v>
      </c>
      <c r="I228" t="s">
        <v>515</v>
      </c>
      <c r="J228">
        <v>2</v>
      </c>
      <c r="K228" s="2">
        <v>1645.6</v>
      </c>
      <c r="L228">
        <v>0</v>
      </c>
      <c r="M228" s="2">
        <v>3291.2</v>
      </c>
      <c r="N228" s="2">
        <v>2224.36</v>
      </c>
      <c r="O228" s="2">
        <v>1066.8399999999999</v>
      </c>
      <c r="P228" t="s">
        <v>41</v>
      </c>
      <c r="Q228" t="s">
        <v>49</v>
      </c>
      <c r="R228" t="str">
        <f>TEXT(Table1[[#This Row],[Order Date]],"mmmm")</f>
        <v>February</v>
      </c>
      <c r="S228">
        <f>YEAR(Table1[[#This Row],[Order Date]])</f>
        <v>2026</v>
      </c>
    </row>
    <row r="229" spans="1:19" x14ac:dyDescent="0.3">
      <c r="A229" t="s">
        <v>516</v>
      </c>
      <c r="B229" s="1">
        <v>45971</v>
      </c>
      <c r="C229" t="s">
        <v>86</v>
      </c>
      <c r="D229" t="s">
        <v>90</v>
      </c>
      <c r="E229" t="s">
        <v>170</v>
      </c>
      <c r="F229" t="s">
        <v>23</v>
      </c>
      <c r="G229" t="s">
        <v>45</v>
      </c>
      <c r="H229" t="s">
        <v>123</v>
      </c>
      <c r="I229" t="s">
        <v>517</v>
      </c>
      <c r="J229">
        <v>7</v>
      </c>
      <c r="K229" s="2">
        <v>2361.7199999999998</v>
      </c>
      <c r="L229">
        <v>0</v>
      </c>
      <c r="M229" s="2">
        <v>16532.04</v>
      </c>
      <c r="N229" s="2">
        <v>11722.4</v>
      </c>
      <c r="O229" s="2">
        <v>4809.6400000000003</v>
      </c>
      <c r="P229" t="s">
        <v>48</v>
      </c>
      <c r="Q229" t="s">
        <v>61</v>
      </c>
      <c r="R229" t="str">
        <f>TEXT(Table1[[#This Row],[Order Date]],"mmmm")</f>
        <v>November</v>
      </c>
      <c r="S229">
        <f>YEAR(Table1[[#This Row],[Order Date]])</f>
        <v>2025</v>
      </c>
    </row>
    <row r="230" spans="1:19" x14ac:dyDescent="0.3">
      <c r="A230" t="s">
        <v>518</v>
      </c>
      <c r="B230" s="1">
        <v>46134</v>
      </c>
      <c r="C230" t="s">
        <v>70</v>
      </c>
      <c r="D230" t="s">
        <v>71</v>
      </c>
      <c r="E230" t="s">
        <v>120</v>
      </c>
      <c r="F230" t="s">
        <v>31</v>
      </c>
      <c r="G230" t="s">
        <v>45</v>
      </c>
      <c r="H230" t="s">
        <v>67</v>
      </c>
      <c r="I230" t="s">
        <v>519</v>
      </c>
      <c r="J230">
        <v>7</v>
      </c>
      <c r="K230" s="2">
        <v>1793.09</v>
      </c>
      <c r="L230">
        <v>0</v>
      </c>
      <c r="M230" s="2">
        <v>12551.63</v>
      </c>
      <c r="N230" s="2">
        <v>8814.6</v>
      </c>
      <c r="O230" s="2">
        <v>3737.03</v>
      </c>
      <c r="P230" t="s">
        <v>27</v>
      </c>
      <c r="Q230" t="s">
        <v>61</v>
      </c>
      <c r="R230" t="str">
        <f>TEXT(Table1[[#This Row],[Order Date]],"mmmm")</f>
        <v>April</v>
      </c>
      <c r="S230">
        <f>YEAR(Table1[[#This Row],[Order Date]])</f>
        <v>2026</v>
      </c>
    </row>
    <row r="231" spans="1:19" x14ac:dyDescent="0.3">
      <c r="A231" t="s">
        <v>520</v>
      </c>
      <c r="B231" s="1">
        <v>46003</v>
      </c>
      <c r="C231" t="s">
        <v>35</v>
      </c>
      <c r="D231" t="s">
        <v>59</v>
      </c>
      <c r="E231" t="s">
        <v>22</v>
      </c>
      <c r="F231" t="s">
        <v>37</v>
      </c>
      <c r="G231" t="s">
        <v>24</v>
      </c>
      <c r="H231" t="s">
        <v>171</v>
      </c>
      <c r="I231" t="s">
        <v>521</v>
      </c>
      <c r="J231">
        <v>13</v>
      </c>
      <c r="K231" s="2">
        <v>982.96</v>
      </c>
      <c r="L231">
        <v>20</v>
      </c>
      <c r="M231" s="2">
        <v>10222.780000000001</v>
      </c>
      <c r="N231" s="2">
        <v>6456.66</v>
      </c>
      <c r="O231" s="2">
        <v>3766.12</v>
      </c>
      <c r="P231" t="s">
        <v>41</v>
      </c>
      <c r="Q231" t="s">
        <v>61</v>
      </c>
      <c r="R231" t="str">
        <f>TEXT(Table1[[#This Row],[Order Date]],"mmmm")</f>
        <v>December</v>
      </c>
      <c r="S231">
        <f>YEAR(Table1[[#This Row],[Order Date]])</f>
        <v>2025</v>
      </c>
    </row>
    <row r="232" spans="1:19" x14ac:dyDescent="0.3">
      <c r="A232" t="s">
        <v>522</v>
      </c>
      <c r="B232" s="1">
        <v>46073</v>
      </c>
      <c r="C232" t="s">
        <v>20</v>
      </c>
      <c r="D232" t="s">
        <v>55</v>
      </c>
      <c r="E232" t="s">
        <v>51</v>
      </c>
      <c r="F232" t="s">
        <v>23</v>
      </c>
      <c r="G232" t="s">
        <v>45</v>
      </c>
      <c r="H232" t="s">
        <v>52</v>
      </c>
      <c r="I232" t="s">
        <v>523</v>
      </c>
      <c r="J232">
        <v>14</v>
      </c>
      <c r="K232" s="2">
        <v>3698.29</v>
      </c>
      <c r="L232">
        <v>0</v>
      </c>
      <c r="M232" s="2">
        <v>51776.06</v>
      </c>
      <c r="N232" s="2">
        <v>32161.93</v>
      </c>
      <c r="O232" s="2">
        <v>19614.13</v>
      </c>
      <c r="P232" t="s">
        <v>41</v>
      </c>
      <c r="Q232" t="s">
        <v>28</v>
      </c>
      <c r="R232" t="str">
        <f>TEXT(Table1[[#This Row],[Order Date]],"mmmm")</f>
        <v>February</v>
      </c>
      <c r="S232">
        <f>YEAR(Table1[[#This Row],[Order Date]])</f>
        <v>2026</v>
      </c>
    </row>
    <row r="233" spans="1:19" x14ac:dyDescent="0.3">
      <c r="A233" t="s">
        <v>524</v>
      </c>
      <c r="B233" s="1">
        <v>46165</v>
      </c>
      <c r="C233" t="s">
        <v>35</v>
      </c>
      <c r="D233" t="s">
        <v>59</v>
      </c>
      <c r="E233" t="s">
        <v>66</v>
      </c>
      <c r="F233" t="s">
        <v>37</v>
      </c>
      <c r="G233" t="s">
        <v>38</v>
      </c>
      <c r="H233" t="s">
        <v>106</v>
      </c>
      <c r="I233" t="s">
        <v>525</v>
      </c>
      <c r="J233">
        <v>15</v>
      </c>
      <c r="K233" s="2">
        <v>3868.82</v>
      </c>
      <c r="L233">
        <v>20</v>
      </c>
      <c r="M233" s="2">
        <v>46425.84</v>
      </c>
      <c r="N233" s="2">
        <v>27933.96</v>
      </c>
      <c r="O233" s="2">
        <v>18491.88</v>
      </c>
      <c r="P233" t="s">
        <v>48</v>
      </c>
      <c r="Q233" t="s">
        <v>61</v>
      </c>
      <c r="R233" t="str">
        <f>TEXT(Table1[[#This Row],[Order Date]],"mmmm")</f>
        <v>May</v>
      </c>
      <c r="S233">
        <f>YEAR(Table1[[#This Row],[Order Date]])</f>
        <v>2026</v>
      </c>
    </row>
    <row r="234" spans="1:19" x14ac:dyDescent="0.3">
      <c r="A234" t="s">
        <v>526</v>
      </c>
      <c r="B234" s="1">
        <v>46033</v>
      </c>
      <c r="C234" t="s">
        <v>20</v>
      </c>
      <c r="D234" t="s">
        <v>21</v>
      </c>
      <c r="E234" t="s">
        <v>120</v>
      </c>
      <c r="F234" t="s">
        <v>37</v>
      </c>
      <c r="G234" t="s">
        <v>45</v>
      </c>
      <c r="H234" t="s">
        <v>123</v>
      </c>
      <c r="I234" t="s">
        <v>527</v>
      </c>
      <c r="J234">
        <v>4</v>
      </c>
      <c r="K234" s="2">
        <v>4887.3100000000004</v>
      </c>
      <c r="L234">
        <v>20</v>
      </c>
      <c r="M234" s="2">
        <v>15639.39</v>
      </c>
      <c r="N234" s="2">
        <v>11716.53</v>
      </c>
      <c r="O234" s="2">
        <v>3922.86</v>
      </c>
      <c r="P234" t="s">
        <v>48</v>
      </c>
      <c r="Q234" t="s">
        <v>61</v>
      </c>
      <c r="R234" t="str">
        <f>TEXT(Table1[[#This Row],[Order Date]],"mmmm")</f>
        <v>January</v>
      </c>
      <c r="S234">
        <f>YEAR(Table1[[#This Row],[Order Date]])</f>
        <v>2026</v>
      </c>
    </row>
    <row r="235" spans="1:19" x14ac:dyDescent="0.3">
      <c r="A235" t="s">
        <v>528</v>
      </c>
      <c r="B235" s="1">
        <v>45892</v>
      </c>
      <c r="C235" t="s">
        <v>20</v>
      </c>
      <c r="D235" t="s">
        <v>21</v>
      </c>
      <c r="E235" t="s">
        <v>113</v>
      </c>
      <c r="F235" t="s">
        <v>31</v>
      </c>
      <c r="G235" t="s">
        <v>45</v>
      </c>
      <c r="H235" t="s">
        <v>159</v>
      </c>
      <c r="I235" t="s">
        <v>529</v>
      </c>
      <c r="J235">
        <v>11</v>
      </c>
      <c r="K235" s="2">
        <v>1954.88</v>
      </c>
      <c r="L235">
        <v>15</v>
      </c>
      <c r="M235" s="2">
        <v>18278.13</v>
      </c>
      <c r="N235" s="2">
        <v>13154.45</v>
      </c>
      <c r="O235" s="2">
        <v>5123.68</v>
      </c>
      <c r="P235" t="s">
        <v>48</v>
      </c>
      <c r="Q235" t="s">
        <v>61</v>
      </c>
      <c r="R235" t="str">
        <f>TEXT(Table1[[#This Row],[Order Date]],"mmmm")</f>
        <v>August</v>
      </c>
      <c r="S235">
        <f>YEAR(Table1[[#This Row],[Order Date]])</f>
        <v>2025</v>
      </c>
    </row>
    <row r="236" spans="1:19" x14ac:dyDescent="0.3">
      <c r="A236" t="s">
        <v>530</v>
      </c>
      <c r="B236" s="1">
        <v>45867</v>
      </c>
      <c r="C236" t="s">
        <v>35</v>
      </c>
      <c r="D236" t="s">
        <v>36</v>
      </c>
      <c r="E236" t="s">
        <v>66</v>
      </c>
      <c r="F236" t="s">
        <v>23</v>
      </c>
      <c r="G236" t="s">
        <v>45</v>
      </c>
      <c r="H236" t="s">
        <v>52</v>
      </c>
      <c r="I236" t="s">
        <v>531</v>
      </c>
      <c r="J236">
        <v>5</v>
      </c>
      <c r="K236" s="2">
        <v>3322.7</v>
      </c>
      <c r="L236">
        <v>10</v>
      </c>
      <c r="M236" s="2">
        <v>14952.15</v>
      </c>
      <c r="N236" s="2">
        <v>8508.66</v>
      </c>
      <c r="O236" s="2">
        <v>6443.49</v>
      </c>
      <c r="P236" t="s">
        <v>48</v>
      </c>
      <c r="Q236" t="s">
        <v>49</v>
      </c>
      <c r="R236" t="str">
        <f>TEXT(Table1[[#This Row],[Order Date]],"mmmm")</f>
        <v>July</v>
      </c>
      <c r="S236">
        <f>YEAR(Table1[[#This Row],[Order Date]])</f>
        <v>2025</v>
      </c>
    </row>
    <row r="237" spans="1:19" x14ac:dyDescent="0.3">
      <c r="A237" t="s">
        <v>532</v>
      </c>
      <c r="B237" s="1">
        <v>45908</v>
      </c>
      <c r="C237" t="s">
        <v>86</v>
      </c>
      <c r="D237" t="s">
        <v>87</v>
      </c>
      <c r="E237" t="s">
        <v>66</v>
      </c>
      <c r="F237" t="s">
        <v>31</v>
      </c>
      <c r="G237" t="s">
        <v>24</v>
      </c>
      <c r="H237" t="s">
        <v>134</v>
      </c>
      <c r="I237" t="s">
        <v>533</v>
      </c>
      <c r="J237">
        <v>6</v>
      </c>
      <c r="K237" s="2">
        <v>1615.87</v>
      </c>
      <c r="L237">
        <v>15</v>
      </c>
      <c r="M237" s="2">
        <v>8240.94</v>
      </c>
      <c r="N237" s="2">
        <v>6587.44</v>
      </c>
      <c r="O237" s="2">
        <v>1653.5</v>
      </c>
      <c r="P237" t="s">
        <v>41</v>
      </c>
      <c r="Q237" t="s">
        <v>61</v>
      </c>
      <c r="R237" t="str">
        <f>TEXT(Table1[[#This Row],[Order Date]],"mmmm")</f>
        <v>September</v>
      </c>
      <c r="S237">
        <f>YEAR(Table1[[#This Row],[Order Date]])</f>
        <v>2025</v>
      </c>
    </row>
    <row r="238" spans="1:19" x14ac:dyDescent="0.3">
      <c r="A238" t="s">
        <v>534</v>
      </c>
      <c r="B238" s="1">
        <v>45937</v>
      </c>
      <c r="C238" t="s">
        <v>70</v>
      </c>
      <c r="D238" t="s">
        <v>71</v>
      </c>
      <c r="E238" t="s">
        <v>51</v>
      </c>
      <c r="F238" t="s">
        <v>37</v>
      </c>
      <c r="G238" t="s">
        <v>45</v>
      </c>
      <c r="H238" t="s">
        <v>67</v>
      </c>
      <c r="I238" t="s">
        <v>535</v>
      </c>
      <c r="J238">
        <v>15</v>
      </c>
      <c r="K238" s="2">
        <v>999.13</v>
      </c>
      <c r="L238">
        <v>0</v>
      </c>
      <c r="M238" s="2">
        <v>14986.95</v>
      </c>
      <c r="N238" s="2">
        <v>11987.02</v>
      </c>
      <c r="O238" s="2">
        <v>2999.93</v>
      </c>
      <c r="P238" t="s">
        <v>27</v>
      </c>
      <c r="Q238" t="s">
        <v>49</v>
      </c>
      <c r="R238" t="str">
        <f>TEXT(Table1[[#This Row],[Order Date]],"mmmm")</f>
        <v>October</v>
      </c>
      <c r="S238">
        <f>YEAR(Table1[[#This Row],[Order Date]])</f>
        <v>2025</v>
      </c>
    </row>
    <row r="239" spans="1:19" x14ac:dyDescent="0.3">
      <c r="A239" t="s">
        <v>536</v>
      </c>
      <c r="B239" s="1">
        <v>45672</v>
      </c>
      <c r="C239" t="s">
        <v>70</v>
      </c>
      <c r="D239" t="s">
        <v>71</v>
      </c>
      <c r="E239" t="s">
        <v>113</v>
      </c>
      <c r="F239" t="s">
        <v>23</v>
      </c>
      <c r="G239" t="s">
        <v>24</v>
      </c>
      <c r="H239" t="s">
        <v>171</v>
      </c>
      <c r="I239" t="s">
        <v>537</v>
      </c>
      <c r="J239">
        <v>11</v>
      </c>
      <c r="K239" s="2">
        <v>2749.41</v>
      </c>
      <c r="L239">
        <v>20</v>
      </c>
      <c r="M239" s="2">
        <v>24194.81</v>
      </c>
      <c r="N239" s="2">
        <v>14447.7</v>
      </c>
      <c r="O239" s="2">
        <v>9747.11</v>
      </c>
      <c r="P239" t="s">
        <v>48</v>
      </c>
      <c r="Q239" t="s">
        <v>49</v>
      </c>
      <c r="R239" t="str">
        <f>TEXT(Table1[[#This Row],[Order Date]],"mmmm")</f>
        <v>January</v>
      </c>
      <c r="S239">
        <f>YEAR(Table1[[#This Row],[Order Date]])</f>
        <v>2025</v>
      </c>
    </row>
    <row r="240" spans="1:19" x14ac:dyDescent="0.3">
      <c r="A240" t="s">
        <v>538</v>
      </c>
      <c r="B240" s="1">
        <v>45853</v>
      </c>
      <c r="C240" t="s">
        <v>20</v>
      </c>
      <c r="D240" t="s">
        <v>21</v>
      </c>
      <c r="E240" t="s">
        <v>44</v>
      </c>
      <c r="F240" t="s">
        <v>23</v>
      </c>
      <c r="G240" t="s">
        <v>24</v>
      </c>
      <c r="H240" t="s">
        <v>25</v>
      </c>
      <c r="I240" t="s">
        <v>539</v>
      </c>
      <c r="J240">
        <v>11</v>
      </c>
      <c r="K240" s="2">
        <v>4362.0600000000004</v>
      </c>
      <c r="L240">
        <v>5</v>
      </c>
      <c r="M240" s="2">
        <v>45583.53</v>
      </c>
      <c r="N240" s="2">
        <v>34684.980000000003</v>
      </c>
      <c r="O240" s="2">
        <v>10898.55</v>
      </c>
      <c r="P240" t="s">
        <v>48</v>
      </c>
      <c r="Q240" t="s">
        <v>49</v>
      </c>
      <c r="R240" t="str">
        <f>TEXT(Table1[[#This Row],[Order Date]],"mmmm")</f>
        <v>July</v>
      </c>
      <c r="S240">
        <f>YEAR(Table1[[#This Row],[Order Date]])</f>
        <v>2025</v>
      </c>
    </row>
    <row r="241" spans="1:19" x14ac:dyDescent="0.3">
      <c r="A241" t="s">
        <v>540</v>
      </c>
      <c r="B241" s="1">
        <v>46086</v>
      </c>
      <c r="C241" t="s">
        <v>86</v>
      </c>
      <c r="D241" t="s">
        <v>90</v>
      </c>
      <c r="E241" t="s">
        <v>66</v>
      </c>
      <c r="F241" t="s">
        <v>23</v>
      </c>
      <c r="G241" t="s">
        <v>45</v>
      </c>
      <c r="H241" t="s">
        <v>159</v>
      </c>
      <c r="I241" t="s">
        <v>541</v>
      </c>
      <c r="J241">
        <v>6</v>
      </c>
      <c r="K241" s="2">
        <v>1311.11</v>
      </c>
      <c r="L241">
        <v>15</v>
      </c>
      <c r="M241" s="2">
        <v>6686.66</v>
      </c>
      <c r="N241" s="2">
        <v>5044.9799999999996</v>
      </c>
      <c r="O241" s="2">
        <v>1641.68</v>
      </c>
      <c r="P241" t="s">
        <v>41</v>
      </c>
      <c r="Q241" t="s">
        <v>49</v>
      </c>
      <c r="R241" t="str">
        <f>TEXT(Table1[[#This Row],[Order Date]],"mmmm")</f>
        <v>March</v>
      </c>
      <c r="S241">
        <f>YEAR(Table1[[#This Row],[Order Date]])</f>
        <v>2026</v>
      </c>
    </row>
    <row r="242" spans="1:19" x14ac:dyDescent="0.3">
      <c r="A242" t="s">
        <v>542</v>
      </c>
      <c r="B242" s="1">
        <v>46142</v>
      </c>
      <c r="C242" t="s">
        <v>86</v>
      </c>
      <c r="D242" t="s">
        <v>90</v>
      </c>
      <c r="E242" t="s">
        <v>66</v>
      </c>
      <c r="F242" t="s">
        <v>31</v>
      </c>
      <c r="G242" t="s">
        <v>24</v>
      </c>
      <c r="H242" t="s">
        <v>25</v>
      </c>
      <c r="I242" t="s">
        <v>543</v>
      </c>
      <c r="J242">
        <v>15</v>
      </c>
      <c r="K242" s="2">
        <v>712.93</v>
      </c>
      <c r="L242">
        <v>20</v>
      </c>
      <c r="M242" s="2">
        <v>8555.16</v>
      </c>
      <c r="N242" s="2">
        <v>6895.97</v>
      </c>
      <c r="O242" s="2">
        <v>1659.19</v>
      </c>
      <c r="P242" t="s">
        <v>41</v>
      </c>
      <c r="Q242" t="s">
        <v>28</v>
      </c>
      <c r="R242" t="str">
        <f>TEXT(Table1[[#This Row],[Order Date]],"mmmm")</f>
        <v>April</v>
      </c>
      <c r="S242">
        <f>YEAR(Table1[[#This Row],[Order Date]])</f>
        <v>2026</v>
      </c>
    </row>
    <row r="243" spans="1:19" x14ac:dyDescent="0.3">
      <c r="A243" t="s">
        <v>544</v>
      </c>
      <c r="B243" s="1">
        <v>46095</v>
      </c>
      <c r="C243" t="s">
        <v>20</v>
      </c>
      <c r="D243" t="s">
        <v>21</v>
      </c>
      <c r="E243" t="s">
        <v>30</v>
      </c>
      <c r="F243" t="s">
        <v>37</v>
      </c>
      <c r="G243" t="s">
        <v>24</v>
      </c>
      <c r="H243" t="s">
        <v>56</v>
      </c>
      <c r="I243" t="s">
        <v>545</v>
      </c>
      <c r="J243">
        <v>8</v>
      </c>
      <c r="K243" s="2">
        <v>1632.6</v>
      </c>
      <c r="L243">
        <v>5</v>
      </c>
      <c r="M243" s="2">
        <v>12407.76</v>
      </c>
      <c r="N243" s="2">
        <v>6845.68</v>
      </c>
      <c r="O243" s="2">
        <v>5562.08</v>
      </c>
      <c r="P243" t="s">
        <v>27</v>
      </c>
      <c r="Q243" t="s">
        <v>42</v>
      </c>
      <c r="R243" t="str">
        <f>TEXT(Table1[[#This Row],[Order Date]],"mmmm")</f>
        <v>March</v>
      </c>
      <c r="S243">
        <f>YEAR(Table1[[#This Row],[Order Date]])</f>
        <v>2026</v>
      </c>
    </row>
    <row r="244" spans="1:19" x14ac:dyDescent="0.3">
      <c r="A244" t="s">
        <v>546</v>
      </c>
      <c r="B244" s="1">
        <v>45881</v>
      </c>
      <c r="C244" t="s">
        <v>70</v>
      </c>
      <c r="D244" t="s">
        <v>75</v>
      </c>
      <c r="E244" t="s">
        <v>51</v>
      </c>
      <c r="F244" t="s">
        <v>37</v>
      </c>
      <c r="G244" t="s">
        <v>24</v>
      </c>
      <c r="H244" t="s">
        <v>56</v>
      </c>
      <c r="I244" t="s">
        <v>547</v>
      </c>
      <c r="J244">
        <v>1</v>
      </c>
      <c r="K244" s="2">
        <v>2590.8000000000002</v>
      </c>
      <c r="L244">
        <v>5</v>
      </c>
      <c r="M244" s="2">
        <v>2461.2600000000002</v>
      </c>
      <c r="N244" s="2">
        <v>1461.18</v>
      </c>
      <c r="O244" s="2">
        <v>1000.08</v>
      </c>
      <c r="P244" t="s">
        <v>48</v>
      </c>
      <c r="Q244" t="s">
        <v>28</v>
      </c>
      <c r="R244" t="str">
        <f>TEXT(Table1[[#This Row],[Order Date]],"mmmm")</f>
        <v>August</v>
      </c>
      <c r="S244">
        <f>YEAR(Table1[[#This Row],[Order Date]])</f>
        <v>2025</v>
      </c>
    </row>
    <row r="245" spans="1:19" x14ac:dyDescent="0.3">
      <c r="A245" t="s">
        <v>548</v>
      </c>
      <c r="B245" s="1">
        <v>45838</v>
      </c>
      <c r="C245" t="s">
        <v>20</v>
      </c>
      <c r="D245" t="s">
        <v>55</v>
      </c>
      <c r="E245" t="s">
        <v>120</v>
      </c>
      <c r="F245" t="s">
        <v>31</v>
      </c>
      <c r="G245" t="s">
        <v>38</v>
      </c>
      <c r="H245" t="s">
        <v>39</v>
      </c>
      <c r="I245" t="s">
        <v>549</v>
      </c>
      <c r="J245">
        <v>5</v>
      </c>
      <c r="K245" s="2">
        <v>828.27</v>
      </c>
      <c r="L245">
        <v>5</v>
      </c>
      <c r="M245" s="2">
        <v>3934.28</v>
      </c>
      <c r="N245" s="2">
        <v>2925.07</v>
      </c>
      <c r="O245" s="2">
        <v>1009.21</v>
      </c>
      <c r="P245" t="s">
        <v>27</v>
      </c>
      <c r="Q245" t="s">
        <v>61</v>
      </c>
      <c r="R245" t="str">
        <f>TEXT(Table1[[#This Row],[Order Date]],"mmmm")</f>
        <v>June</v>
      </c>
      <c r="S245">
        <f>YEAR(Table1[[#This Row],[Order Date]])</f>
        <v>2025</v>
      </c>
    </row>
    <row r="246" spans="1:19" x14ac:dyDescent="0.3">
      <c r="A246" t="s">
        <v>550</v>
      </c>
      <c r="B246" s="1">
        <v>45821</v>
      </c>
      <c r="C246" t="s">
        <v>86</v>
      </c>
      <c r="D246" t="s">
        <v>90</v>
      </c>
      <c r="E246" t="s">
        <v>113</v>
      </c>
      <c r="F246" t="s">
        <v>23</v>
      </c>
      <c r="G246" t="s">
        <v>38</v>
      </c>
      <c r="H246" t="s">
        <v>63</v>
      </c>
      <c r="I246" t="s">
        <v>551</v>
      </c>
      <c r="J246">
        <v>11</v>
      </c>
      <c r="K246" s="2">
        <v>2093.09</v>
      </c>
      <c r="L246">
        <v>5</v>
      </c>
      <c r="M246" s="2">
        <v>21872.79</v>
      </c>
      <c r="N246" s="2">
        <v>14456.57</v>
      </c>
      <c r="O246" s="2">
        <v>7416.22</v>
      </c>
      <c r="P246" t="s">
        <v>48</v>
      </c>
      <c r="Q246" t="s">
        <v>28</v>
      </c>
      <c r="R246" t="str">
        <f>TEXT(Table1[[#This Row],[Order Date]],"mmmm")</f>
        <v>June</v>
      </c>
      <c r="S246">
        <f>YEAR(Table1[[#This Row],[Order Date]])</f>
        <v>2025</v>
      </c>
    </row>
    <row r="247" spans="1:19" x14ac:dyDescent="0.3">
      <c r="A247" t="s">
        <v>552</v>
      </c>
      <c r="B247" s="1">
        <v>45855</v>
      </c>
      <c r="C247" t="s">
        <v>86</v>
      </c>
      <c r="D247" t="s">
        <v>90</v>
      </c>
      <c r="E247" t="s">
        <v>113</v>
      </c>
      <c r="F247" t="s">
        <v>37</v>
      </c>
      <c r="G247" t="s">
        <v>24</v>
      </c>
      <c r="H247" t="s">
        <v>134</v>
      </c>
      <c r="I247" t="s">
        <v>553</v>
      </c>
      <c r="J247">
        <v>5</v>
      </c>
      <c r="K247" s="2">
        <v>255.09</v>
      </c>
      <c r="L247">
        <v>10</v>
      </c>
      <c r="M247" s="2">
        <v>1147.9000000000001</v>
      </c>
      <c r="N247" s="2">
        <v>656.65</v>
      </c>
      <c r="O247" s="2">
        <v>491.25</v>
      </c>
      <c r="P247" t="s">
        <v>41</v>
      </c>
      <c r="Q247" t="s">
        <v>28</v>
      </c>
      <c r="R247" t="str">
        <f>TEXT(Table1[[#This Row],[Order Date]],"mmmm")</f>
        <v>July</v>
      </c>
      <c r="S247">
        <f>YEAR(Table1[[#This Row],[Order Date]])</f>
        <v>2025</v>
      </c>
    </row>
    <row r="248" spans="1:19" x14ac:dyDescent="0.3">
      <c r="A248" t="s">
        <v>554</v>
      </c>
      <c r="B248" s="1">
        <v>46170</v>
      </c>
      <c r="C248" t="s">
        <v>35</v>
      </c>
      <c r="D248" t="s">
        <v>59</v>
      </c>
      <c r="E248" t="s">
        <v>66</v>
      </c>
      <c r="F248" t="s">
        <v>37</v>
      </c>
      <c r="G248" t="s">
        <v>24</v>
      </c>
      <c r="H248" t="s">
        <v>171</v>
      </c>
      <c r="I248" t="s">
        <v>555</v>
      </c>
      <c r="J248">
        <v>12</v>
      </c>
      <c r="K248" s="2">
        <v>3321.86</v>
      </c>
      <c r="L248">
        <v>10</v>
      </c>
      <c r="M248" s="2">
        <v>35876.089999999997</v>
      </c>
      <c r="N248" s="2">
        <v>24153.65</v>
      </c>
      <c r="O248" s="2">
        <v>11722.44</v>
      </c>
      <c r="P248" t="s">
        <v>41</v>
      </c>
      <c r="Q248" t="s">
        <v>61</v>
      </c>
      <c r="R248" t="str">
        <f>TEXT(Table1[[#This Row],[Order Date]],"mmmm")</f>
        <v>May</v>
      </c>
      <c r="S248">
        <f>YEAR(Table1[[#This Row],[Order Date]])</f>
        <v>2026</v>
      </c>
    </row>
    <row r="249" spans="1:19" x14ac:dyDescent="0.3">
      <c r="A249" t="s">
        <v>556</v>
      </c>
      <c r="B249" s="1">
        <v>45748</v>
      </c>
      <c r="C249" t="s">
        <v>35</v>
      </c>
      <c r="D249" t="s">
        <v>36</v>
      </c>
      <c r="E249" t="s">
        <v>51</v>
      </c>
      <c r="F249" t="s">
        <v>37</v>
      </c>
      <c r="G249" t="s">
        <v>45</v>
      </c>
      <c r="H249" t="s">
        <v>67</v>
      </c>
      <c r="I249" t="s">
        <v>557</v>
      </c>
      <c r="J249">
        <v>1</v>
      </c>
      <c r="K249" s="2">
        <v>1558.26</v>
      </c>
      <c r="L249">
        <v>10</v>
      </c>
      <c r="M249" s="2">
        <v>1402.43</v>
      </c>
      <c r="N249" s="2">
        <v>1071.29</v>
      </c>
      <c r="O249" s="2">
        <v>331.14</v>
      </c>
      <c r="P249" t="s">
        <v>27</v>
      </c>
      <c r="Q249" t="s">
        <v>42</v>
      </c>
      <c r="R249" t="str">
        <f>TEXT(Table1[[#This Row],[Order Date]],"mmmm")</f>
        <v>April</v>
      </c>
      <c r="S249">
        <f>YEAR(Table1[[#This Row],[Order Date]])</f>
        <v>2025</v>
      </c>
    </row>
    <row r="250" spans="1:19" x14ac:dyDescent="0.3">
      <c r="A250" t="s">
        <v>558</v>
      </c>
      <c r="B250" s="1">
        <v>45713</v>
      </c>
      <c r="C250" t="s">
        <v>70</v>
      </c>
      <c r="D250" t="s">
        <v>71</v>
      </c>
      <c r="E250" t="s">
        <v>30</v>
      </c>
      <c r="F250" t="s">
        <v>23</v>
      </c>
      <c r="G250" t="s">
        <v>24</v>
      </c>
      <c r="H250" t="s">
        <v>134</v>
      </c>
      <c r="I250" t="s">
        <v>559</v>
      </c>
      <c r="J250">
        <v>3</v>
      </c>
      <c r="K250" s="2">
        <v>1582.16</v>
      </c>
      <c r="L250">
        <v>5</v>
      </c>
      <c r="M250" s="2">
        <v>4509.16</v>
      </c>
      <c r="N250" s="2">
        <v>2949.09</v>
      </c>
      <c r="O250" s="2">
        <v>1560.07</v>
      </c>
      <c r="P250" t="s">
        <v>41</v>
      </c>
      <c r="Q250" t="s">
        <v>42</v>
      </c>
      <c r="R250" t="str">
        <f>TEXT(Table1[[#This Row],[Order Date]],"mmmm")</f>
        <v>February</v>
      </c>
      <c r="S250">
        <f>YEAR(Table1[[#This Row],[Order Date]])</f>
        <v>2025</v>
      </c>
    </row>
    <row r="251" spans="1:19" x14ac:dyDescent="0.3">
      <c r="A251" t="s">
        <v>560</v>
      </c>
      <c r="B251" s="1">
        <v>45808</v>
      </c>
      <c r="C251" t="s">
        <v>20</v>
      </c>
      <c r="D251" t="s">
        <v>55</v>
      </c>
      <c r="E251" t="s">
        <v>51</v>
      </c>
      <c r="F251" t="s">
        <v>23</v>
      </c>
      <c r="G251" t="s">
        <v>38</v>
      </c>
      <c r="H251" t="s">
        <v>106</v>
      </c>
      <c r="I251" t="s">
        <v>561</v>
      </c>
      <c r="J251">
        <v>11</v>
      </c>
      <c r="K251" s="2">
        <v>916.19</v>
      </c>
      <c r="L251">
        <v>20</v>
      </c>
      <c r="M251" s="2">
        <v>8062.47</v>
      </c>
      <c r="N251" s="2">
        <v>4575.34</v>
      </c>
      <c r="O251" s="2">
        <v>3487.13</v>
      </c>
      <c r="P251" t="s">
        <v>27</v>
      </c>
      <c r="Q251" t="s">
        <v>49</v>
      </c>
      <c r="R251" t="str">
        <f>TEXT(Table1[[#This Row],[Order Date]],"mmmm")</f>
        <v>May</v>
      </c>
      <c r="S251">
        <f>YEAR(Table1[[#This Row],[Order Date]])</f>
        <v>2025</v>
      </c>
    </row>
    <row r="252" spans="1:19" x14ac:dyDescent="0.3">
      <c r="A252" t="s">
        <v>562</v>
      </c>
      <c r="B252" s="1">
        <v>45877</v>
      </c>
      <c r="C252" t="s">
        <v>86</v>
      </c>
      <c r="D252" t="s">
        <v>90</v>
      </c>
      <c r="E252" t="s">
        <v>170</v>
      </c>
      <c r="F252" t="s">
        <v>23</v>
      </c>
      <c r="G252" t="s">
        <v>24</v>
      </c>
      <c r="H252" t="s">
        <v>56</v>
      </c>
      <c r="I252" t="s">
        <v>563</v>
      </c>
      <c r="J252">
        <v>15</v>
      </c>
      <c r="K252" s="2">
        <v>1756.39</v>
      </c>
      <c r="L252">
        <v>20</v>
      </c>
      <c r="M252" s="2">
        <v>21076.68</v>
      </c>
      <c r="N252" s="2">
        <v>15047.08</v>
      </c>
      <c r="O252" s="2">
        <v>6029.6</v>
      </c>
      <c r="P252" t="s">
        <v>48</v>
      </c>
      <c r="Q252" t="s">
        <v>49</v>
      </c>
      <c r="R252" t="str">
        <f>TEXT(Table1[[#This Row],[Order Date]],"mmmm")</f>
        <v>August</v>
      </c>
      <c r="S252">
        <f>YEAR(Table1[[#This Row],[Order Date]])</f>
        <v>2025</v>
      </c>
    </row>
    <row r="253" spans="1:19" x14ac:dyDescent="0.3">
      <c r="A253" t="s">
        <v>564</v>
      </c>
      <c r="B253" s="1">
        <v>46156</v>
      </c>
      <c r="C253" t="s">
        <v>20</v>
      </c>
      <c r="D253" t="s">
        <v>55</v>
      </c>
      <c r="E253" t="s">
        <v>113</v>
      </c>
      <c r="F253" t="s">
        <v>23</v>
      </c>
      <c r="G253" t="s">
        <v>24</v>
      </c>
      <c r="H253" t="s">
        <v>134</v>
      </c>
      <c r="I253" t="s">
        <v>565</v>
      </c>
      <c r="J253">
        <v>3</v>
      </c>
      <c r="K253" s="2">
        <v>3448.05</v>
      </c>
      <c r="L253">
        <v>15</v>
      </c>
      <c r="M253" s="2">
        <v>8792.5300000000007</v>
      </c>
      <c r="N253" s="2">
        <v>7025.48</v>
      </c>
      <c r="O253" s="2">
        <v>1767.05</v>
      </c>
      <c r="P253" t="s">
        <v>41</v>
      </c>
      <c r="Q253" t="s">
        <v>49</v>
      </c>
      <c r="R253" t="str">
        <f>TEXT(Table1[[#This Row],[Order Date]],"mmmm")</f>
        <v>May</v>
      </c>
      <c r="S253">
        <f>YEAR(Table1[[#This Row],[Order Date]])</f>
        <v>2026</v>
      </c>
    </row>
    <row r="254" spans="1:19" x14ac:dyDescent="0.3">
      <c r="A254" t="s">
        <v>566</v>
      </c>
      <c r="B254" s="1">
        <v>45716</v>
      </c>
      <c r="C254" t="s">
        <v>70</v>
      </c>
      <c r="D254" t="s">
        <v>75</v>
      </c>
      <c r="E254" t="s">
        <v>51</v>
      </c>
      <c r="F254" t="s">
        <v>31</v>
      </c>
      <c r="G254" t="s">
        <v>24</v>
      </c>
      <c r="H254" t="s">
        <v>134</v>
      </c>
      <c r="I254" t="s">
        <v>567</v>
      </c>
      <c r="J254">
        <v>13</v>
      </c>
      <c r="K254" s="2">
        <v>4042.83</v>
      </c>
      <c r="L254">
        <v>5</v>
      </c>
      <c r="M254" s="2">
        <v>49928.95</v>
      </c>
      <c r="N254" s="2">
        <v>35009.53</v>
      </c>
      <c r="O254" s="2">
        <v>14919.42</v>
      </c>
      <c r="P254" t="s">
        <v>41</v>
      </c>
      <c r="Q254" t="s">
        <v>61</v>
      </c>
      <c r="R254" t="str">
        <f>TEXT(Table1[[#This Row],[Order Date]],"mmmm")</f>
        <v>February</v>
      </c>
      <c r="S254">
        <f>YEAR(Table1[[#This Row],[Order Date]])</f>
        <v>2025</v>
      </c>
    </row>
    <row r="255" spans="1:19" x14ac:dyDescent="0.3">
      <c r="A255" t="s">
        <v>568</v>
      </c>
      <c r="B255" s="1">
        <v>45895</v>
      </c>
      <c r="C255" t="s">
        <v>86</v>
      </c>
      <c r="D255" t="s">
        <v>87</v>
      </c>
      <c r="E255" t="s">
        <v>22</v>
      </c>
      <c r="F255" t="s">
        <v>31</v>
      </c>
      <c r="G255" t="s">
        <v>45</v>
      </c>
      <c r="H255" t="s">
        <v>46</v>
      </c>
      <c r="I255" t="s">
        <v>569</v>
      </c>
      <c r="J255">
        <v>5</v>
      </c>
      <c r="K255" s="2">
        <v>4978.3</v>
      </c>
      <c r="L255">
        <v>5</v>
      </c>
      <c r="M255" s="2">
        <v>23646.92</v>
      </c>
      <c r="N255" s="2">
        <v>18809.23</v>
      </c>
      <c r="O255" s="2">
        <v>4837.6899999999996</v>
      </c>
      <c r="P255" t="s">
        <v>27</v>
      </c>
      <c r="Q255" t="s">
        <v>42</v>
      </c>
      <c r="R255" t="str">
        <f>TEXT(Table1[[#This Row],[Order Date]],"mmmm")</f>
        <v>August</v>
      </c>
      <c r="S255">
        <f>YEAR(Table1[[#This Row],[Order Date]])</f>
        <v>2025</v>
      </c>
    </row>
    <row r="256" spans="1:19" x14ac:dyDescent="0.3">
      <c r="A256" t="s">
        <v>570</v>
      </c>
      <c r="B256" s="1">
        <v>45712</v>
      </c>
      <c r="C256" t="s">
        <v>86</v>
      </c>
      <c r="D256" t="s">
        <v>90</v>
      </c>
      <c r="E256" t="s">
        <v>22</v>
      </c>
      <c r="F256" t="s">
        <v>23</v>
      </c>
      <c r="G256" t="s">
        <v>24</v>
      </c>
      <c r="H256" t="s">
        <v>25</v>
      </c>
      <c r="I256" t="s">
        <v>571</v>
      </c>
      <c r="J256">
        <v>9</v>
      </c>
      <c r="K256" s="2">
        <v>4269.3</v>
      </c>
      <c r="L256">
        <v>0</v>
      </c>
      <c r="M256" s="2">
        <v>38423.699999999997</v>
      </c>
      <c r="N256" s="2">
        <v>23151.26</v>
      </c>
      <c r="O256" s="2">
        <v>15272.44</v>
      </c>
      <c r="P256" t="s">
        <v>41</v>
      </c>
      <c r="Q256" t="s">
        <v>61</v>
      </c>
      <c r="R256" t="str">
        <f>TEXT(Table1[[#This Row],[Order Date]],"mmmm")</f>
        <v>February</v>
      </c>
      <c r="S256">
        <f>YEAR(Table1[[#This Row],[Order Date]])</f>
        <v>2025</v>
      </c>
    </row>
    <row r="257" spans="1:19" x14ac:dyDescent="0.3">
      <c r="A257" t="s">
        <v>572</v>
      </c>
      <c r="B257" s="1">
        <v>46031</v>
      </c>
      <c r="C257" t="s">
        <v>20</v>
      </c>
      <c r="D257" t="s">
        <v>55</v>
      </c>
      <c r="E257" t="s">
        <v>22</v>
      </c>
      <c r="F257" t="s">
        <v>23</v>
      </c>
      <c r="G257" t="s">
        <v>24</v>
      </c>
      <c r="H257" t="s">
        <v>171</v>
      </c>
      <c r="I257" t="s">
        <v>573</v>
      </c>
      <c r="J257">
        <v>7</v>
      </c>
      <c r="K257" s="2">
        <v>2350.75</v>
      </c>
      <c r="L257">
        <v>15</v>
      </c>
      <c r="M257" s="2">
        <v>13986.96</v>
      </c>
      <c r="N257" s="2">
        <v>8060.99</v>
      </c>
      <c r="O257" s="2">
        <v>5925.97</v>
      </c>
      <c r="P257" t="s">
        <v>41</v>
      </c>
      <c r="Q257" t="s">
        <v>49</v>
      </c>
      <c r="R257" t="str">
        <f>TEXT(Table1[[#This Row],[Order Date]],"mmmm")</f>
        <v>January</v>
      </c>
      <c r="S257">
        <f>YEAR(Table1[[#This Row],[Order Date]])</f>
        <v>2026</v>
      </c>
    </row>
    <row r="258" spans="1:19" x14ac:dyDescent="0.3">
      <c r="A258" t="s">
        <v>574</v>
      </c>
      <c r="B258" s="1">
        <v>45757</v>
      </c>
      <c r="C258" t="s">
        <v>35</v>
      </c>
      <c r="D258" t="s">
        <v>36</v>
      </c>
      <c r="E258" t="s">
        <v>51</v>
      </c>
      <c r="F258" t="s">
        <v>37</v>
      </c>
      <c r="G258" t="s">
        <v>38</v>
      </c>
      <c r="H258" t="s">
        <v>39</v>
      </c>
      <c r="I258" t="s">
        <v>575</v>
      </c>
      <c r="J258">
        <v>3</v>
      </c>
      <c r="K258" s="2">
        <v>4293.8999999999996</v>
      </c>
      <c r="L258">
        <v>0</v>
      </c>
      <c r="M258" s="2">
        <v>12881.7</v>
      </c>
      <c r="N258" s="2">
        <v>10189.49</v>
      </c>
      <c r="O258" s="2">
        <v>2692.21</v>
      </c>
      <c r="P258" t="s">
        <v>48</v>
      </c>
      <c r="Q258" t="s">
        <v>28</v>
      </c>
      <c r="R258" t="str">
        <f>TEXT(Table1[[#This Row],[Order Date]],"mmmm")</f>
        <v>April</v>
      </c>
      <c r="S258">
        <f>YEAR(Table1[[#This Row],[Order Date]])</f>
        <v>2025</v>
      </c>
    </row>
    <row r="259" spans="1:19" x14ac:dyDescent="0.3">
      <c r="A259" t="s">
        <v>576</v>
      </c>
      <c r="B259" s="1">
        <v>46197</v>
      </c>
      <c r="C259" t="s">
        <v>86</v>
      </c>
      <c r="D259" t="s">
        <v>90</v>
      </c>
      <c r="E259" t="s">
        <v>120</v>
      </c>
      <c r="F259" t="s">
        <v>37</v>
      </c>
      <c r="G259" t="s">
        <v>45</v>
      </c>
      <c r="H259" t="s">
        <v>46</v>
      </c>
      <c r="I259" t="s">
        <v>577</v>
      </c>
      <c r="J259">
        <v>14</v>
      </c>
      <c r="K259" s="2">
        <v>4101.22</v>
      </c>
      <c r="L259">
        <v>20</v>
      </c>
      <c r="M259" s="2">
        <v>45933.66</v>
      </c>
      <c r="N259" s="2">
        <v>36696.51</v>
      </c>
      <c r="O259" s="2">
        <v>9237.15</v>
      </c>
      <c r="P259" t="s">
        <v>41</v>
      </c>
      <c r="Q259" t="s">
        <v>61</v>
      </c>
      <c r="R259" t="str">
        <f>TEXT(Table1[[#This Row],[Order Date]],"mmmm")</f>
        <v>June</v>
      </c>
      <c r="S259">
        <f>YEAR(Table1[[#This Row],[Order Date]])</f>
        <v>2026</v>
      </c>
    </row>
    <row r="260" spans="1:19" x14ac:dyDescent="0.3">
      <c r="A260" t="s">
        <v>578</v>
      </c>
      <c r="B260" s="1">
        <v>46035</v>
      </c>
      <c r="C260" t="s">
        <v>20</v>
      </c>
      <c r="D260" t="s">
        <v>55</v>
      </c>
      <c r="E260" t="s">
        <v>44</v>
      </c>
      <c r="F260" t="s">
        <v>31</v>
      </c>
      <c r="G260" t="s">
        <v>38</v>
      </c>
      <c r="H260" t="s">
        <v>39</v>
      </c>
      <c r="I260" t="s">
        <v>579</v>
      </c>
      <c r="J260">
        <v>2</v>
      </c>
      <c r="K260" s="2">
        <v>2138.1</v>
      </c>
      <c r="L260">
        <v>0</v>
      </c>
      <c r="M260" s="2">
        <v>4276.2</v>
      </c>
      <c r="N260" s="2">
        <v>2356.13</v>
      </c>
      <c r="O260" s="2">
        <v>1920.07</v>
      </c>
      <c r="P260" t="s">
        <v>41</v>
      </c>
      <c r="Q260" t="s">
        <v>42</v>
      </c>
      <c r="R260" t="str">
        <f>TEXT(Table1[[#This Row],[Order Date]],"mmmm")</f>
        <v>January</v>
      </c>
      <c r="S260">
        <f>YEAR(Table1[[#This Row],[Order Date]])</f>
        <v>2026</v>
      </c>
    </row>
    <row r="261" spans="1:19" x14ac:dyDescent="0.3">
      <c r="A261" t="s">
        <v>580</v>
      </c>
      <c r="B261" s="1">
        <v>45720</v>
      </c>
      <c r="C261" t="s">
        <v>86</v>
      </c>
      <c r="D261" t="s">
        <v>90</v>
      </c>
      <c r="E261" t="s">
        <v>113</v>
      </c>
      <c r="F261" t="s">
        <v>31</v>
      </c>
      <c r="G261" t="s">
        <v>38</v>
      </c>
      <c r="H261" t="s">
        <v>72</v>
      </c>
      <c r="I261" t="s">
        <v>205</v>
      </c>
      <c r="J261">
        <v>2</v>
      </c>
      <c r="K261" s="2">
        <v>2993.46</v>
      </c>
      <c r="L261">
        <v>5</v>
      </c>
      <c r="M261" s="2">
        <v>5687.57</v>
      </c>
      <c r="N261" s="2">
        <v>3934.58</v>
      </c>
      <c r="O261" s="2">
        <v>1752.99</v>
      </c>
      <c r="P261" t="s">
        <v>41</v>
      </c>
      <c r="Q261" t="s">
        <v>61</v>
      </c>
      <c r="R261" t="str">
        <f>TEXT(Table1[[#This Row],[Order Date]],"mmmm")</f>
        <v>March</v>
      </c>
      <c r="S261">
        <f>YEAR(Table1[[#This Row],[Order Date]])</f>
        <v>2025</v>
      </c>
    </row>
    <row r="262" spans="1:19" x14ac:dyDescent="0.3">
      <c r="A262" t="s">
        <v>581</v>
      </c>
      <c r="B262" s="1">
        <v>45887</v>
      </c>
      <c r="C262" t="s">
        <v>35</v>
      </c>
      <c r="D262" t="s">
        <v>36</v>
      </c>
      <c r="E262" t="s">
        <v>22</v>
      </c>
      <c r="F262" t="s">
        <v>37</v>
      </c>
      <c r="G262" t="s">
        <v>24</v>
      </c>
      <c r="H262" t="s">
        <v>134</v>
      </c>
      <c r="I262" t="s">
        <v>582</v>
      </c>
      <c r="J262">
        <v>3</v>
      </c>
      <c r="K262" s="2">
        <v>4162.84</v>
      </c>
      <c r="L262">
        <v>15</v>
      </c>
      <c r="M262" s="2">
        <v>10615.24</v>
      </c>
      <c r="N262" s="2">
        <v>5875.23</v>
      </c>
      <c r="O262" s="2">
        <v>4740.01</v>
      </c>
      <c r="P262" t="s">
        <v>48</v>
      </c>
      <c r="Q262" t="s">
        <v>61</v>
      </c>
      <c r="R262" t="str">
        <f>TEXT(Table1[[#This Row],[Order Date]],"mmmm")</f>
        <v>August</v>
      </c>
      <c r="S262">
        <f>YEAR(Table1[[#This Row],[Order Date]])</f>
        <v>2025</v>
      </c>
    </row>
    <row r="263" spans="1:19" x14ac:dyDescent="0.3">
      <c r="A263" t="s">
        <v>583</v>
      </c>
      <c r="B263" s="1">
        <v>45945</v>
      </c>
      <c r="C263" t="s">
        <v>86</v>
      </c>
      <c r="D263" t="s">
        <v>90</v>
      </c>
      <c r="E263" t="s">
        <v>170</v>
      </c>
      <c r="F263" t="s">
        <v>23</v>
      </c>
      <c r="G263" t="s">
        <v>24</v>
      </c>
      <c r="H263" t="s">
        <v>25</v>
      </c>
      <c r="I263" t="s">
        <v>584</v>
      </c>
      <c r="J263">
        <v>10</v>
      </c>
      <c r="K263" s="2">
        <v>4517.17</v>
      </c>
      <c r="L263">
        <v>0</v>
      </c>
      <c r="M263" s="2">
        <v>45171.7</v>
      </c>
      <c r="N263" s="2">
        <v>26693.53</v>
      </c>
      <c r="O263" s="2">
        <v>18478.169999999998</v>
      </c>
      <c r="P263" t="s">
        <v>41</v>
      </c>
      <c r="Q263" t="s">
        <v>28</v>
      </c>
      <c r="R263" t="str">
        <f>TEXT(Table1[[#This Row],[Order Date]],"mmmm")</f>
        <v>October</v>
      </c>
      <c r="S263">
        <f>YEAR(Table1[[#This Row],[Order Date]])</f>
        <v>2025</v>
      </c>
    </row>
    <row r="264" spans="1:19" x14ac:dyDescent="0.3">
      <c r="A264" t="s">
        <v>585</v>
      </c>
      <c r="B264" s="1">
        <v>45993</v>
      </c>
      <c r="C264" t="s">
        <v>70</v>
      </c>
      <c r="D264" t="s">
        <v>75</v>
      </c>
      <c r="E264" t="s">
        <v>113</v>
      </c>
      <c r="F264" t="s">
        <v>31</v>
      </c>
      <c r="G264" t="s">
        <v>24</v>
      </c>
      <c r="H264" t="s">
        <v>25</v>
      </c>
      <c r="I264" t="s">
        <v>586</v>
      </c>
      <c r="J264">
        <v>4</v>
      </c>
      <c r="K264" s="2">
        <v>2391.31</v>
      </c>
      <c r="L264">
        <v>5</v>
      </c>
      <c r="M264" s="2">
        <v>9086.98</v>
      </c>
      <c r="N264" s="2">
        <v>5402.06</v>
      </c>
      <c r="O264" s="2">
        <v>3684.92</v>
      </c>
      <c r="P264" t="s">
        <v>27</v>
      </c>
      <c r="Q264" t="s">
        <v>61</v>
      </c>
      <c r="R264" t="str">
        <f>TEXT(Table1[[#This Row],[Order Date]],"mmmm")</f>
        <v>December</v>
      </c>
      <c r="S264">
        <f>YEAR(Table1[[#This Row],[Order Date]])</f>
        <v>2025</v>
      </c>
    </row>
    <row r="265" spans="1:19" x14ac:dyDescent="0.3">
      <c r="A265" t="s">
        <v>587</v>
      </c>
      <c r="B265" s="1">
        <v>46072</v>
      </c>
      <c r="C265" t="s">
        <v>35</v>
      </c>
      <c r="D265" t="s">
        <v>36</v>
      </c>
      <c r="E265" t="s">
        <v>44</v>
      </c>
      <c r="F265" t="s">
        <v>23</v>
      </c>
      <c r="G265" t="s">
        <v>45</v>
      </c>
      <c r="H265" t="s">
        <v>46</v>
      </c>
      <c r="I265" t="s">
        <v>588</v>
      </c>
      <c r="J265">
        <v>12</v>
      </c>
      <c r="K265" s="2">
        <v>2905.2</v>
      </c>
      <c r="L265">
        <v>20</v>
      </c>
      <c r="M265" s="2">
        <v>27889.919999999998</v>
      </c>
      <c r="N265" s="2">
        <v>15955.59</v>
      </c>
      <c r="O265" s="2">
        <v>11934.33</v>
      </c>
      <c r="P265" t="s">
        <v>41</v>
      </c>
      <c r="Q265" t="s">
        <v>49</v>
      </c>
      <c r="R265" t="str">
        <f>TEXT(Table1[[#This Row],[Order Date]],"mmmm")</f>
        <v>February</v>
      </c>
      <c r="S265">
        <f>YEAR(Table1[[#This Row],[Order Date]])</f>
        <v>2026</v>
      </c>
    </row>
    <row r="266" spans="1:19" x14ac:dyDescent="0.3">
      <c r="A266" t="s">
        <v>589</v>
      </c>
      <c r="B266" s="1">
        <v>45951</v>
      </c>
      <c r="C266" t="s">
        <v>70</v>
      </c>
      <c r="D266" t="s">
        <v>71</v>
      </c>
      <c r="E266" t="s">
        <v>113</v>
      </c>
      <c r="F266" t="s">
        <v>31</v>
      </c>
      <c r="G266" t="s">
        <v>24</v>
      </c>
      <c r="H266" t="s">
        <v>32</v>
      </c>
      <c r="I266" t="s">
        <v>590</v>
      </c>
      <c r="J266">
        <v>7</v>
      </c>
      <c r="K266" s="2">
        <v>513.6</v>
      </c>
      <c r="L266">
        <v>15</v>
      </c>
      <c r="M266" s="2">
        <v>3055.92</v>
      </c>
      <c r="N266" s="2">
        <v>1692.31</v>
      </c>
      <c r="O266" s="2">
        <v>1363.61</v>
      </c>
      <c r="P266" t="s">
        <v>41</v>
      </c>
      <c r="Q266" t="s">
        <v>49</v>
      </c>
      <c r="R266" t="str">
        <f>TEXT(Table1[[#This Row],[Order Date]],"mmmm")</f>
        <v>October</v>
      </c>
      <c r="S266">
        <f>YEAR(Table1[[#This Row],[Order Date]])</f>
        <v>2025</v>
      </c>
    </row>
    <row r="267" spans="1:19" x14ac:dyDescent="0.3">
      <c r="A267" t="s">
        <v>591</v>
      </c>
      <c r="B267" s="1">
        <v>45719</v>
      </c>
      <c r="C267" t="s">
        <v>86</v>
      </c>
      <c r="D267" t="s">
        <v>87</v>
      </c>
      <c r="E267" t="s">
        <v>22</v>
      </c>
      <c r="F267" t="s">
        <v>23</v>
      </c>
      <c r="G267" t="s">
        <v>45</v>
      </c>
      <c r="H267" t="s">
        <v>123</v>
      </c>
      <c r="I267" t="s">
        <v>592</v>
      </c>
      <c r="J267">
        <v>4</v>
      </c>
      <c r="K267" s="2">
        <v>1633.37</v>
      </c>
      <c r="L267">
        <v>10</v>
      </c>
      <c r="M267" s="2">
        <v>5880.13</v>
      </c>
      <c r="N267" s="2">
        <v>4276.92</v>
      </c>
      <c r="O267" s="2">
        <v>1603.21</v>
      </c>
      <c r="P267" t="s">
        <v>41</v>
      </c>
      <c r="Q267" t="s">
        <v>28</v>
      </c>
      <c r="R267" t="str">
        <f>TEXT(Table1[[#This Row],[Order Date]],"mmmm")</f>
        <v>March</v>
      </c>
      <c r="S267">
        <f>YEAR(Table1[[#This Row],[Order Date]])</f>
        <v>2025</v>
      </c>
    </row>
    <row r="268" spans="1:19" x14ac:dyDescent="0.3">
      <c r="A268" t="s">
        <v>593</v>
      </c>
      <c r="B268" s="1">
        <v>46132</v>
      </c>
      <c r="C268" t="s">
        <v>86</v>
      </c>
      <c r="D268" t="s">
        <v>90</v>
      </c>
      <c r="E268" t="s">
        <v>113</v>
      </c>
      <c r="F268" t="s">
        <v>37</v>
      </c>
      <c r="G268" t="s">
        <v>45</v>
      </c>
      <c r="H268" t="s">
        <v>67</v>
      </c>
      <c r="I268" t="s">
        <v>594</v>
      </c>
      <c r="J268">
        <v>3</v>
      </c>
      <c r="K268" s="2">
        <v>2627.11</v>
      </c>
      <c r="L268">
        <v>5</v>
      </c>
      <c r="M268" s="2">
        <v>7487.26</v>
      </c>
      <c r="N268" s="2">
        <v>5184.57</v>
      </c>
      <c r="O268" s="2">
        <v>2302.69</v>
      </c>
      <c r="P268" t="s">
        <v>27</v>
      </c>
      <c r="Q268" t="s">
        <v>42</v>
      </c>
      <c r="R268" t="str">
        <f>TEXT(Table1[[#This Row],[Order Date]],"mmmm")</f>
        <v>April</v>
      </c>
      <c r="S268">
        <f>YEAR(Table1[[#This Row],[Order Date]])</f>
        <v>2026</v>
      </c>
    </row>
    <row r="269" spans="1:19" x14ac:dyDescent="0.3">
      <c r="A269" t="s">
        <v>595</v>
      </c>
      <c r="B269" s="1">
        <v>45767</v>
      </c>
      <c r="C269" t="s">
        <v>20</v>
      </c>
      <c r="D269" t="s">
        <v>21</v>
      </c>
      <c r="E269" t="s">
        <v>120</v>
      </c>
      <c r="F269" t="s">
        <v>23</v>
      </c>
      <c r="G269" t="s">
        <v>24</v>
      </c>
      <c r="H269" t="s">
        <v>56</v>
      </c>
      <c r="I269" t="s">
        <v>596</v>
      </c>
      <c r="J269">
        <v>15</v>
      </c>
      <c r="K269" s="2">
        <v>3089.09</v>
      </c>
      <c r="L269">
        <v>5</v>
      </c>
      <c r="M269" s="2">
        <v>44019.53</v>
      </c>
      <c r="N269" s="2">
        <v>24950.04</v>
      </c>
      <c r="O269" s="2">
        <v>19069.490000000002</v>
      </c>
      <c r="P269" t="s">
        <v>27</v>
      </c>
      <c r="Q269" t="s">
        <v>49</v>
      </c>
      <c r="R269" t="str">
        <f>TEXT(Table1[[#This Row],[Order Date]],"mmmm")</f>
        <v>April</v>
      </c>
      <c r="S269">
        <f>YEAR(Table1[[#This Row],[Order Date]])</f>
        <v>2025</v>
      </c>
    </row>
    <row r="270" spans="1:19" x14ac:dyDescent="0.3">
      <c r="A270" t="s">
        <v>597</v>
      </c>
      <c r="B270" s="1">
        <v>45797</v>
      </c>
      <c r="C270" t="s">
        <v>20</v>
      </c>
      <c r="D270" t="s">
        <v>55</v>
      </c>
      <c r="E270" t="s">
        <v>51</v>
      </c>
      <c r="F270" t="s">
        <v>23</v>
      </c>
      <c r="G270" t="s">
        <v>24</v>
      </c>
      <c r="H270" t="s">
        <v>56</v>
      </c>
      <c r="I270" t="s">
        <v>598</v>
      </c>
      <c r="J270">
        <v>7</v>
      </c>
      <c r="K270" s="2">
        <v>4116.8</v>
      </c>
      <c r="L270">
        <v>10</v>
      </c>
      <c r="M270" s="2">
        <v>25935.84</v>
      </c>
      <c r="N270" s="2">
        <v>17956.63</v>
      </c>
      <c r="O270" s="2">
        <v>7979.21</v>
      </c>
      <c r="P270" t="s">
        <v>48</v>
      </c>
      <c r="Q270" t="s">
        <v>42</v>
      </c>
      <c r="R270" t="str">
        <f>TEXT(Table1[[#This Row],[Order Date]],"mmmm")</f>
        <v>May</v>
      </c>
      <c r="S270">
        <f>YEAR(Table1[[#This Row],[Order Date]])</f>
        <v>2025</v>
      </c>
    </row>
    <row r="271" spans="1:19" x14ac:dyDescent="0.3">
      <c r="A271" t="s">
        <v>599</v>
      </c>
      <c r="B271" s="1">
        <v>45711</v>
      </c>
      <c r="C271" t="s">
        <v>35</v>
      </c>
      <c r="D271" t="s">
        <v>59</v>
      </c>
      <c r="E271" t="s">
        <v>22</v>
      </c>
      <c r="F271" t="s">
        <v>31</v>
      </c>
      <c r="G271" t="s">
        <v>38</v>
      </c>
      <c r="H271" t="s">
        <v>72</v>
      </c>
      <c r="I271" t="s">
        <v>600</v>
      </c>
      <c r="J271">
        <v>11</v>
      </c>
      <c r="K271" s="2">
        <v>2425.1799999999998</v>
      </c>
      <c r="L271">
        <v>10</v>
      </c>
      <c r="M271" s="2">
        <v>24009.279999999999</v>
      </c>
      <c r="N271" s="2">
        <v>16234.45</v>
      </c>
      <c r="O271" s="2">
        <v>7774.83</v>
      </c>
      <c r="P271" t="s">
        <v>48</v>
      </c>
      <c r="Q271" t="s">
        <v>49</v>
      </c>
      <c r="R271" t="str">
        <f>TEXT(Table1[[#This Row],[Order Date]],"mmmm")</f>
        <v>February</v>
      </c>
      <c r="S271">
        <f>YEAR(Table1[[#This Row],[Order Date]])</f>
        <v>2025</v>
      </c>
    </row>
    <row r="272" spans="1:19" x14ac:dyDescent="0.3">
      <c r="A272" t="s">
        <v>601</v>
      </c>
      <c r="B272" s="1">
        <v>46186</v>
      </c>
      <c r="C272" t="s">
        <v>20</v>
      </c>
      <c r="D272" t="s">
        <v>21</v>
      </c>
      <c r="E272" t="s">
        <v>66</v>
      </c>
      <c r="F272" t="s">
        <v>23</v>
      </c>
      <c r="G272" t="s">
        <v>38</v>
      </c>
      <c r="H272" t="s">
        <v>91</v>
      </c>
      <c r="I272" t="s">
        <v>602</v>
      </c>
      <c r="J272">
        <v>12</v>
      </c>
      <c r="K272" s="2">
        <v>2248.36</v>
      </c>
      <c r="L272">
        <v>15</v>
      </c>
      <c r="M272" s="2">
        <v>22933.27</v>
      </c>
      <c r="N272" s="2">
        <v>13787.64</v>
      </c>
      <c r="O272" s="2">
        <v>9145.6299999999992</v>
      </c>
      <c r="P272" t="s">
        <v>41</v>
      </c>
      <c r="Q272" t="s">
        <v>49</v>
      </c>
      <c r="R272" t="str">
        <f>TEXT(Table1[[#This Row],[Order Date]],"mmmm")</f>
        <v>June</v>
      </c>
      <c r="S272">
        <f>YEAR(Table1[[#This Row],[Order Date]])</f>
        <v>2026</v>
      </c>
    </row>
    <row r="273" spans="1:19" x14ac:dyDescent="0.3">
      <c r="A273" t="s">
        <v>603</v>
      </c>
      <c r="B273" s="1">
        <v>45671</v>
      </c>
      <c r="C273" t="s">
        <v>70</v>
      </c>
      <c r="D273" t="s">
        <v>71</v>
      </c>
      <c r="E273" t="s">
        <v>30</v>
      </c>
      <c r="F273" t="s">
        <v>31</v>
      </c>
      <c r="G273" t="s">
        <v>24</v>
      </c>
      <c r="H273" t="s">
        <v>25</v>
      </c>
      <c r="I273" t="s">
        <v>604</v>
      </c>
      <c r="J273">
        <v>4</v>
      </c>
      <c r="K273" s="2">
        <v>2274.5100000000002</v>
      </c>
      <c r="L273">
        <v>0</v>
      </c>
      <c r="M273" s="2">
        <v>9098.0400000000009</v>
      </c>
      <c r="N273" s="2">
        <v>5505.42</v>
      </c>
      <c r="O273" s="2">
        <v>3592.62</v>
      </c>
      <c r="P273" t="s">
        <v>48</v>
      </c>
      <c r="Q273" t="s">
        <v>61</v>
      </c>
      <c r="R273" t="str">
        <f>TEXT(Table1[[#This Row],[Order Date]],"mmmm")</f>
        <v>January</v>
      </c>
      <c r="S273">
        <f>YEAR(Table1[[#This Row],[Order Date]])</f>
        <v>2025</v>
      </c>
    </row>
    <row r="274" spans="1:19" x14ac:dyDescent="0.3">
      <c r="A274" t="s">
        <v>605</v>
      </c>
      <c r="B274" s="1">
        <v>46118</v>
      </c>
      <c r="C274" t="s">
        <v>86</v>
      </c>
      <c r="D274" t="s">
        <v>87</v>
      </c>
      <c r="E274" t="s">
        <v>44</v>
      </c>
      <c r="F274" t="s">
        <v>31</v>
      </c>
      <c r="G274" t="s">
        <v>45</v>
      </c>
      <c r="H274" t="s">
        <v>52</v>
      </c>
      <c r="I274" t="s">
        <v>606</v>
      </c>
      <c r="J274">
        <v>9</v>
      </c>
      <c r="K274" s="2">
        <v>1210.1600000000001</v>
      </c>
      <c r="L274">
        <v>10</v>
      </c>
      <c r="M274" s="2">
        <v>9802.2999999999993</v>
      </c>
      <c r="N274" s="2">
        <v>6135.7</v>
      </c>
      <c r="O274" s="2">
        <v>3666.6</v>
      </c>
      <c r="P274" t="s">
        <v>41</v>
      </c>
      <c r="Q274" t="s">
        <v>28</v>
      </c>
      <c r="R274" t="str">
        <f>TEXT(Table1[[#This Row],[Order Date]],"mmmm")</f>
        <v>April</v>
      </c>
      <c r="S274">
        <f>YEAR(Table1[[#This Row],[Order Date]])</f>
        <v>2026</v>
      </c>
    </row>
    <row r="275" spans="1:19" x14ac:dyDescent="0.3">
      <c r="A275" t="s">
        <v>607</v>
      </c>
      <c r="B275" s="1">
        <v>45683</v>
      </c>
      <c r="C275" t="s">
        <v>70</v>
      </c>
      <c r="D275" t="s">
        <v>71</v>
      </c>
      <c r="E275" t="s">
        <v>44</v>
      </c>
      <c r="F275" t="s">
        <v>23</v>
      </c>
      <c r="G275" t="s">
        <v>24</v>
      </c>
      <c r="H275" t="s">
        <v>56</v>
      </c>
      <c r="I275" t="s">
        <v>608</v>
      </c>
      <c r="J275">
        <v>11</v>
      </c>
      <c r="K275" s="2">
        <v>2047.56</v>
      </c>
      <c r="L275">
        <v>20</v>
      </c>
      <c r="M275" s="2">
        <v>18018.53</v>
      </c>
      <c r="N275" s="2">
        <v>10680.47</v>
      </c>
      <c r="O275" s="2">
        <v>7338.06</v>
      </c>
      <c r="P275" t="s">
        <v>41</v>
      </c>
      <c r="Q275" t="s">
        <v>61</v>
      </c>
      <c r="R275" t="str">
        <f>TEXT(Table1[[#This Row],[Order Date]],"mmmm")</f>
        <v>January</v>
      </c>
      <c r="S275">
        <f>YEAR(Table1[[#This Row],[Order Date]])</f>
        <v>2025</v>
      </c>
    </row>
    <row r="276" spans="1:19" x14ac:dyDescent="0.3">
      <c r="A276" t="s">
        <v>609</v>
      </c>
      <c r="B276" s="1">
        <v>45897</v>
      </c>
      <c r="C276" t="s">
        <v>86</v>
      </c>
      <c r="D276" t="s">
        <v>90</v>
      </c>
      <c r="E276" t="s">
        <v>170</v>
      </c>
      <c r="F276" t="s">
        <v>37</v>
      </c>
      <c r="G276" t="s">
        <v>24</v>
      </c>
      <c r="H276" t="s">
        <v>25</v>
      </c>
      <c r="I276" t="s">
        <v>610</v>
      </c>
      <c r="J276">
        <v>4</v>
      </c>
      <c r="K276" s="2">
        <v>2705.1</v>
      </c>
      <c r="L276">
        <v>5</v>
      </c>
      <c r="M276" s="2">
        <v>10279.379999999999</v>
      </c>
      <c r="N276" s="2">
        <v>7536.1</v>
      </c>
      <c r="O276" s="2">
        <v>2743.28</v>
      </c>
      <c r="P276" t="s">
        <v>27</v>
      </c>
      <c r="Q276" t="s">
        <v>28</v>
      </c>
      <c r="R276" t="str">
        <f>TEXT(Table1[[#This Row],[Order Date]],"mmmm")</f>
        <v>August</v>
      </c>
      <c r="S276">
        <f>YEAR(Table1[[#This Row],[Order Date]])</f>
        <v>2025</v>
      </c>
    </row>
    <row r="277" spans="1:19" x14ac:dyDescent="0.3">
      <c r="A277" t="s">
        <v>611</v>
      </c>
      <c r="B277" s="1">
        <v>45992</v>
      </c>
      <c r="C277" t="s">
        <v>70</v>
      </c>
      <c r="D277" t="s">
        <v>71</v>
      </c>
      <c r="E277" t="s">
        <v>30</v>
      </c>
      <c r="F277" t="s">
        <v>37</v>
      </c>
      <c r="G277" t="s">
        <v>38</v>
      </c>
      <c r="H277" t="s">
        <v>91</v>
      </c>
      <c r="I277" t="s">
        <v>612</v>
      </c>
      <c r="J277">
        <v>3</v>
      </c>
      <c r="K277" s="2">
        <v>1963.72</v>
      </c>
      <c r="L277">
        <v>0</v>
      </c>
      <c r="M277" s="2">
        <v>5891.16</v>
      </c>
      <c r="N277" s="2">
        <v>4550.1400000000003</v>
      </c>
      <c r="O277" s="2">
        <v>1341.02</v>
      </c>
      <c r="P277" t="s">
        <v>48</v>
      </c>
      <c r="Q277" t="s">
        <v>28</v>
      </c>
      <c r="R277" t="str">
        <f>TEXT(Table1[[#This Row],[Order Date]],"mmmm")</f>
        <v>December</v>
      </c>
      <c r="S277">
        <f>YEAR(Table1[[#This Row],[Order Date]])</f>
        <v>2025</v>
      </c>
    </row>
    <row r="278" spans="1:19" x14ac:dyDescent="0.3">
      <c r="A278" t="s">
        <v>613</v>
      </c>
      <c r="B278" s="1">
        <v>46203</v>
      </c>
      <c r="C278" t="s">
        <v>70</v>
      </c>
      <c r="D278" t="s">
        <v>75</v>
      </c>
      <c r="E278" t="s">
        <v>51</v>
      </c>
      <c r="F278" t="s">
        <v>31</v>
      </c>
      <c r="G278" t="s">
        <v>38</v>
      </c>
      <c r="H278" t="s">
        <v>106</v>
      </c>
      <c r="I278" t="s">
        <v>614</v>
      </c>
      <c r="J278">
        <v>13</v>
      </c>
      <c r="K278" s="2">
        <v>2166.14</v>
      </c>
      <c r="L278">
        <v>5</v>
      </c>
      <c r="M278" s="2">
        <v>26751.83</v>
      </c>
      <c r="N278" s="2">
        <v>18442.25</v>
      </c>
      <c r="O278" s="2">
        <v>8309.58</v>
      </c>
      <c r="P278" t="s">
        <v>41</v>
      </c>
      <c r="Q278" t="s">
        <v>49</v>
      </c>
      <c r="R278" t="str">
        <f>TEXT(Table1[[#This Row],[Order Date]],"mmmm")</f>
        <v>June</v>
      </c>
      <c r="S278">
        <f>YEAR(Table1[[#This Row],[Order Date]])</f>
        <v>2026</v>
      </c>
    </row>
    <row r="279" spans="1:19" x14ac:dyDescent="0.3">
      <c r="A279" t="s">
        <v>615</v>
      </c>
      <c r="B279" s="1">
        <v>46125</v>
      </c>
      <c r="C279" t="s">
        <v>20</v>
      </c>
      <c r="D279" t="s">
        <v>55</v>
      </c>
      <c r="E279" t="s">
        <v>22</v>
      </c>
      <c r="F279" t="s">
        <v>23</v>
      </c>
      <c r="G279" t="s">
        <v>45</v>
      </c>
      <c r="H279" t="s">
        <v>159</v>
      </c>
      <c r="I279" t="s">
        <v>616</v>
      </c>
      <c r="J279">
        <v>5</v>
      </c>
      <c r="K279" s="2">
        <v>4066.74</v>
      </c>
      <c r="L279">
        <v>0</v>
      </c>
      <c r="M279" s="2">
        <v>20333.7</v>
      </c>
      <c r="N279" s="2">
        <v>15723.69</v>
      </c>
      <c r="O279" s="2">
        <v>4610.01</v>
      </c>
      <c r="P279" t="s">
        <v>48</v>
      </c>
      <c r="Q279" t="s">
        <v>42</v>
      </c>
      <c r="R279" t="str">
        <f>TEXT(Table1[[#This Row],[Order Date]],"mmmm")</f>
        <v>April</v>
      </c>
      <c r="S279">
        <f>YEAR(Table1[[#This Row],[Order Date]])</f>
        <v>2026</v>
      </c>
    </row>
    <row r="280" spans="1:19" x14ac:dyDescent="0.3">
      <c r="A280" t="s">
        <v>617</v>
      </c>
      <c r="B280" s="1">
        <v>46069</v>
      </c>
      <c r="C280" t="s">
        <v>20</v>
      </c>
      <c r="D280" t="s">
        <v>21</v>
      </c>
      <c r="E280" t="s">
        <v>30</v>
      </c>
      <c r="F280" t="s">
        <v>23</v>
      </c>
      <c r="G280" t="s">
        <v>45</v>
      </c>
      <c r="H280" t="s">
        <v>46</v>
      </c>
      <c r="I280" t="s">
        <v>47</v>
      </c>
      <c r="J280">
        <v>9</v>
      </c>
      <c r="K280" s="2">
        <v>1380.47</v>
      </c>
      <c r="L280">
        <v>20</v>
      </c>
      <c r="M280" s="2">
        <v>9939.3799999999992</v>
      </c>
      <c r="N280" s="2">
        <v>7189.76</v>
      </c>
      <c r="O280" s="2">
        <v>2749.62</v>
      </c>
      <c r="P280" t="s">
        <v>41</v>
      </c>
      <c r="Q280" t="s">
        <v>49</v>
      </c>
      <c r="R280" t="str">
        <f>TEXT(Table1[[#This Row],[Order Date]],"mmmm")</f>
        <v>February</v>
      </c>
      <c r="S280">
        <f>YEAR(Table1[[#This Row],[Order Date]])</f>
        <v>2026</v>
      </c>
    </row>
    <row r="281" spans="1:19" x14ac:dyDescent="0.3">
      <c r="A281" t="s">
        <v>618</v>
      </c>
      <c r="B281" s="1">
        <v>45863</v>
      </c>
      <c r="C281" t="s">
        <v>35</v>
      </c>
      <c r="D281" t="s">
        <v>59</v>
      </c>
      <c r="E281" t="s">
        <v>120</v>
      </c>
      <c r="F281" t="s">
        <v>37</v>
      </c>
      <c r="G281" t="s">
        <v>24</v>
      </c>
      <c r="H281" t="s">
        <v>171</v>
      </c>
      <c r="I281" t="s">
        <v>619</v>
      </c>
      <c r="J281">
        <v>12</v>
      </c>
      <c r="K281" s="2">
        <v>2666.75</v>
      </c>
      <c r="L281">
        <v>0</v>
      </c>
      <c r="M281" s="2">
        <v>32001</v>
      </c>
      <c r="N281" s="2">
        <v>18304.560000000001</v>
      </c>
      <c r="O281" s="2">
        <v>13696.44</v>
      </c>
      <c r="P281" t="s">
        <v>41</v>
      </c>
      <c r="Q281" t="s">
        <v>28</v>
      </c>
      <c r="R281" t="str">
        <f>TEXT(Table1[[#This Row],[Order Date]],"mmmm")</f>
        <v>July</v>
      </c>
      <c r="S281">
        <f>YEAR(Table1[[#This Row],[Order Date]])</f>
        <v>2025</v>
      </c>
    </row>
    <row r="282" spans="1:19" x14ac:dyDescent="0.3">
      <c r="A282" t="s">
        <v>620</v>
      </c>
      <c r="B282" s="1">
        <v>45992</v>
      </c>
      <c r="C282" t="s">
        <v>35</v>
      </c>
      <c r="D282" t="s">
        <v>36</v>
      </c>
      <c r="E282" t="s">
        <v>120</v>
      </c>
      <c r="F282" t="s">
        <v>37</v>
      </c>
      <c r="G282" t="s">
        <v>24</v>
      </c>
      <c r="H282" t="s">
        <v>134</v>
      </c>
      <c r="I282" t="s">
        <v>621</v>
      </c>
      <c r="J282">
        <v>9</v>
      </c>
      <c r="K282" s="2">
        <v>966.57</v>
      </c>
      <c r="L282">
        <v>20</v>
      </c>
      <c r="M282" s="2">
        <v>6959.3</v>
      </c>
      <c r="N282" s="2">
        <v>5404.11</v>
      </c>
      <c r="O282" s="2">
        <v>1555.19</v>
      </c>
      <c r="P282" t="s">
        <v>41</v>
      </c>
      <c r="Q282" t="s">
        <v>49</v>
      </c>
      <c r="R282" t="str">
        <f>TEXT(Table1[[#This Row],[Order Date]],"mmmm")</f>
        <v>December</v>
      </c>
      <c r="S282">
        <f>YEAR(Table1[[#This Row],[Order Date]])</f>
        <v>2025</v>
      </c>
    </row>
    <row r="283" spans="1:19" x14ac:dyDescent="0.3">
      <c r="A283" t="s">
        <v>622</v>
      </c>
      <c r="B283" s="1">
        <v>45980</v>
      </c>
      <c r="C283" t="s">
        <v>70</v>
      </c>
      <c r="D283" t="s">
        <v>75</v>
      </c>
      <c r="E283" t="s">
        <v>51</v>
      </c>
      <c r="F283" t="s">
        <v>37</v>
      </c>
      <c r="G283" t="s">
        <v>45</v>
      </c>
      <c r="H283" t="s">
        <v>123</v>
      </c>
      <c r="I283" t="s">
        <v>623</v>
      </c>
      <c r="J283">
        <v>3</v>
      </c>
      <c r="K283" s="2">
        <v>2138.96</v>
      </c>
      <c r="L283">
        <v>20</v>
      </c>
      <c r="M283" s="2">
        <v>5133.5</v>
      </c>
      <c r="N283" s="2">
        <v>3109.09</v>
      </c>
      <c r="O283" s="2">
        <v>2024.41</v>
      </c>
      <c r="P283" t="s">
        <v>48</v>
      </c>
      <c r="Q283" t="s">
        <v>42</v>
      </c>
      <c r="R283" t="str">
        <f>TEXT(Table1[[#This Row],[Order Date]],"mmmm")</f>
        <v>November</v>
      </c>
      <c r="S283">
        <f>YEAR(Table1[[#This Row],[Order Date]])</f>
        <v>2025</v>
      </c>
    </row>
    <row r="284" spans="1:19" x14ac:dyDescent="0.3">
      <c r="A284" t="s">
        <v>624</v>
      </c>
      <c r="B284" s="1">
        <v>46178</v>
      </c>
      <c r="C284" t="s">
        <v>35</v>
      </c>
      <c r="D284" t="s">
        <v>36</v>
      </c>
      <c r="E284" t="s">
        <v>51</v>
      </c>
      <c r="F284" t="s">
        <v>37</v>
      </c>
      <c r="G284" t="s">
        <v>38</v>
      </c>
      <c r="H284" t="s">
        <v>91</v>
      </c>
      <c r="I284" t="s">
        <v>625</v>
      </c>
      <c r="J284">
        <v>8</v>
      </c>
      <c r="K284" s="2">
        <v>860.4</v>
      </c>
      <c r="L284">
        <v>15</v>
      </c>
      <c r="M284" s="2">
        <v>5850.72</v>
      </c>
      <c r="N284" s="2">
        <v>3526.73</v>
      </c>
      <c r="O284" s="2">
        <v>2323.9899999999998</v>
      </c>
      <c r="P284" t="s">
        <v>27</v>
      </c>
      <c r="Q284" t="s">
        <v>61</v>
      </c>
      <c r="R284" t="str">
        <f>TEXT(Table1[[#This Row],[Order Date]],"mmmm")</f>
        <v>June</v>
      </c>
      <c r="S284">
        <f>YEAR(Table1[[#This Row],[Order Date]])</f>
        <v>2026</v>
      </c>
    </row>
    <row r="285" spans="1:19" x14ac:dyDescent="0.3">
      <c r="A285" t="s">
        <v>626</v>
      </c>
      <c r="B285" s="1">
        <v>45788</v>
      </c>
      <c r="C285" t="s">
        <v>20</v>
      </c>
      <c r="D285" t="s">
        <v>21</v>
      </c>
      <c r="E285" t="s">
        <v>51</v>
      </c>
      <c r="F285" t="s">
        <v>31</v>
      </c>
      <c r="G285" t="s">
        <v>24</v>
      </c>
      <c r="H285" t="s">
        <v>56</v>
      </c>
      <c r="I285" t="s">
        <v>627</v>
      </c>
      <c r="J285">
        <v>1</v>
      </c>
      <c r="K285" s="2">
        <v>4070.83</v>
      </c>
      <c r="L285">
        <v>20</v>
      </c>
      <c r="M285" s="2">
        <v>3256.66</v>
      </c>
      <c r="N285" s="2">
        <v>2384.9699999999998</v>
      </c>
      <c r="O285" s="2">
        <v>871.69</v>
      </c>
      <c r="P285" t="s">
        <v>41</v>
      </c>
      <c r="Q285" t="s">
        <v>49</v>
      </c>
      <c r="R285" t="str">
        <f>TEXT(Table1[[#This Row],[Order Date]],"mmmm")</f>
        <v>May</v>
      </c>
      <c r="S285">
        <f>YEAR(Table1[[#This Row],[Order Date]])</f>
        <v>2025</v>
      </c>
    </row>
    <row r="286" spans="1:19" x14ac:dyDescent="0.3">
      <c r="A286" t="s">
        <v>628</v>
      </c>
      <c r="B286" s="1">
        <v>46121</v>
      </c>
      <c r="C286" t="s">
        <v>86</v>
      </c>
      <c r="D286" t="s">
        <v>90</v>
      </c>
      <c r="E286" t="s">
        <v>22</v>
      </c>
      <c r="F286" t="s">
        <v>37</v>
      </c>
      <c r="G286" t="s">
        <v>45</v>
      </c>
      <c r="H286" t="s">
        <v>159</v>
      </c>
      <c r="I286" t="s">
        <v>629</v>
      </c>
      <c r="J286">
        <v>11</v>
      </c>
      <c r="K286" s="2">
        <v>1611.85</v>
      </c>
      <c r="L286">
        <v>20</v>
      </c>
      <c r="M286" s="2">
        <v>14184.28</v>
      </c>
      <c r="N286" s="2">
        <v>10965.29</v>
      </c>
      <c r="O286" s="2">
        <v>3218.99</v>
      </c>
      <c r="P286" t="s">
        <v>41</v>
      </c>
      <c r="Q286" t="s">
        <v>49</v>
      </c>
      <c r="R286" t="str">
        <f>TEXT(Table1[[#This Row],[Order Date]],"mmmm")</f>
        <v>April</v>
      </c>
      <c r="S286">
        <f>YEAR(Table1[[#This Row],[Order Date]])</f>
        <v>2026</v>
      </c>
    </row>
    <row r="287" spans="1:19" x14ac:dyDescent="0.3">
      <c r="A287" t="s">
        <v>630</v>
      </c>
      <c r="B287" s="1">
        <v>45903</v>
      </c>
      <c r="C287" t="s">
        <v>20</v>
      </c>
      <c r="D287" t="s">
        <v>55</v>
      </c>
      <c r="E287" t="s">
        <v>22</v>
      </c>
      <c r="F287" t="s">
        <v>31</v>
      </c>
      <c r="G287" t="s">
        <v>38</v>
      </c>
      <c r="H287" t="s">
        <v>106</v>
      </c>
      <c r="I287" t="s">
        <v>631</v>
      </c>
      <c r="J287">
        <v>1</v>
      </c>
      <c r="K287" s="2">
        <v>4154.8</v>
      </c>
      <c r="L287">
        <v>15</v>
      </c>
      <c r="M287" s="2">
        <v>3531.58</v>
      </c>
      <c r="N287" s="2">
        <v>2295.3200000000002</v>
      </c>
      <c r="O287" s="2">
        <v>1236.26</v>
      </c>
      <c r="P287" t="s">
        <v>27</v>
      </c>
      <c r="Q287" t="s">
        <v>61</v>
      </c>
      <c r="R287" t="str">
        <f>TEXT(Table1[[#This Row],[Order Date]],"mmmm")</f>
        <v>September</v>
      </c>
      <c r="S287">
        <f>YEAR(Table1[[#This Row],[Order Date]])</f>
        <v>2025</v>
      </c>
    </row>
    <row r="288" spans="1:19" x14ac:dyDescent="0.3">
      <c r="A288" t="s">
        <v>632</v>
      </c>
      <c r="B288" s="1">
        <v>45814</v>
      </c>
      <c r="C288" t="s">
        <v>86</v>
      </c>
      <c r="D288" t="s">
        <v>87</v>
      </c>
      <c r="E288" t="s">
        <v>170</v>
      </c>
      <c r="F288" t="s">
        <v>23</v>
      </c>
      <c r="G288" t="s">
        <v>38</v>
      </c>
      <c r="H288" t="s">
        <v>106</v>
      </c>
      <c r="I288" t="s">
        <v>633</v>
      </c>
      <c r="J288">
        <v>9</v>
      </c>
      <c r="K288" s="2">
        <v>2099.2800000000002</v>
      </c>
      <c r="L288">
        <v>15</v>
      </c>
      <c r="M288" s="2">
        <v>16059.49</v>
      </c>
      <c r="N288" s="2">
        <v>10992.34</v>
      </c>
      <c r="O288" s="2">
        <v>5067.1499999999996</v>
      </c>
      <c r="P288" t="s">
        <v>48</v>
      </c>
      <c r="Q288" t="s">
        <v>61</v>
      </c>
      <c r="R288" t="str">
        <f>TEXT(Table1[[#This Row],[Order Date]],"mmmm")</f>
        <v>June</v>
      </c>
      <c r="S288">
        <f>YEAR(Table1[[#This Row],[Order Date]])</f>
        <v>2025</v>
      </c>
    </row>
    <row r="289" spans="1:19" x14ac:dyDescent="0.3">
      <c r="A289" t="s">
        <v>634</v>
      </c>
      <c r="B289" s="1">
        <v>45785</v>
      </c>
      <c r="C289" t="s">
        <v>35</v>
      </c>
      <c r="D289" t="s">
        <v>59</v>
      </c>
      <c r="E289" t="s">
        <v>44</v>
      </c>
      <c r="F289" t="s">
        <v>37</v>
      </c>
      <c r="G289" t="s">
        <v>45</v>
      </c>
      <c r="H289" t="s">
        <v>123</v>
      </c>
      <c r="I289" t="s">
        <v>635</v>
      </c>
      <c r="J289">
        <v>13</v>
      </c>
      <c r="K289" s="2">
        <v>1690.61</v>
      </c>
      <c r="L289">
        <v>0</v>
      </c>
      <c r="M289" s="2">
        <v>21977.93</v>
      </c>
      <c r="N289" s="2">
        <v>13599.48</v>
      </c>
      <c r="O289" s="2">
        <v>8378.4500000000007</v>
      </c>
      <c r="P289" t="s">
        <v>27</v>
      </c>
      <c r="Q289" t="s">
        <v>42</v>
      </c>
      <c r="R289" t="str">
        <f>TEXT(Table1[[#This Row],[Order Date]],"mmmm")</f>
        <v>May</v>
      </c>
      <c r="S289">
        <f>YEAR(Table1[[#This Row],[Order Date]])</f>
        <v>2025</v>
      </c>
    </row>
    <row r="290" spans="1:19" x14ac:dyDescent="0.3">
      <c r="A290" t="s">
        <v>636</v>
      </c>
      <c r="B290" s="1">
        <v>45779</v>
      </c>
      <c r="C290" t="s">
        <v>20</v>
      </c>
      <c r="D290" t="s">
        <v>55</v>
      </c>
      <c r="E290" t="s">
        <v>66</v>
      </c>
      <c r="F290" t="s">
        <v>37</v>
      </c>
      <c r="G290" t="s">
        <v>45</v>
      </c>
      <c r="H290" t="s">
        <v>123</v>
      </c>
      <c r="I290" t="s">
        <v>592</v>
      </c>
      <c r="J290">
        <v>6</v>
      </c>
      <c r="K290" s="2">
        <v>4684.8900000000003</v>
      </c>
      <c r="L290">
        <v>15</v>
      </c>
      <c r="M290" s="2">
        <v>23892.94</v>
      </c>
      <c r="N290" s="2">
        <v>16658.330000000002</v>
      </c>
      <c r="O290" s="2">
        <v>7234.61</v>
      </c>
      <c r="P290" t="s">
        <v>27</v>
      </c>
      <c r="Q290" t="s">
        <v>49</v>
      </c>
      <c r="R290" t="str">
        <f>TEXT(Table1[[#This Row],[Order Date]],"mmmm")</f>
        <v>May</v>
      </c>
      <c r="S290">
        <f>YEAR(Table1[[#This Row],[Order Date]])</f>
        <v>2025</v>
      </c>
    </row>
    <row r="291" spans="1:19" x14ac:dyDescent="0.3">
      <c r="A291" t="s">
        <v>637</v>
      </c>
      <c r="B291" s="1">
        <v>45993</v>
      </c>
      <c r="C291" t="s">
        <v>70</v>
      </c>
      <c r="D291" t="s">
        <v>75</v>
      </c>
      <c r="E291" t="s">
        <v>170</v>
      </c>
      <c r="F291" t="s">
        <v>37</v>
      </c>
      <c r="G291" t="s">
        <v>45</v>
      </c>
      <c r="H291" t="s">
        <v>159</v>
      </c>
      <c r="I291" t="s">
        <v>638</v>
      </c>
      <c r="J291">
        <v>8</v>
      </c>
      <c r="K291" s="2">
        <v>4070.82</v>
      </c>
      <c r="L291">
        <v>15</v>
      </c>
      <c r="M291" s="2">
        <v>27681.58</v>
      </c>
      <c r="N291" s="2">
        <v>16628.669999999998</v>
      </c>
      <c r="O291" s="2">
        <v>11052.91</v>
      </c>
      <c r="P291" t="s">
        <v>41</v>
      </c>
      <c r="Q291" t="s">
        <v>28</v>
      </c>
      <c r="R291" t="str">
        <f>TEXT(Table1[[#This Row],[Order Date]],"mmmm")</f>
        <v>December</v>
      </c>
      <c r="S291">
        <f>YEAR(Table1[[#This Row],[Order Date]])</f>
        <v>2025</v>
      </c>
    </row>
    <row r="292" spans="1:19" x14ac:dyDescent="0.3">
      <c r="A292" t="s">
        <v>639</v>
      </c>
      <c r="B292" s="1">
        <v>45925</v>
      </c>
      <c r="C292" t="s">
        <v>86</v>
      </c>
      <c r="D292" t="s">
        <v>90</v>
      </c>
      <c r="E292" t="s">
        <v>66</v>
      </c>
      <c r="F292" t="s">
        <v>23</v>
      </c>
      <c r="G292" t="s">
        <v>24</v>
      </c>
      <c r="H292" t="s">
        <v>56</v>
      </c>
      <c r="I292" t="s">
        <v>640</v>
      </c>
      <c r="J292">
        <v>14</v>
      </c>
      <c r="K292" s="2">
        <v>3511</v>
      </c>
      <c r="L292">
        <v>5</v>
      </c>
      <c r="M292" s="2">
        <v>46696.3</v>
      </c>
      <c r="N292" s="2">
        <v>25742.67</v>
      </c>
      <c r="O292" s="2">
        <v>20953.63</v>
      </c>
      <c r="P292" t="s">
        <v>48</v>
      </c>
      <c r="Q292" t="s">
        <v>28</v>
      </c>
      <c r="R292" t="str">
        <f>TEXT(Table1[[#This Row],[Order Date]],"mmmm")</f>
        <v>September</v>
      </c>
      <c r="S292">
        <f>YEAR(Table1[[#This Row],[Order Date]])</f>
        <v>2025</v>
      </c>
    </row>
    <row r="293" spans="1:19" x14ac:dyDescent="0.3">
      <c r="A293" t="s">
        <v>641</v>
      </c>
      <c r="B293" s="1">
        <v>45848</v>
      </c>
      <c r="C293" t="s">
        <v>86</v>
      </c>
      <c r="D293" t="s">
        <v>90</v>
      </c>
      <c r="E293" t="s">
        <v>44</v>
      </c>
      <c r="F293" t="s">
        <v>23</v>
      </c>
      <c r="G293" t="s">
        <v>38</v>
      </c>
      <c r="H293" t="s">
        <v>72</v>
      </c>
      <c r="I293" t="s">
        <v>642</v>
      </c>
      <c r="J293">
        <v>14</v>
      </c>
      <c r="K293" s="2">
        <v>3455.07</v>
      </c>
      <c r="L293">
        <v>5</v>
      </c>
      <c r="M293" s="2">
        <v>45952.43</v>
      </c>
      <c r="N293" s="2">
        <v>31248.44</v>
      </c>
      <c r="O293" s="2">
        <v>14703.99</v>
      </c>
      <c r="P293" t="s">
        <v>27</v>
      </c>
      <c r="Q293" t="s">
        <v>28</v>
      </c>
      <c r="R293" t="str">
        <f>TEXT(Table1[[#This Row],[Order Date]],"mmmm")</f>
        <v>July</v>
      </c>
      <c r="S293">
        <f>YEAR(Table1[[#This Row],[Order Date]])</f>
        <v>2025</v>
      </c>
    </row>
    <row r="294" spans="1:19" x14ac:dyDescent="0.3">
      <c r="A294" t="s">
        <v>643</v>
      </c>
      <c r="B294" s="1">
        <v>46075</v>
      </c>
      <c r="C294" t="s">
        <v>20</v>
      </c>
      <c r="D294" t="s">
        <v>55</v>
      </c>
      <c r="E294" t="s">
        <v>22</v>
      </c>
      <c r="F294" t="s">
        <v>31</v>
      </c>
      <c r="G294" t="s">
        <v>45</v>
      </c>
      <c r="H294" t="s">
        <v>67</v>
      </c>
      <c r="I294" t="s">
        <v>644</v>
      </c>
      <c r="J294">
        <v>14</v>
      </c>
      <c r="K294" s="2">
        <v>979.64</v>
      </c>
      <c r="L294">
        <v>0</v>
      </c>
      <c r="M294" s="2">
        <v>13714.96</v>
      </c>
      <c r="N294" s="2">
        <v>8854.76</v>
      </c>
      <c r="O294" s="2">
        <v>4860.2</v>
      </c>
      <c r="P294" t="s">
        <v>27</v>
      </c>
      <c r="Q294" t="s">
        <v>61</v>
      </c>
      <c r="R294" t="str">
        <f>TEXT(Table1[[#This Row],[Order Date]],"mmmm")</f>
        <v>February</v>
      </c>
      <c r="S294">
        <f>YEAR(Table1[[#This Row],[Order Date]])</f>
        <v>2026</v>
      </c>
    </row>
    <row r="295" spans="1:19" x14ac:dyDescent="0.3">
      <c r="A295" t="s">
        <v>645</v>
      </c>
      <c r="B295" s="1">
        <v>45725</v>
      </c>
      <c r="C295" t="s">
        <v>35</v>
      </c>
      <c r="D295" t="s">
        <v>59</v>
      </c>
      <c r="E295" t="s">
        <v>120</v>
      </c>
      <c r="F295" t="s">
        <v>23</v>
      </c>
      <c r="G295" t="s">
        <v>45</v>
      </c>
      <c r="H295" t="s">
        <v>52</v>
      </c>
      <c r="I295" t="s">
        <v>646</v>
      </c>
      <c r="J295">
        <v>14</v>
      </c>
      <c r="K295" s="2">
        <v>4285.1499999999996</v>
      </c>
      <c r="L295">
        <v>20</v>
      </c>
      <c r="M295" s="2">
        <v>47993.68</v>
      </c>
      <c r="N295" s="2">
        <v>31301.13</v>
      </c>
      <c r="O295" s="2">
        <v>16692.55</v>
      </c>
      <c r="P295" t="s">
        <v>48</v>
      </c>
      <c r="Q295" t="s">
        <v>61</v>
      </c>
      <c r="R295" t="str">
        <f>TEXT(Table1[[#This Row],[Order Date]],"mmmm")</f>
        <v>March</v>
      </c>
      <c r="S295">
        <f>YEAR(Table1[[#This Row],[Order Date]])</f>
        <v>2025</v>
      </c>
    </row>
    <row r="296" spans="1:19" x14ac:dyDescent="0.3">
      <c r="A296" t="s">
        <v>647</v>
      </c>
      <c r="B296" s="1">
        <v>45842</v>
      </c>
      <c r="C296" t="s">
        <v>20</v>
      </c>
      <c r="D296" t="s">
        <v>21</v>
      </c>
      <c r="E296" t="s">
        <v>170</v>
      </c>
      <c r="F296" t="s">
        <v>37</v>
      </c>
      <c r="G296" t="s">
        <v>24</v>
      </c>
      <c r="H296" t="s">
        <v>32</v>
      </c>
      <c r="I296" t="s">
        <v>648</v>
      </c>
      <c r="J296">
        <v>2</v>
      </c>
      <c r="K296" s="2">
        <v>3045.13</v>
      </c>
      <c r="L296">
        <v>20</v>
      </c>
      <c r="M296" s="2">
        <v>4872.21</v>
      </c>
      <c r="N296" s="2">
        <v>3283.23</v>
      </c>
      <c r="O296" s="2">
        <v>1588.98</v>
      </c>
      <c r="P296" t="s">
        <v>48</v>
      </c>
      <c r="Q296" t="s">
        <v>42</v>
      </c>
      <c r="R296" t="str">
        <f>TEXT(Table1[[#This Row],[Order Date]],"mmmm")</f>
        <v>July</v>
      </c>
      <c r="S296">
        <f>YEAR(Table1[[#This Row],[Order Date]])</f>
        <v>2025</v>
      </c>
    </row>
    <row r="297" spans="1:19" x14ac:dyDescent="0.3">
      <c r="A297" t="s">
        <v>649</v>
      </c>
      <c r="B297" s="1">
        <v>45998</v>
      </c>
      <c r="C297" t="s">
        <v>20</v>
      </c>
      <c r="D297" t="s">
        <v>55</v>
      </c>
      <c r="E297" t="s">
        <v>30</v>
      </c>
      <c r="F297" t="s">
        <v>31</v>
      </c>
      <c r="G297" t="s">
        <v>24</v>
      </c>
      <c r="H297" t="s">
        <v>171</v>
      </c>
      <c r="I297" t="s">
        <v>650</v>
      </c>
      <c r="J297">
        <v>8</v>
      </c>
      <c r="K297" s="2">
        <v>1646.49</v>
      </c>
      <c r="L297">
        <v>5</v>
      </c>
      <c r="M297" s="2">
        <v>12513.32</v>
      </c>
      <c r="N297" s="2">
        <v>7118.17</v>
      </c>
      <c r="O297" s="2">
        <v>5395.15</v>
      </c>
      <c r="P297" t="s">
        <v>48</v>
      </c>
      <c r="Q297" t="s">
        <v>49</v>
      </c>
      <c r="R297" t="str">
        <f>TEXT(Table1[[#This Row],[Order Date]],"mmmm")</f>
        <v>December</v>
      </c>
      <c r="S297">
        <f>YEAR(Table1[[#This Row],[Order Date]])</f>
        <v>2025</v>
      </c>
    </row>
    <row r="298" spans="1:19" x14ac:dyDescent="0.3">
      <c r="A298" t="s">
        <v>651</v>
      </c>
      <c r="B298" s="1">
        <v>46160</v>
      </c>
      <c r="C298" t="s">
        <v>86</v>
      </c>
      <c r="D298" t="s">
        <v>90</v>
      </c>
      <c r="E298" t="s">
        <v>30</v>
      </c>
      <c r="F298" t="s">
        <v>37</v>
      </c>
      <c r="G298" t="s">
        <v>24</v>
      </c>
      <c r="H298" t="s">
        <v>134</v>
      </c>
      <c r="I298" t="s">
        <v>652</v>
      </c>
      <c r="J298">
        <v>13</v>
      </c>
      <c r="K298" s="2">
        <v>2509.36</v>
      </c>
      <c r="L298">
        <v>5</v>
      </c>
      <c r="M298" s="2">
        <v>30990.6</v>
      </c>
      <c r="N298" s="2">
        <v>21844.41</v>
      </c>
      <c r="O298" s="2">
        <v>9146.19</v>
      </c>
      <c r="P298" t="s">
        <v>48</v>
      </c>
      <c r="Q298" t="s">
        <v>49</v>
      </c>
      <c r="R298" t="str">
        <f>TEXT(Table1[[#This Row],[Order Date]],"mmmm")</f>
        <v>May</v>
      </c>
      <c r="S298">
        <f>YEAR(Table1[[#This Row],[Order Date]])</f>
        <v>2026</v>
      </c>
    </row>
    <row r="299" spans="1:19" x14ac:dyDescent="0.3">
      <c r="A299" t="s">
        <v>653</v>
      </c>
      <c r="B299" s="1">
        <v>45917</v>
      </c>
      <c r="C299" t="s">
        <v>20</v>
      </c>
      <c r="D299" t="s">
        <v>21</v>
      </c>
      <c r="E299" t="s">
        <v>51</v>
      </c>
      <c r="F299" t="s">
        <v>31</v>
      </c>
      <c r="G299" t="s">
        <v>38</v>
      </c>
      <c r="H299" t="s">
        <v>63</v>
      </c>
      <c r="I299" t="s">
        <v>654</v>
      </c>
      <c r="J299">
        <v>4</v>
      </c>
      <c r="K299" s="2">
        <v>1123.51</v>
      </c>
      <c r="L299">
        <v>5</v>
      </c>
      <c r="M299" s="2">
        <v>4269.34</v>
      </c>
      <c r="N299" s="2">
        <v>3042.54</v>
      </c>
      <c r="O299" s="2">
        <v>1226.8</v>
      </c>
      <c r="P299" t="s">
        <v>27</v>
      </c>
      <c r="Q299" t="s">
        <v>49</v>
      </c>
      <c r="R299" t="str">
        <f>TEXT(Table1[[#This Row],[Order Date]],"mmmm")</f>
        <v>September</v>
      </c>
      <c r="S299">
        <f>YEAR(Table1[[#This Row],[Order Date]])</f>
        <v>2025</v>
      </c>
    </row>
    <row r="300" spans="1:19" x14ac:dyDescent="0.3">
      <c r="A300" t="s">
        <v>655</v>
      </c>
      <c r="B300" s="1">
        <v>45948</v>
      </c>
      <c r="C300" t="s">
        <v>70</v>
      </c>
      <c r="D300" t="s">
        <v>75</v>
      </c>
      <c r="E300" t="s">
        <v>113</v>
      </c>
      <c r="F300" t="s">
        <v>37</v>
      </c>
      <c r="G300" t="s">
        <v>24</v>
      </c>
      <c r="H300" t="s">
        <v>56</v>
      </c>
      <c r="I300" t="s">
        <v>656</v>
      </c>
      <c r="J300">
        <v>11</v>
      </c>
      <c r="K300" s="2">
        <v>2489.8000000000002</v>
      </c>
      <c r="L300">
        <v>20</v>
      </c>
      <c r="M300" s="2">
        <v>21910.240000000002</v>
      </c>
      <c r="N300" s="2">
        <v>16141.62</v>
      </c>
      <c r="O300" s="2">
        <v>5768.62</v>
      </c>
      <c r="P300" t="s">
        <v>27</v>
      </c>
      <c r="Q300" t="s">
        <v>61</v>
      </c>
      <c r="R300" t="str">
        <f>TEXT(Table1[[#This Row],[Order Date]],"mmmm")</f>
        <v>October</v>
      </c>
      <c r="S300">
        <f>YEAR(Table1[[#This Row],[Order Date]])</f>
        <v>2025</v>
      </c>
    </row>
    <row r="301" spans="1:19" x14ac:dyDescent="0.3">
      <c r="A301" t="s">
        <v>657</v>
      </c>
      <c r="B301" s="1">
        <v>45812</v>
      </c>
      <c r="C301" t="s">
        <v>70</v>
      </c>
      <c r="D301" t="s">
        <v>71</v>
      </c>
      <c r="E301" t="s">
        <v>44</v>
      </c>
      <c r="F301" t="s">
        <v>37</v>
      </c>
      <c r="G301" t="s">
        <v>45</v>
      </c>
      <c r="H301" t="s">
        <v>52</v>
      </c>
      <c r="I301" t="s">
        <v>658</v>
      </c>
      <c r="J301">
        <v>3</v>
      </c>
      <c r="K301" s="2">
        <v>1500.34</v>
      </c>
      <c r="L301">
        <v>15</v>
      </c>
      <c r="M301" s="2">
        <v>3825.87</v>
      </c>
      <c r="N301" s="2">
        <v>2694.22</v>
      </c>
      <c r="O301" s="2">
        <v>1131.6500000000001</v>
      </c>
      <c r="P301" t="s">
        <v>27</v>
      </c>
      <c r="Q301" t="s">
        <v>42</v>
      </c>
      <c r="R301" t="str">
        <f>TEXT(Table1[[#This Row],[Order Date]],"mmmm")</f>
        <v>June</v>
      </c>
      <c r="S301">
        <f>YEAR(Table1[[#This Row],[Order Date]])</f>
        <v>2025</v>
      </c>
    </row>
    <row r="302" spans="1:19" x14ac:dyDescent="0.3">
      <c r="A302" t="s">
        <v>659</v>
      </c>
      <c r="B302" s="1">
        <v>46009</v>
      </c>
      <c r="C302" t="s">
        <v>20</v>
      </c>
      <c r="D302" t="s">
        <v>55</v>
      </c>
      <c r="E302" t="s">
        <v>51</v>
      </c>
      <c r="F302" t="s">
        <v>31</v>
      </c>
      <c r="G302" t="s">
        <v>45</v>
      </c>
      <c r="H302" t="s">
        <v>159</v>
      </c>
      <c r="I302" t="s">
        <v>660</v>
      </c>
      <c r="J302">
        <v>8</v>
      </c>
      <c r="K302" s="2">
        <v>2709.67</v>
      </c>
      <c r="L302">
        <v>20</v>
      </c>
      <c r="M302" s="2">
        <v>17341.89</v>
      </c>
      <c r="N302" s="2">
        <v>9917.4599999999991</v>
      </c>
      <c r="O302" s="2">
        <v>7424.43</v>
      </c>
      <c r="P302" t="s">
        <v>27</v>
      </c>
      <c r="Q302" t="s">
        <v>28</v>
      </c>
      <c r="R302" t="str">
        <f>TEXT(Table1[[#This Row],[Order Date]],"mmmm")</f>
        <v>December</v>
      </c>
      <c r="S302">
        <f>YEAR(Table1[[#This Row],[Order Date]])</f>
        <v>2025</v>
      </c>
    </row>
    <row r="303" spans="1:19" x14ac:dyDescent="0.3">
      <c r="A303" t="s">
        <v>661</v>
      </c>
      <c r="B303" s="1">
        <v>46108</v>
      </c>
      <c r="C303" t="s">
        <v>86</v>
      </c>
      <c r="D303" t="s">
        <v>87</v>
      </c>
      <c r="E303" t="s">
        <v>66</v>
      </c>
      <c r="F303" t="s">
        <v>23</v>
      </c>
      <c r="G303" t="s">
        <v>38</v>
      </c>
      <c r="H303" t="s">
        <v>39</v>
      </c>
      <c r="I303" t="s">
        <v>662</v>
      </c>
      <c r="J303">
        <v>12</v>
      </c>
      <c r="K303" s="2">
        <v>2637.51</v>
      </c>
      <c r="L303">
        <v>10</v>
      </c>
      <c r="M303" s="2">
        <v>28485.11</v>
      </c>
      <c r="N303" s="2">
        <v>16751.68</v>
      </c>
      <c r="O303" s="2">
        <v>11733.43</v>
      </c>
      <c r="P303" t="s">
        <v>27</v>
      </c>
      <c r="Q303" t="s">
        <v>28</v>
      </c>
      <c r="R303" t="str">
        <f>TEXT(Table1[[#This Row],[Order Date]],"mmmm")</f>
        <v>March</v>
      </c>
      <c r="S303">
        <f>YEAR(Table1[[#This Row],[Order Date]])</f>
        <v>2026</v>
      </c>
    </row>
    <row r="304" spans="1:19" x14ac:dyDescent="0.3">
      <c r="A304" t="s">
        <v>663</v>
      </c>
      <c r="B304" s="1">
        <v>45965</v>
      </c>
      <c r="C304" t="s">
        <v>70</v>
      </c>
      <c r="D304" t="s">
        <v>71</v>
      </c>
      <c r="E304" t="s">
        <v>113</v>
      </c>
      <c r="F304" t="s">
        <v>23</v>
      </c>
      <c r="G304" t="s">
        <v>38</v>
      </c>
      <c r="H304" t="s">
        <v>72</v>
      </c>
      <c r="I304" t="s">
        <v>664</v>
      </c>
      <c r="J304">
        <v>10</v>
      </c>
      <c r="K304" s="2">
        <v>279.14</v>
      </c>
      <c r="L304">
        <v>20</v>
      </c>
      <c r="M304" s="2">
        <v>2233.12</v>
      </c>
      <c r="N304" s="2">
        <v>1782.7</v>
      </c>
      <c r="O304" s="2">
        <v>450.42</v>
      </c>
      <c r="P304" t="s">
        <v>48</v>
      </c>
      <c r="Q304" t="s">
        <v>42</v>
      </c>
      <c r="R304" t="str">
        <f>TEXT(Table1[[#This Row],[Order Date]],"mmmm")</f>
        <v>November</v>
      </c>
      <c r="S304">
        <f>YEAR(Table1[[#This Row],[Order Date]])</f>
        <v>2025</v>
      </c>
    </row>
    <row r="305" spans="1:19" x14ac:dyDescent="0.3">
      <c r="A305" t="s">
        <v>665</v>
      </c>
      <c r="B305" s="1">
        <v>46173</v>
      </c>
      <c r="C305" t="s">
        <v>35</v>
      </c>
      <c r="D305" t="s">
        <v>59</v>
      </c>
      <c r="E305" t="s">
        <v>113</v>
      </c>
      <c r="F305" t="s">
        <v>37</v>
      </c>
      <c r="G305" t="s">
        <v>24</v>
      </c>
      <c r="H305" t="s">
        <v>134</v>
      </c>
      <c r="I305" t="s">
        <v>666</v>
      </c>
      <c r="J305">
        <v>4</v>
      </c>
      <c r="K305" s="2">
        <v>1041.0899999999999</v>
      </c>
      <c r="L305">
        <v>15</v>
      </c>
      <c r="M305" s="2">
        <v>3539.71</v>
      </c>
      <c r="N305" s="2">
        <v>2563.71</v>
      </c>
      <c r="O305" s="2">
        <v>976</v>
      </c>
      <c r="P305" t="s">
        <v>41</v>
      </c>
      <c r="Q305" t="s">
        <v>28</v>
      </c>
      <c r="R305" t="str">
        <f>TEXT(Table1[[#This Row],[Order Date]],"mmmm")</f>
        <v>May</v>
      </c>
      <c r="S305">
        <f>YEAR(Table1[[#This Row],[Order Date]])</f>
        <v>2026</v>
      </c>
    </row>
    <row r="306" spans="1:19" x14ac:dyDescent="0.3">
      <c r="A306" t="s">
        <v>667</v>
      </c>
      <c r="B306" s="1">
        <v>46178</v>
      </c>
      <c r="C306" t="s">
        <v>20</v>
      </c>
      <c r="D306" t="s">
        <v>55</v>
      </c>
      <c r="E306" t="s">
        <v>44</v>
      </c>
      <c r="F306" t="s">
        <v>23</v>
      </c>
      <c r="G306" t="s">
        <v>24</v>
      </c>
      <c r="H306" t="s">
        <v>171</v>
      </c>
      <c r="I306" t="s">
        <v>668</v>
      </c>
      <c r="J306">
        <v>9</v>
      </c>
      <c r="K306" s="2">
        <v>1372.24</v>
      </c>
      <c r="L306">
        <v>0</v>
      </c>
      <c r="M306" s="2">
        <v>12350.16</v>
      </c>
      <c r="N306" s="2">
        <v>9918.41</v>
      </c>
      <c r="O306" s="2">
        <v>2431.75</v>
      </c>
      <c r="P306" t="s">
        <v>48</v>
      </c>
      <c r="Q306" t="s">
        <v>42</v>
      </c>
      <c r="R306" t="str">
        <f>TEXT(Table1[[#This Row],[Order Date]],"mmmm")</f>
        <v>June</v>
      </c>
      <c r="S306">
        <f>YEAR(Table1[[#This Row],[Order Date]])</f>
        <v>2026</v>
      </c>
    </row>
    <row r="307" spans="1:19" x14ac:dyDescent="0.3">
      <c r="A307" t="s">
        <v>669</v>
      </c>
      <c r="B307" s="1">
        <v>45932</v>
      </c>
      <c r="C307" t="s">
        <v>86</v>
      </c>
      <c r="D307" t="s">
        <v>90</v>
      </c>
      <c r="E307" t="s">
        <v>120</v>
      </c>
      <c r="F307" t="s">
        <v>37</v>
      </c>
      <c r="G307" t="s">
        <v>45</v>
      </c>
      <c r="H307" t="s">
        <v>67</v>
      </c>
      <c r="I307" t="s">
        <v>670</v>
      </c>
      <c r="J307">
        <v>6</v>
      </c>
      <c r="K307" s="2">
        <v>2199.9299999999998</v>
      </c>
      <c r="L307">
        <v>10</v>
      </c>
      <c r="M307" s="2">
        <v>11879.62</v>
      </c>
      <c r="N307" s="2">
        <v>9018.18</v>
      </c>
      <c r="O307" s="2">
        <v>2861.44</v>
      </c>
      <c r="P307" t="s">
        <v>48</v>
      </c>
      <c r="Q307" t="s">
        <v>49</v>
      </c>
      <c r="R307" t="str">
        <f>TEXT(Table1[[#This Row],[Order Date]],"mmmm")</f>
        <v>October</v>
      </c>
      <c r="S307">
        <f>YEAR(Table1[[#This Row],[Order Date]])</f>
        <v>2025</v>
      </c>
    </row>
    <row r="308" spans="1:19" x14ac:dyDescent="0.3">
      <c r="A308" t="s">
        <v>671</v>
      </c>
      <c r="B308" s="1">
        <v>45972</v>
      </c>
      <c r="C308" t="s">
        <v>86</v>
      </c>
      <c r="D308" t="s">
        <v>87</v>
      </c>
      <c r="E308" t="s">
        <v>66</v>
      </c>
      <c r="F308" t="s">
        <v>31</v>
      </c>
      <c r="G308" t="s">
        <v>24</v>
      </c>
      <c r="H308" t="s">
        <v>56</v>
      </c>
      <c r="I308" t="s">
        <v>672</v>
      </c>
      <c r="J308">
        <v>10</v>
      </c>
      <c r="K308" s="2">
        <v>4422.6499999999996</v>
      </c>
      <c r="L308">
        <v>5</v>
      </c>
      <c r="M308" s="2">
        <v>42015.17</v>
      </c>
      <c r="N308" s="2">
        <v>33074.94</v>
      </c>
      <c r="O308" s="2">
        <v>8940.23</v>
      </c>
      <c r="P308" t="s">
        <v>41</v>
      </c>
      <c r="Q308" t="s">
        <v>61</v>
      </c>
      <c r="R308" t="str">
        <f>TEXT(Table1[[#This Row],[Order Date]],"mmmm")</f>
        <v>November</v>
      </c>
      <c r="S308">
        <f>YEAR(Table1[[#This Row],[Order Date]])</f>
        <v>2025</v>
      </c>
    </row>
    <row r="309" spans="1:19" x14ac:dyDescent="0.3">
      <c r="A309" t="s">
        <v>673</v>
      </c>
      <c r="B309" s="1">
        <v>45901</v>
      </c>
      <c r="C309" t="s">
        <v>35</v>
      </c>
      <c r="D309" t="s">
        <v>59</v>
      </c>
      <c r="E309" t="s">
        <v>30</v>
      </c>
      <c r="F309" t="s">
        <v>37</v>
      </c>
      <c r="G309" t="s">
        <v>38</v>
      </c>
      <c r="H309" t="s">
        <v>63</v>
      </c>
      <c r="I309" t="s">
        <v>674</v>
      </c>
      <c r="J309">
        <v>13</v>
      </c>
      <c r="K309" s="2">
        <v>4845.3900000000003</v>
      </c>
      <c r="L309">
        <v>0</v>
      </c>
      <c r="M309" s="2">
        <v>62990.07</v>
      </c>
      <c r="N309" s="2">
        <v>49793.14</v>
      </c>
      <c r="O309" s="2">
        <v>13196.93</v>
      </c>
      <c r="P309" t="s">
        <v>27</v>
      </c>
      <c r="Q309" t="s">
        <v>49</v>
      </c>
      <c r="R309" t="str">
        <f>TEXT(Table1[[#This Row],[Order Date]],"mmmm")</f>
        <v>September</v>
      </c>
      <c r="S309">
        <f>YEAR(Table1[[#This Row],[Order Date]])</f>
        <v>2025</v>
      </c>
    </row>
    <row r="310" spans="1:19" x14ac:dyDescent="0.3">
      <c r="A310" t="s">
        <v>675</v>
      </c>
      <c r="B310" s="1">
        <v>45945</v>
      </c>
      <c r="C310" t="s">
        <v>35</v>
      </c>
      <c r="D310" t="s">
        <v>36</v>
      </c>
      <c r="E310" t="s">
        <v>66</v>
      </c>
      <c r="F310" t="s">
        <v>31</v>
      </c>
      <c r="G310" t="s">
        <v>45</v>
      </c>
      <c r="H310" t="s">
        <v>67</v>
      </c>
      <c r="I310" t="s">
        <v>676</v>
      </c>
      <c r="J310">
        <v>14</v>
      </c>
      <c r="K310" s="2">
        <v>2812.72</v>
      </c>
      <c r="L310">
        <v>0</v>
      </c>
      <c r="M310" s="2">
        <v>39378.080000000002</v>
      </c>
      <c r="N310" s="2">
        <v>24265.18</v>
      </c>
      <c r="O310" s="2">
        <v>15112.9</v>
      </c>
      <c r="P310" t="s">
        <v>48</v>
      </c>
      <c r="Q310" t="s">
        <v>42</v>
      </c>
      <c r="R310" t="str">
        <f>TEXT(Table1[[#This Row],[Order Date]],"mmmm")</f>
        <v>October</v>
      </c>
      <c r="S310">
        <f>YEAR(Table1[[#This Row],[Order Date]])</f>
        <v>2025</v>
      </c>
    </row>
    <row r="311" spans="1:19" x14ac:dyDescent="0.3">
      <c r="A311" t="s">
        <v>677</v>
      </c>
      <c r="B311" s="1">
        <v>45830</v>
      </c>
      <c r="C311" t="s">
        <v>86</v>
      </c>
      <c r="D311" t="s">
        <v>90</v>
      </c>
      <c r="E311" t="s">
        <v>170</v>
      </c>
      <c r="F311" t="s">
        <v>23</v>
      </c>
      <c r="G311" t="s">
        <v>24</v>
      </c>
      <c r="H311" t="s">
        <v>25</v>
      </c>
      <c r="I311" t="s">
        <v>678</v>
      </c>
      <c r="J311">
        <v>7</v>
      </c>
      <c r="K311" s="2">
        <v>4555.4399999999996</v>
      </c>
      <c r="L311">
        <v>0</v>
      </c>
      <c r="M311" s="2">
        <v>31888.080000000002</v>
      </c>
      <c r="N311" s="2">
        <v>19811.8</v>
      </c>
      <c r="O311" s="2">
        <v>12076.28</v>
      </c>
      <c r="P311" t="s">
        <v>48</v>
      </c>
      <c r="Q311" t="s">
        <v>28</v>
      </c>
      <c r="R311" t="str">
        <f>TEXT(Table1[[#This Row],[Order Date]],"mmmm")</f>
        <v>June</v>
      </c>
      <c r="S311">
        <f>YEAR(Table1[[#This Row],[Order Date]])</f>
        <v>2025</v>
      </c>
    </row>
    <row r="312" spans="1:19" x14ac:dyDescent="0.3">
      <c r="A312" t="s">
        <v>679</v>
      </c>
      <c r="B312" s="1">
        <v>45685</v>
      </c>
      <c r="C312" t="s">
        <v>70</v>
      </c>
      <c r="D312" t="s">
        <v>75</v>
      </c>
      <c r="E312" t="s">
        <v>66</v>
      </c>
      <c r="F312" t="s">
        <v>31</v>
      </c>
      <c r="G312" t="s">
        <v>24</v>
      </c>
      <c r="H312" t="s">
        <v>32</v>
      </c>
      <c r="I312" t="s">
        <v>680</v>
      </c>
      <c r="J312">
        <v>13</v>
      </c>
      <c r="K312" s="2">
        <v>509.69</v>
      </c>
      <c r="L312">
        <v>15</v>
      </c>
      <c r="M312" s="2">
        <v>5632.07</v>
      </c>
      <c r="N312" s="2">
        <v>4485.1899999999996</v>
      </c>
      <c r="O312" s="2">
        <v>1146.8800000000001</v>
      </c>
      <c r="P312" t="s">
        <v>41</v>
      </c>
      <c r="Q312" t="s">
        <v>42</v>
      </c>
      <c r="R312" t="str">
        <f>TEXT(Table1[[#This Row],[Order Date]],"mmmm")</f>
        <v>January</v>
      </c>
      <c r="S312">
        <f>YEAR(Table1[[#This Row],[Order Date]])</f>
        <v>2025</v>
      </c>
    </row>
    <row r="313" spans="1:19" x14ac:dyDescent="0.3">
      <c r="A313" t="s">
        <v>681</v>
      </c>
      <c r="B313" s="1">
        <v>45778</v>
      </c>
      <c r="C313" t="s">
        <v>86</v>
      </c>
      <c r="D313" t="s">
        <v>87</v>
      </c>
      <c r="E313" t="s">
        <v>22</v>
      </c>
      <c r="F313" t="s">
        <v>37</v>
      </c>
      <c r="G313" t="s">
        <v>24</v>
      </c>
      <c r="H313" t="s">
        <v>134</v>
      </c>
      <c r="I313" t="s">
        <v>682</v>
      </c>
      <c r="J313">
        <v>9</v>
      </c>
      <c r="K313" s="2">
        <v>2361.2600000000002</v>
      </c>
      <c r="L313">
        <v>0</v>
      </c>
      <c r="M313" s="2">
        <v>21251.34</v>
      </c>
      <c r="N313" s="2">
        <v>15691.52</v>
      </c>
      <c r="O313" s="2">
        <v>5559.82</v>
      </c>
      <c r="P313" t="s">
        <v>48</v>
      </c>
      <c r="Q313" t="s">
        <v>49</v>
      </c>
      <c r="R313" t="str">
        <f>TEXT(Table1[[#This Row],[Order Date]],"mmmm")</f>
        <v>May</v>
      </c>
      <c r="S313">
        <f>YEAR(Table1[[#This Row],[Order Date]])</f>
        <v>2025</v>
      </c>
    </row>
    <row r="314" spans="1:19" x14ac:dyDescent="0.3">
      <c r="A314" t="s">
        <v>683</v>
      </c>
      <c r="B314" s="1">
        <v>45753</v>
      </c>
      <c r="C314" t="s">
        <v>70</v>
      </c>
      <c r="D314" t="s">
        <v>71</v>
      </c>
      <c r="E314" t="s">
        <v>170</v>
      </c>
      <c r="F314" t="s">
        <v>31</v>
      </c>
      <c r="G314" t="s">
        <v>38</v>
      </c>
      <c r="H314" t="s">
        <v>39</v>
      </c>
      <c r="I314" t="s">
        <v>684</v>
      </c>
      <c r="J314">
        <v>1</v>
      </c>
      <c r="K314" s="2">
        <v>3769.8</v>
      </c>
      <c r="L314">
        <v>10</v>
      </c>
      <c r="M314" s="2">
        <v>3392.82</v>
      </c>
      <c r="N314" s="2">
        <v>2626.69</v>
      </c>
      <c r="O314" s="2">
        <v>766.13</v>
      </c>
      <c r="P314" t="s">
        <v>27</v>
      </c>
      <c r="Q314" t="s">
        <v>49</v>
      </c>
      <c r="R314" t="str">
        <f>TEXT(Table1[[#This Row],[Order Date]],"mmmm")</f>
        <v>April</v>
      </c>
      <c r="S314">
        <f>YEAR(Table1[[#This Row],[Order Date]])</f>
        <v>2025</v>
      </c>
    </row>
    <row r="315" spans="1:19" x14ac:dyDescent="0.3">
      <c r="A315" t="s">
        <v>685</v>
      </c>
      <c r="B315" s="1">
        <v>45708</v>
      </c>
      <c r="C315" t="s">
        <v>70</v>
      </c>
      <c r="D315" t="s">
        <v>75</v>
      </c>
      <c r="E315" t="s">
        <v>113</v>
      </c>
      <c r="F315" t="s">
        <v>31</v>
      </c>
      <c r="G315" t="s">
        <v>24</v>
      </c>
      <c r="H315" t="s">
        <v>171</v>
      </c>
      <c r="I315" t="s">
        <v>686</v>
      </c>
      <c r="J315">
        <v>4</v>
      </c>
      <c r="K315" s="2">
        <v>1256.76</v>
      </c>
      <c r="L315">
        <v>0</v>
      </c>
      <c r="M315" s="2">
        <v>5027.04</v>
      </c>
      <c r="N315" s="2">
        <v>3027.3</v>
      </c>
      <c r="O315" s="2">
        <v>1999.74</v>
      </c>
      <c r="P315" t="s">
        <v>48</v>
      </c>
      <c r="Q315" t="s">
        <v>28</v>
      </c>
      <c r="R315" t="str">
        <f>TEXT(Table1[[#This Row],[Order Date]],"mmmm")</f>
        <v>February</v>
      </c>
      <c r="S315">
        <f>YEAR(Table1[[#This Row],[Order Date]])</f>
        <v>2025</v>
      </c>
    </row>
    <row r="316" spans="1:19" x14ac:dyDescent="0.3">
      <c r="A316" t="s">
        <v>687</v>
      </c>
      <c r="B316" s="1">
        <v>45939</v>
      </c>
      <c r="C316" t="s">
        <v>20</v>
      </c>
      <c r="D316" t="s">
        <v>55</v>
      </c>
      <c r="E316" t="s">
        <v>170</v>
      </c>
      <c r="F316" t="s">
        <v>31</v>
      </c>
      <c r="G316" t="s">
        <v>24</v>
      </c>
      <c r="H316" t="s">
        <v>134</v>
      </c>
      <c r="I316" t="s">
        <v>688</v>
      </c>
      <c r="J316">
        <v>5</v>
      </c>
      <c r="K316" s="2">
        <v>2182.9899999999998</v>
      </c>
      <c r="L316">
        <v>0</v>
      </c>
      <c r="M316" s="2">
        <v>10914.95</v>
      </c>
      <c r="N316" s="2">
        <v>8297.2000000000007</v>
      </c>
      <c r="O316" s="2">
        <v>2617.75</v>
      </c>
      <c r="P316" t="s">
        <v>41</v>
      </c>
      <c r="Q316" t="s">
        <v>49</v>
      </c>
      <c r="R316" t="str">
        <f>TEXT(Table1[[#This Row],[Order Date]],"mmmm")</f>
        <v>October</v>
      </c>
      <c r="S316">
        <f>YEAR(Table1[[#This Row],[Order Date]])</f>
        <v>2025</v>
      </c>
    </row>
    <row r="317" spans="1:19" x14ac:dyDescent="0.3">
      <c r="A317" t="s">
        <v>689</v>
      </c>
      <c r="B317" s="1">
        <v>45846</v>
      </c>
      <c r="C317" t="s">
        <v>86</v>
      </c>
      <c r="D317" t="s">
        <v>90</v>
      </c>
      <c r="E317" t="s">
        <v>66</v>
      </c>
      <c r="F317" t="s">
        <v>31</v>
      </c>
      <c r="G317" t="s">
        <v>24</v>
      </c>
      <c r="H317" t="s">
        <v>134</v>
      </c>
      <c r="I317" t="s">
        <v>690</v>
      </c>
      <c r="J317">
        <v>11</v>
      </c>
      <c r="K317" s="2">
        <v>2256.34</v>
      </c>
      <c r="L317">
        <v>0</v>
      </c>
      <c r="M317" s="2">
        <v>24819.74</v>
      </c>
      <c r="N317" s="2">
        <v>17937.02</v>
      </c>
      <c r="O317" s="2">
        <v>6882.72</v>
      </c>
      <c r="P317" t="s">
        <v>27</v>
      </c>
      <c r="Q317" t="s">
        <v>42</v>
      </c>
      <c r="R317" t="str">
        <f>TEXT(Table1[[#This Row],[Order Date]],"mmmm")</f>
        <v>July</v>
      </c>
      <c r="S317">
        <f>YEAR(Table1[[#This Row],[Order Date]])</f>
        <v>2025</v>
      </c>
    </row>
    <row r="318" spans="1:19" x14ac:dyDescent="0.3">
      <c r="A318" t="s">
        <v>691</v>
      </c>
      <c r="B318" s="1">
        <v>45698</v>
      </c>
      <c r="C318" t="s">
        <v>20</v>
      </c>
      <c r="D318" t="s">
        <v>55</v>
      </c>
      <c r="E318" t="s">
        <v>22</v>
      </c>
      <c r="F318" t="s">
        <v>31</v>
      </c>
      <c r="G318" t="s">
        <v>38</v>
      </c>
      <c r="H318" t="s">
        <v>91</v>
      </c>
      <c r="I318" t="s">
        <v>692</v>
      </c>
      <c r="J318">
        <v>11</v>
      </c>
      <c r="K318" s="2">
        <v>2346.25</v>
      </c>
      <c r="L318">
        <v>5</v>
      </c>
      <c r="M318" s="2">
        <v>24518.31</v>
      </c>
      <c r="N318" s="2">
        <v>18423.62</v>
      </c>
      <c r="O318" s="2">
        <v>6094.69</v>
      </c>
      <c r="P318" t="s">
        <v>41</v>
      </c>
      <c r="Q318" t="s">
        <v>42</v>
      </c>
      <c r="R318" t="str">
        <f>TEXT(Table1[[#This Row],[Order Date]],"mmmm")</f>
        <v>February</v>
      </c>
      <c r="S318">
        <f>YEAR(Table1[[#This Row],[Order Date]])</f>
        <v>2025</v>
      </c>
    </row>
    <row r="319" spans="1:19" x14ac:dyDescent="0.3">
      <c r="A319" t="s">
        <v>693</v>
      </c>
      <c r="B319" s="1">
        <v>46133</v>
      </c>
      <c r="C319" t="s">
        <v>86</v>
      </c>
      <c r="D319" t="s">
        <v>87</v>
      </c>
      <c r="E319" t="s">
        <v>170</v>
      </c>
      <c r="F319" t="s">
        <v>23</v>
      </c>
      <c r="G319" t="s">
        <v>24</v>
      </c>
      <c r="H319" t="s">
        <v>171</v>
      </c>
      <c r="I319" t="s">
        <v>694</v>
      </c>
      <c r="J319">
        <v>12</v>
      </c>
      <c r="K319" s="2">
        <v>4804.6099999999997</v>
      </c>
      <c r="L319">
        <v>0</v>
      </c>
      <c r="M319" s="2">
        <v>57655.32</v>
      </c>
      <c r="N319" s="2">
        <v>32216.57</v>
      </c>
      <c r="O319" s="2">
        <v>25438.75</v>
      </c>
      <c r="P319" t="s">
        <v>27</v>
      </c>
      <c r="Q319" t="s">
        <v>61</v>
      </c>
      <c r="R319" t="str">
        <f>TEXT(Table1[[#This Row],[Order Date]],"mmmm")</f>
        <v>April</v>
      </c>
      <c r="S319">
        <f>YEAR(Table1[[#This Row],[Order Date]])</f>
        <v>2026</v>
      </c>
    </row>
    <row r="320" spans="1:19" x14ac:dyDescent="0.3">
      <c r="A320" t="s">
        <v>695</v>
      </c>
      <c r="B320" s="1">
        <v>45818</v>
      </c>
      <c r="C320" t="s">
        <v>70</v>
      </c>
      <c r="D320" t="s">
        <v>71</v>
      </c>
      <c r="E320" t="s">
        <v>120</v>
      </c>
      <c r="F320" t="s">
        <v>37</v>
      </c>
      <c r="G320" t="s">
        <v>38</v>
      </c>
      <c r="H320" t="s">
        <v>106</v>
      </c>
      <c r="I320" t="s">
        <v>696</v>
      </c>
      <c r="J320">
        <v>4</v>
      </c>
      <c r="K320" s="2">
        <v>3210.27</v>
      </c>
      <c r="L320">
        <v>5</v>
      </c>
      <c r="M320" s="2">
        <v>12199.03</v>
      </c>
      <c r="N320" s="2">
        <v>6951.94</v>
      </c>
      <c r="O320" s="2">
        <v>5247.09</v>
      </c>
      <c r="P320" t="s">
        <v>41</v>
      </c>
      <c r="Q320" t="s">
        <v>49</v>
      </c>
      <c r="R320" t="str">
        <f>TEXT(Table1[[#This Row],[Order Date]],"mmmm")</f>
        <v>June</v>
      </c>
      <c r="S320">
        <f>YEAR(Table1[[#This Row],[Order Date]])</f>
        <v>2025</v>
      </c>
    </row>
    <row r="321" spans="1:19" x14ac:dyDescent="0.3">
      <c r="A321" t="s">
        <v>697</v>
      </c>
      <c r="B321" s="1">
        <v>45944</v>
      </c>
      <c r="C321" t="s">
        <v>70</v>
      </c>
      <c r="D321" t="s">
        <v>75</v>
      </c>
      <c r="E321" t="s">
        <v>30</v>
      </c>
      <c r="F321" t="s">
        <v>23</v>
      </c>
      <c r="G321" t="s">
        <v>38</v>
      </c>
      <c r="H321" t="s">
        <v>72</v>
      </c>
      <c r="I321" t="s">
        <v>698</v>
      </c>
      <c r="J321">
        <v>11</v>
      </c>
      <c r="K321" s="2">
        <v>1880.55</v>
      </c>
      <c r="L321">
        <v>10</v>
      </c>
      <c r="M321" s="2">
        <v>18617.439999999999</v>
      </c>
      <c r="N321" s="2">
        <v>10670.32</v>
      </c>
      <c r="O321" s="2">
        <v>7947.12</v>
      </c>
      <c r="P321" t="s">
        <v>48</v>
      </c>
      <c r="Q321" t="s">
        <v>49</v>
      </c>
      <c r="R321" t="str">
        <f>TEXT(Table1[[#This Row],[Order Date]],"mmmm")</f>
        <v>October</v>
      </c>
      <c r="S321">
        <f>YEAR(Table1[[#This Row],[Order Date]])</f>
        <v>2025</v>
      </c>
    </row>
    <row r="322" spans="1:19" x14ac:dyDescent="0.3">
      <c r="A322" t="s">
        <v>699</v>
      </c>
      <c r="B322" s="1">
        <v>45861</v>
      </c>
      <c r="C322" t="s">
        <v>35</v>
      </c>
      <c r="D322" t="s">
        <v>36</v>
      </c>
      <c r="E322" t="s">
        <v>22</v>
      </c>
      <c r="F322" t="s">
        <v>23</v>
      </c>
      <c r="G322" t="s">
        <v>24</v>
      </c>
      <c r="H322" t="s">
        <v>56</v>
      </c>
      <c r="I322" t="s">
        <v>700</v>
      </c>
      <c r="J322">
        <v>8</v>
      </c>
      <c r="K322" s="2">
        <v>1955.59</v>
      </c>
      <c r="L322">
        <v>10</v>
      </c>
      <c r="M322" s="2">
        <v>14080.25</v>
      </c>
      <c r="N322" s="2">
        <v>8849.07</v>
      </c>
      <c r="O322" s="2">
        <v>5231.18</v>
      </c>
      <c r="P322" t="s">
        <v>27</v>
      </c>
      <c r="Q322" t="s">
        <v>49</v>
      </c>
      <c r="R322" t="str">
        <f>TEXT(Table1[[#This Row],[Order Date]],"mmmm")</f>
        <v>July</v>
      </c>
      <c r="S322">
        <f>YEAR(Table1[[#This Row],[Order Date]])</f>
        <v>2025</v>
      </c>
    </row>
    <row r="323" spans="1:19" x14ac:dyDescent="0.3">
      <c r="A323" t="s">
        <v>701</v>
      </c>
      <c r="B323" s="1">
        <v>45790</v>
      </c>
      <c r="C323" t="s">
        <v>35</v>
      </c>
      <c r="D323" t="s">
        <v>36</v>
      </c>
      <c r="E323" t="s">
        <v>51</v>
      </c>
      <c r="F323" t="s">
        <v>37</v>
      </c>
      <c r="G323" t="s">
        <v>24</v>
      </c>
      <c r="H323" t="s">
        <v>134</v>
      </c>
      <c r="I323" t="s">
        <v>702</v>
      </c>
      <c r="J323">
        <v>6</v>
      </c>
      <c r="K323" s="2">
        <v>2200.34</v>
      </c>
      <c r="L323">
        <v>10</v>
      </c>
      <c r="M323" s="2">
        <v>11881.84</v>
      </c>
      <c r="N323" s="2">
        <v>8493.49</v>
      </c>
      <c r="O323" s="2">
        <v>3388.35</v>
      </c>
      <c r="P323" t="s">
        <v>48</v>
      </c>
      <c r="Q323" t="s">
        <v>42</v>
      </c>
      <c r="R323" t="str">
        <f>TEXT(Table1[[#This Row],[Order Date]],"mmmm")</f>
        <v>May</v>
      </c>
      <c r="S323">
        <f>YEAR(Table1[[#This Row],[Order Date]])</f>
        <v>2025</v>
      </c>
    </row>
    <row r="324" spans="1:19" x14ac:dyDescent="0.3">
      <c r="A324" t="s">
        <v>703</v>
      </c>
      <c r="B324" s="1">
        <v>46110</v>
      </c>
      <c r="C324" t="s">
        <v>86</v>
      </c>
      <c r="D324" t="s">
        <v>87</v>
      </c>
      <c r="E324" t="s">
        <v>113</v>
      </c>
      <c r="F324" t="s">
        <v>31</v>
      </c>
      <c r="G324" t="s">
        <v>24</v>
      </c>
      <c r="H324" t="s">
        <v>32</v>
      </c>
      <c r="I324" t="s">
        <v>704</v>
      </c>
      <c r="J324">
        <v>9</v>
      </c>
      <c r="K324" s="2">
        <v>506.91</v>
      </c>
      <c r="L324">
        <v>5</v>
      </c>
      <c r="M324" s="2">
        <v>4334.08</v>
      </c>
      <c r="N324" s="2">
        <v>2561.4699999999998</v>
      </c>
      <c r="O324" s="2">
        <v>1772.61</v>
      </c>
      <c r="P324" t="s">
        <v>41</v>
      </c>
      <c r="Q324" t="s">
        <v>61</v>
      </c>
      <c r="R324" t="str">
        <f>TEXT(Table1[[#This Row],[Order Date]],"mmmm")</f>
        <v>March</v>
      </c>
      <c r="S324">
        <f>YEAR(Table1[[#This Row],[Order Date]])</f>
        <v>2026</v>
      </c>
    </row>
    <row r="325" spans="1:19" x14ac:dyDescent="0.3">
      <c r="A325" t="s">
        <v>705</v>
      </c>
      <c r="B325" s="1">
        <v>45925</v>
      </c>
      <c r="C325" t="s">
        <v>86</v>
      </c>
      <c r="D325" t="s">
        <v>90</v>
      </c>
      <c r="E325" t="s">
        <v>170</v>
      </c>
      <c r="F325" t="s">
        <v>37</v>
      </c>
      <c r="G325" t="s">
        <v>45</v>
      </c>
      <c r="H325" t="s">
        <v>52</v>
      </c>
      <c r="I325" t="s">
        <v>706</v>
      </c>
      <c r="J325">
        <v>1</v>
      </c>
      <c r="K325" s="2">
        <v>3341.11</v>
      </c>
      <c r="L325">
        <v>10</v>
      </c>
      <c r="M325" s="2">
        <v>3007</v>
      </c>
      <c r="N325" s="2">
        <v>2026.94</v>
      </c>
      <c r="O325" s="2">
        <v>980.06</v>
      </c>
      <c r="P325" t="s">
        <v>48</v>
      </c>
      <c r="Q325" t="s">
        <v>28</v>
      </c>
      <c r="R325" t="str">
        <f>TEXT(Table1[[#This Row],[Order Date]],"mmmm")</f>
        <v>September</v>
      </c>
      <c r="S325">
        <f>YEAR(Table1[[#This Row],[Order Date]])</f>
        <v>2025</v>
      </c>
    </row>
    <row r="326" spans="1:19" x14ac:dyDescent="0.3">
      <c r="A326" t="s">
        <v>707</v>
      </c>
      <c r="B326" s="1">
        <v>46080</v>
      </c>
      <c r="C326" t="s">
        <v>20</v>
      </c>
      <c r="D326" t="s">
        <v>55</v>
      </c>
      <c r="E326" t="s">
        <v>44</v>
      </c>
      <c r="F326" t="s">
        <v>31</v>
      </c>
      <c r="G326" t="s">
        <v>38</v>
      </c>
      <c r="H326" t="s">
        <v>91</v>
      </c>
      <c r="I326" t="s">
        <v>708</v>
      </c>
      <c r="J326">
        <v>7</v>
      </c>
      <c r="K326" s="2">
        <v>2679.48</v>
      </c>
      <c r="L326">
        <v>0</v>
      </c>
      <c r="M326" s="2">
        <v>18756.36</v>
      </c>
      <c r="N326" s="2">
        <v>13619.2</v>
      </c>
      <c r="O326" s="2">
        <v>5137.16</v>
      </c>
      <c r="P326" t="s">
        <v>48</v>
      </c>
      <c r="Q326" t="s">
        <v>61</v>
      </c>
      <c r="R326" t="str">
        <f>TEXT(Table1[[#This Row],[Order Date]],"mmmm")</f>
        <v>February</v>
      </c>
      <c r="S326">
        <f>YEAR(Table1[[#This Row],[Order Date]])</f>
        <v>2026</v>
      </c>
    </row>
    <row r="327" spans="1:19" x14ac:dyDescent="0.3">
      <c r="A327" t="s">
        <v>709</v>
      </c>
      <c r="B327" s="1">
        <v>46036</v>
      </c>
      <c r="C327" t="s">
        <v>86</v>
      </c>
      <c r="D327" t="s">
        <v>87</v>
      </c>
      <c r="E327" t="s">
        <v>66</v>
      </c>
      <c r="F327" t="s">
        <v>31</v>
      </c>
      <c r="G327" t="s">
        <v>24</v>
      </c>
      <c r="H327" t="s">
        <v>56</v>
      </c>
      <c r="I327" t="s">
        <v>710</v>
      </c>
      <c r="J327">
        <v>13</v>
      </c>
      <c r="K327" s="2">
        <v>518.65</v>
      </c>
      <c r="L327">
        <v>15</v>
      </c>
      <c r="M327" s="2">
        <v>5731.08</v>
      </c>
      <c r="N327" s="2">
        <v>3157.28</v>
      </c>
      <c r="O327" s="2">
        <v>2573.8000000000002</v>
      </c>
      <c r="P327" t="s">
        <v>27</v>
      </c>
      <c r="Q327" t="s">
        <v>42</v>
      </c>
      <c r="R327" t="str">
        <f>TEXT(Table1[[#This Row],[Order Date]],"mmmm")</f>
        <v>January</v>
      </c>
      <c r="S327">
        <f>YEAR(Table1[[#This Row],[Order Date]])</f>
        <v>2026</v>
      </c>
    </row>
    <row r="328" spans="1:19" x14ac:dyDescent="0.3">
      <c r="A328" t="s">
        <v>711</v>
      </c>
      <c r="B328" s="1">
        <v>45994</v>
      </c>
      <c r="C328" t="s">
        <v>86</v>
      </c>
      <c r="D328" t="s">
        <v>87</v>
      </c>
      <c r="E328" t="s">
        <v>66</v>
      </c>
      <c r="F328" t="s">
        <v>23</v>
      </c>
      <c r="G328" t="s">
        <v>45</v>
      </c>
      <c r="H328" t="s">
        <v>123</v>
      </c>
      <c r="I328" t="s">
        <v>712</v>
      </c>
      <c r="J328">
        <v>7</v>
      </c>
      <c r="K328" s="2">
        <v>3117.32</v>
      </c>
      <c r="L328">
        <v>10</v>
      </c>
      <c r="M328" s="2">
        <v>19639.12</v>
      </c>
      <c r="N328" s="2">
        <v>11905.04</v>
      </c>
      <c r="O328" s="2">
        <v>7734.08</v>
      </c>
      <c r="P328" t="s">
        <v>41</v>
      </c>
      <c r="Q328" t="s">
        <v>61</v>
      </c>
      <c r="R328" t="str">
        <f>TEXT(Table1[[#This Row],[Order Date]],"mmmm")</f>
        <v>December</v>
      </c>
      <c r="S328">
        <f>YEAR(Table1[[#This Row],[Order Date]])</f>
        <v>2025</v>
      </c>
    </row>
    <row r="329" spans="1:19" x14ac:dyDescent="0.3">
      <c r="A329" t="s">
        <v>713</v>
      </c>
      <c r="B329" s="1">
        <v>45921</v>
      </c>
      <c r="C329" t="s">
        <v>20</v>
      </c>
      <c r="D329" t="s">
        <v>55</v>
      </c>
      <c r="E329" t="s">
        <v>44</v>
      </c>
      <c r="F329" t="s">
        <v>37</v>
      </c>
      <c r="G329" t="s">
        <v>45</v>
      </c>
      <c r="H329" t="s">
        <v>159</v>
      </c>
      <c r="I329" t="s">
        <v>714</v>
      </c>
      <c r="J329">
        <v>13</v>
      </c>
      <c r="K329" s="2">
        <v>611.36</v>
      </c>
      <c r="L329">
        <v>0</v>
      </c>
      <c r="M329" s="2">
        <v>7947.68</v>
      </c>
      <c r="N329" s="2">
        <v>4626.54</v>
      </c>
      <c r="O329" s="2">
        <v>3321.14</v>
      </c>
      <c r="P329" t="s">
        <v>41</v>
      </c>
      <c r="Q329" t="s">
        <v>42</v>
      </c>
      <c r="R329" t="str">
        <f>TEXT(Table1[[#This Row],[Order Date]],"mmmm")</f>
        <v>September</v>
      </c>
      <c r="S329">
        <f>YEAR(Table1[[#This Row],[Order Date]])</f>
        <v>2025</v>
      </c>
    </row>
    <row r="330" spans="1:19" x14ac:dyDescent="0.3">
      <c r="A330" t="s">
        <v>715</v>
      </c>
      <c r="B330" s="1">
        <v>46051</v>
      </c>
      <c r="C330" t="s">
        <v>35</v>
      </c>
      <c r="D330" t="s">
        <v>59</v>
      </c>
      <c r="E330" t="s">
        <v>30</v>
      </c>
      <c r="F330" t="s">
        <v>31</v>
      </c>
      <c r="G330" t="s">
        <v>38</v>
      </c>
      <c r="H330" t="s">
        <v>72</v>
      </c>
      <c r="I330" t="s">
        <v>716</v>
      </c>
      <c r="J330">
        <v>14</v>
      </c>
      <c r="K330" s="2">
        <v>2272.67</v>
      </c>
      <c r="L330">
        <v>10</v>
      </c>
      <c r="M330" s="2">
        <v>28635.64</v>
      </c>
      <c r="N330" s="2">
        <v>21965.42</v>
      </c>
      <c r="O330" s="2">
        <v>6670.22</v>
      </c>
      <c r="P330" t="s">
        <v>48</v>
      </c>
      <c r="Q330" t="s">
        <v>49</v>
      </c>
      <c r="R330" t="str">
        <f>TEXT(Table1[[#This Row],[Order Date]],"mmmm")</f>
        <v>January</v>
      </c>
      <c r="S330">
        <f>YEAR(Table1[[#This Row],[Order Date]])</f>
        <v>2026</v>
      </c>
    </row>
    <row r="331" spans="1:19" x14ac:dyDescent="0.3">
      <c r="A331" t="s">
        <v>717</v>
      </c>
      <c r="B331" s="1">
        <v>46136</v>
      </c>
      <c r="C331" t="s">
        <v>86</v>
      </c>
      <c r="D331" t="s">
        <v>90</v>
      </c>
      <c r="E331" t="s">
        <v>113</v>
      </c>
      <c r="F331" t="s">
        <v>31</v>
      </c>
      <c r="G331" t="s">
        <v>24</v>
      </c>
      <c r="H331" t="s">
        <v>171</v>
      </c>
      <c r="I331" t="s">
        <v>718</v>
      </c>
      <c r="J331">
        <v>8</v>
      </c>
      <c r="K331" s="2">
        <v>4497.66</v>
      </c>
      <c r="L331">
        <v>0</v>
      </c>
      <c r="M331" s="2">
        <v>35981.279999999999</v>
      </c>
      <c r="N331" s="2">
        <v>23262.62</v>
      </c>
      <c r="O331" s="2">
        <v>12718.66</v>
      </c>
      <c r="P331" t="s">
        <v>41</v>
      </c>
      <c r="Q331" t="s">
        <v>49</v>
      </c>
      <c r="R331" t="str">
        <f>TEXT(Table1[[#This Row],[Order Date]],"mmmm")</f>
        <v>April</v>
      </c>
      <c r="S331">
        <f>YEAR(Table1[[#This Row],[Order Date]])</f>
        <v>2026</v>
      </c>
    </row>
    <row r="332" spans="1:19" x14ac:dyDescent="0.3">
      <c r="A332" t="s">
        <v>719</v>
      </c>
      <c r="B332" s="1">
        <v>45711</v>
      </c>
      <c r="C332" t="s">
        <v>86</v>
      </c>
      <c r="D332" t="s">
        <v>90</v>
      </c>
      <c r="E332" t="s">
        <v>30</v>
      </c>
      <c r="F332" t="s">
        <v>31</v>
      </c>
      <c r="G332" t="s">
        <v>24</v>
      </c>
      <c r="H332" t="s">
        <v>32</v>
      </c>
      <c r="I332" t="s">
        <v>720</v>
      </c>
      <c r="J332">
        <v>12</v>
      </c>
      <c r="K332" s="2">
        <v>612.05999999999995</v>
      </c>
      <c r="L332">
        <v>10</v>
      </c>
      <c r="M332" s="2">
        <v>6610.25</v>
      </c>
      <c r="N332" s="2">
        <v>4170.8</v>
      </c>
      <c r="O332" s="2">
        <v>2439.4499999999998</v>
      </c>
      <c r="P332" t="s">
        <v>41</v>
      </c>
      <c r="Q332" t="s">
        <v>49</v>
      </c>
      <c r="R332" t="str">
        <f>TEXT(Table1[[#This Row],[Order Date]],"mmmm")</f>
        <v>February</v>
      </c>
      <c r="S332">
        <f>YEAR(Table1[[#This Row],[Order Date]])</f>
        <v>2025</v>
      </c>
    </row>
    <row r="333" spans="1:19" x14ac:dyDescent="0.3">
      <c r="A333" t="s">
        <v>721</v>
      </c>
      <c r="B333" s="1">
        <v>46011</v>
      </c>
      <c r="C333" t="s">
        <v>86</v>
      </c>
      <c r="D333" t="s">
        <v>87</v>
      </c>
      <c r="E333" t="s">
        <v>51</v>
      </c>
      <c r="F333" t="s">
        <v>23</v>
      </c>
      <c r="G333" t="s">
        <v>38</v>
      </c>
      <c r="H333" t="s">
        <v>91</v>
      </c>
      <c r="I333" t="s">
        <v>722</v>
      </c>
      <c r="J333">
        <v>5</v>
      </c>
      <c r="K333" s="2">
        <v>2646.56</v>
      </c>
      <c r="L333">
        <v>15</v>
      </c>
      <c r="M333" s="2">
        <v>11247.88</v>
      </c>
      <c r="N333" s="2">
        <v>7607.39</v>
      </c>
      <c r="O333" s="2">
        <v>3640.49</v>
      </c>
      <c r="P333" t="s">
        <v>48</v>
      </c>
      <c r="Q333" t="s">
        <v>42</v>
      </c>
      <c r="R333" t="str">
        <f>TEXT(Table1[[#This Row],[Order Date]],"mmmm")</f>
        <v>December</v>
      </c>
      <c r="S333">
        <f>YEAR(Table1[[#This Row],[Order Date]])</f>
        <v>2025</v>
      </c>
    </row>
    <row r="334" spans="1:19" x14ac:dyDescent="0.3">
      <c r="A334" t="s">
        <v>723</v>
      </c>
      <c r="B334" s="1">
        <v>45963</v>
      </c>
      <c r="C334" t="s">
        <v>70</v>
      </c>
      <c r="D334" t="s">
        <v>71</v>
      </c>
      <c r="E334" t="s">
        <v>170</v>
      </c>
      <c r="F334" t="s">
        <v>31</v>
      </c>
      <c r="G334" t="s">
        <v>24</v>
      </c>
      <c r="H334" t="s">
        <v>25</v>
      </c>
      <c r="I334" t="s">
        <v>724</v>
      </c>
      <c r="J334">
        <v>1</v>
      </c>
      <c r="K334" s="2">
        <v>827.14</v>
      </c>
      <c r="L334">
        <v>15</v>
      </c>
      <c r="M334" s="2">
        <v>703.07</v>
      </c>
      <c r="N334" s="2">
        <v>479.41</v>
      </c>
      <c r="O334" s="2">
        <v>223.66</v>
      </c>
      <c r="P334" t="s">
        <v>27</v>
      </c>
      <c r="Q334" t="s">
        <v>49</v>
      </c>
      <c r="R334" t="str">
        <f>TEXT(Table1[[#This Row],[Order Date]],"mmmm")</f>
        <v>November</v>
      </c>
      <c r="S334">
        <f>YEAR(Table1[[#This Row],[Order Date]])</f>
        <v>2025</v>
      </c>
    </row>
    <row r="335" spans="1:19" x14ac:dyDescent="0.3">
      <c r="A335" t="s">
        <v>725</v>
      </c>
      <c r="B335" s="1">
        <v>45874</v>
      </c>
      <c r="C335" t="s">
        <v>35</v>
      </c>
      <c r="D335" t="s">
        <v>59</v>
      </c>
      <c r="E335" t="s">
        <v>120</v>
      </c>
      <c r="F335" t="s">
        <v>23</v>
      </c>
      <c r="G335" t="s">
        <v>38</v>
      </c>
      <c r="H335" t="s">
        <v>72</v>
      </c>
      <c r="I335" t="s">
        <v>726</v>
      </c>
      <c r="J335">
        <v>15</v>
      </c>
      <c r="K335" s="2">
        <v>4997.2700000000004</v>
      </c>
      <c r="L335">
        <v>10</v>
      </c>
      <c r="M335" s="2">
        <v>67463.149999999994</v>
      </c>
      <c r="N335" s="2">
        <v>51266.77</v>
      </c>
      <c r="O335" s="2">
        <v>16196.38</v>
      </c>
      <c r="P335" t="s">
        <v>48</v>
      </c>
      <c r="Q335" t="s">
        <v>28</v>
      </c>
      <c r="R335" t="str">
        <f>TEXT(Table1[[#This Row],[Order Date]],"mmmm")</f>
        <v>August</v>
      </c>
      <c r="S335">
        <f>YEAR(Table1[[#This Row],[Order Date]])</f>
        <v>2025</v>
      </c>
    </row>
    <row r="336" spans="1:19" x14ac:dyDescent="0.3">
      <c r="A336" t="s">
        <v>727</v>
      </c>
      <c r="B336" s="1">
        <v>46044</v>
      </c>
      <c r="C336" t="s">
        <v>86</v>
      </c>
      <c r="D336" t="s">
        <v>90</v>
      </c>
      <c r="E336" t="s">
        <v>170</v>
      </c>
      <c r="F336" t="s">
        <v>31</v>
      </c>
      <c r="G336" t="s">
        <v>24</v>
      </c>
      <c r="H336" t="s">
        <v>134</v>
      </c>
      <c r="I336" t="s">
        <v>728</v>
      </c>
      <c r="J336">
        <v>13</v>
      </c>
      <c r="K336" s="2">
        <v>4534.58</v>
      </c>
      <c r="L336">
        <v>20</v>
      </c>
      <c r="M336" s="2">
        <v>47159.63</v>
      </c>
      <c r="N336" s="2">
        <v>33910.910000000003</v>
      </c>
      <c r="O336" s="2">
        <v>13248.72</v>
      </c>
      <c r="P336" t="s">
        <v>41</v>
      </c>
      <c r="Q336" t="s">
        <v>61</v>
      </c>
      <c r="R336" t="str">
        <f>TEXT(Table1[[#This Row],[Order Date]],"mmmm")</f>
        <v>January</v>
      </c>
      <c r="S336">
        <f>YEAR(Table1[[#This Row],[Order Date]])</f>
        <v>2026</v>
      </c>
    </row>
    <row r="337" spans="1:19" x14ac:dyDescent="0.3">
      <c r="A337" t="s">
        <v>729</v>
      </c>
      <c r="B337" s="1">
        <v>45855</v>
      </c>
      <c r="C337" t="s">
        <v>35</v>
      </c>
      <c r="D337" t="s">
        <v>36</v>
      </c>
      <c r="E337" t="s">
        <v>113</v>
      </c>
      <c r="F337" t="s">
        <v>23</v>
      </c>
      <c r="G337" t="s">
        <v>38</v>
      </c>
      <c r="H337" t="s">
        <v>39</v>
      </c>
      <c r="I337" t="s">
        <v>730</v>
      </c>
      <c r="J337">
        <v>10</v>
      </c>
      <c r="K337" s="2">
        <v>2194.5</v>
      </c>
      <c r="L337">
        <v>0</v>
      </c>
      <c r="M337" s="2">
        <v>21945</v>
      </c>
      <c r="N337" s="2">
        <v>12777.58</v>
      </c>
      <c r="O337" s="2">
        <v>9167.42</v>
      </c>
      <c r="P337" t="s">
        <v>48</v>
      </c>
      <c r="Q337" t="s">
        <v>61</v>
      </c>
      <c r="R337" t="str">
        <f>TEXT(Table1[[#This Row],[Order Date]],"mmmm")</f>
        <v>July</v>
      </c>
      <c r="S337">
        <f>YEAR(Table1[[#This Row],[Order Date]])</f>
        <v>2025</v>
      </c>
    </row>
    <row r="338" spans="1:19" x14ac:dyDescent="0.3">
      <c r="A338" t="s">
        <v>731</v>
      </c>
      <c r="B338" s="1">
        <v>45851</v>
      </c>
      <c r="C338" t="s">
        <v>20</v>
      </c>
      <c r="D338" t="s">
        <v>55</v>
      </c>
      <c r="E338" t="s">
        <v>22</v>
      </c>
      <c r="F338" t="s">
        <v>37</v>
      </c>
      <c r="G338" t="s">
        <v>45</v>
      </c>
      <c r="H338" t="s">
        <v>52</v>
      </c>
      <c r="I338" t="s">
        <v>732</v>
      </c>
      <c r="J338">
        <v>7</v>
      </c>
      <c r="K338" s="2">
        <v>1219.53</v>
      </c>
      <c r="L338">
        <v>15</v>
      </c>
      <c r="M338" s="2">
        <v>7256.2</v>
      </c>
      <c r="N338" s="2">
        <v>5044.21</v>
      </c>
      <c r="O338" s="2">
        <v>2211.9899999999998</v>
      </c>
      <c r="P338" t="s">
        <v>41</v>
      </c>
      <c r="Q338" t="s">
        <v>28</v>
      </c>
      <c r="R338" t="str">
        <f>TEXT(Table1[[#This Row],[Order Date]],"mmmm")</f>
        <v>July</v>
      </c>
      <c r="S338">
        <f>YEAR(Table1[[#This Row],[Order Date]])</f>
        <v>2025</v>
      </c>
    </row>
    <row r="339" spans="1:19" x14ac:dyDescent="0.3">
      <c r="A339" t="s">
        <v>733</v>
      </c>
      <c r="B339" s="1">
        <v>45899</v>
      </c>
      <c r="C339" t="s">
        <v>20</v>
      </c>
      <c r="D339" t="s">
        <v>55</v>
      </c>
      <c r="E339" t="s">
        <v>113</v>
      </c>
      <c r="F339" t="s">
        <v>23</v>
      </c>
      <c r="G339" t="s">
        <v>45</v>
      </c>
      <c r="H339" t="s">
        <v>52</v>
      </c>
      <c r="I339" t="s">
        <v>734</v>
      </c>
      <c r="J339">
        <v>7</v>
      </c>
      <c r="K339" s="2">
        <v>1694.57</v>
      </c>
      <c r="L339">
        <v>20</v>
      </c>
      <c r="M339" s="2">
        <v>9489.59</v>
      </c>
      <c r="N339" s="2">
        <v>6953.81</v>
      </c>
      <c r="O339" s="2">
        <v>2535.7800000000002</v>
      </c>
      <c r="P339" t="s">
        <v>41</v>
      </c>
      <c r="Q339" t="s">
        <v>61</v>
      </c>
      <c r="R339" t="str">
        <f>TEXT(Table1[[#This Row],[Order Date]],"mmmm")</f>
        <v>August</v>
      </c>
      <c r="S339">
        <f>YEAR(Table1[[#This Row],[Order Date]])</f>
        <v>2025</v>
      </c>
    </row>
    <row r="340" spans="1:19" x14ac:dyDescent="0.3">
      <c r="A340" t="s">
        <v>735</v>
      </c>
      <c r="B340" s="1">
        <v>45698</v>
      </c>
      <c r="C340" t="s">
        <v>35</v>
      </c>
      <c r="D340" t="s">
        <v>36</v>
      </c>
      <c r="E340" t="s">
        <v>66</v>
      </c>
      <c r="F340" t="s">
        <v>23</v>
      </c>
      <c r="G340" t="s">
        <v>45</v>
      </c>
      <c r="H340" t="s">
        <v>123</v>
      </c>
      <c r="I340" t="s">
        <v>736</v>
      </c>
      <c r="J340">
        <v>1</v>
      </c>
      <c r="K340" s="2">
        <v>575.41999999999996</v>
      </c>
      <c r="L340">
        <v>5</v>
      </c>
      <c r="M340" s="2">
        <v>546.65</v>
      </c>
      <c r="N340" s="2">
        <v>387.81</v>
      </c>
      <c r="O340" s="2">
        <v>158.84</v>
      </c>
      <c r="P340" t="s">
        <v>41</v>
      </c>
      <c r="Q340" t="s">
        <v>28</v>
      </c>
      <c r="R340" t="str">
        <f>TEXT(Table1[[#This Row],[Order Date]],"mmmm")</f>
        <v>February</v>
      </c>
      <c r="S340">
        <f>YEAR(Table1[[#This Row],[Order Date]])</f>
        <v>2025</v>
      </c>
    </row>
    <row r="341" spans="1:19" x14ac:dyDescent="0.3">
      <c r="A341" t="s">
        <v>737</v>
      </c>
      <c r="B341" s="1">
        <v>46181</v>
      </c>
      <c r="C341" t="s">
        <v>86</v>
      </c>
      <c r="D341" t="s">
        <v>90</v>
      </c>
      <c r="E341" t="s">
        <v>22</v>
      </c>
      <c r="F341" t="s">
        <v>23</v>
      </c>
      <c r="G341" t="s">
        <v>45</v>
      </c>
      <c r="H341" t="s">
        <v>67</v>
      </c>
      <c r="I341" t="s">
        <v>738</v>
      </c>
      <c r="J341">
        <v>4</v>
      </c>
      <c r="K341" s="2">
        <v>4915.4799999999996</v>
      </c>
      <c r="L341">
        <v>15</v>
      </c>
      <c r="M341" s="2">
        <v>16712.63</v>
      </c>
      <c r="N341" s="2">
        <v>13561.38</v>
      </c>
      <c r="O341" s="2">
        <v>3151.25</v>
      </c>
      <c r="P341" t="s">
        <v>41</v>
      </c>
      <c r="Q341" t="s">
        <v>61</v>
      </c>
      <c r="R341" t="str">
        <f>TEXT(Table1[[#This Row],[Order Date]],"mmmm")</f>
        <v>June</v>
      </c>
      <c r="S341">
        <f>YEAR(Table1[[#This Row],[Order Date]])</f>
        <v>2026</v>
      </c>
    </row>
    <row r="342" spans="1:19" x14ac:dyDescent="0.3">
      <c r="A342" t="s">
        <v>739</v>
      </c>
      <c r="B342" s="1">
        <v>45778</v>
      </c>
      <c r="C342" t="s">
        <v>35</v>
      </c>
      <c r="D342" t="s">
        <v>36</v>
      </c>
      <c r="E342" t="s">
        <v>51</v>
      </c>
      <c r="F342" t="s">
        <v>37</v>
      </c>
      <c r="G342" t="s">
        <v>45</v>
      </c>
      <c r="H342" t="s">
        <v>123</v>
      </c>
      <c r="I342" t="s">
        <v>623</v>
      </c>
      <c r="J342">
        <v>14</v>
      </c>
      <c r="K342" s="2">
        <v>2559.54</v>
      </c>
      <c r="L342">
        <v>15</v>
      </c>
      <c r="M342" s="2">
        <v>30458.53</v>
      </c>
      <c r="N342" s="2">
        <v>20511.14</v>
      </c>
      <c r="O342" s="2">
        <v>9947.39</v>
      </c>
      <c r="P342" t="s">
        <v>48</v>
      </c>
      <c r="Q342" t="s">
        <v>61</v>
      </c>
      <c r="R342" t="str">
        <f>TEXT(Table1[[#This Row],[Order Date]],"mmmm")</f>
        <v>May</v>
      </c>
      <c r="S342">
        <f>YEAR(Table1[[#This Row],[Order Date]])</f>
        <v>2025</v>
      </c>
    </row>
    <row r="343" spans="1:19" x14ac:dyDescent="0.3">
      <c r="A343" t="s">
        <v>740</v>
      </c>
      <c r="B343" s="1">
        <v>46020</v>
      </c>
      <c r="C343" t="s">
        <v>20</v>
      </c>
      <c r="D343" t="s">
        <v>55</v>
      </c>
      <c r="E343" t="s">
        <v>30</v>
      </c>
      <c r="F343" t="s">
        <v>37</v>
      </c>
      <c r="G343" t="s">
        <v>38</v>
      </c>
      <c r="H343" t="s">
        <v>63</v>
      </c>
      <c r="I343" t="s">
        <v>741</v>
      </c>
      <c r="J343">
        <v>6</v>
      </c>
      <c r="K343" s="2">
        <v>407.97</v>
      </c>
      <c r="L343">
        <v>15</v>
      </c>
      <c r="M343" s="2">
        <v>2080.65</v>
      </c>
      <c r="N343" s="2">
        <v>1487.75</v>
      </c>
      <c r="O343" s="2">
        <v>592.9</v>
      </c>
      <c r="P343" t="s">
        <v>27</v>
      </c>
      <c r="Q343" t="s">
        <v>28</v>
      </c>
      <c r="R343" t="str">
        <f>TEXT(Table1[[#This Row],[Order Date]],"mmmm")</f>
        <v>December</v>
      </c>
      <c r="S343">
        <f>YEAR(Table1[[#This Row],[Order Date]])</f>
        <v>2025</v>
      </c>
    </row>
    <row r="344" spans="1:19" x14ac:dyDescent="0.3">
      <c r="A344" t="s">
        <v>742</v>
      </c>
      <c r="B344" s="1">
        <v>45814</v>
      </c>
      <c r="C344" t="s">
        <v>86</v>
      </c>
      <c r="D344" t="s">
        <v>90</v>
      </c>
      <c r="E344" t="s">
        <v>170</v>
      </c>
      <c r="F344" t="s">
        <v>37</v>
      </c>
      <c r="G344" t="s">
        <v>38</v>
      </c>
      <c r="H344" t="s">
        <v>72</v>
      </c>
      <c r="I344" t="s">
        <v>743</v>
      </c>
      <c r="J344">
        <v>2</v>
      </c>
      <c r="K344" s="2">
        <v>2319.0100000000002</v>
      </c>
      <c r="L344">
        <v>0</v>
      </c>
      <c r="M344" s="2">
        <v>4638.0200000000004</v>
      </c>
      <c r="N344" s="2">
        <v>2648.51</v>
      </c>
      <c r="O344" s="2">
        <v>1989.51</v>
      </c>
      <c r="P344" t="s">
        <v>41</v>
      </c>
      <c r="Q344" t="s">
        <v>42</v>
      </c>
      <c r="R344" t="str">
        <f>TEXT(Table1[[#This Row],[Order Date]],"mmmm")</f>
        <v>June</v>
      </c>
      <c r="S344">
        <f>YEAR(Table1[[#This Row],[Order Date]])</f>
        <v>2025</v>
      </c>
    </row>
    <row r="345" spans="1:19" x14ac:dyDescent="0.3">
      <c r="A345" t="s">
        <v>744</v>
      </c>
      <c r="B345" s="1">
        <v>46106</v>
      </c>
      <c r="C345" t="s">
        <v>35</v>
      </c>
      <c r="D345" t="s">
        <v>59</v>
      </c>
      <c r="E345" t="s">
        <v>113</v>
      </c>
      <c r="F345" t="s">
        <v>37</v>
      </c>
      <c r="G345" t="s">
        <v>45</v>
      </c>
      <c r="H345" t="s">
        <v>46</v>
      </c>
      <c r="I345" t="s">
        <v>745</v>
      </c>
      <c r="J345">
        <v>7</v>
      </c>
      <c r="K345" s="2">
        <v>569.70000000000005</v>
      </c>
      <c r="L345">
        <v>0</v>
      </c>
      <c r="M345" s="2">
        <v>3987.9</v>
      </c>
      <c r="N345" s="2">
        <v>3146.55</v>
      </c>
      <c r="O345" s="2">
        <v>841.35</v>
      </c>
      <c r="P345" t="s">
        <v>48</v>
      </c>
      <c r="Q345" t="s">
        <v>42</v>
      </c>
      <c r="R345" t="str">
        <f>TEXT(Table1[[#This Row],[Order Date]],"mmmm")</f>
        <v>March</v>
      </c>
      <c r="S345">
        <f>YEAR(Table1[[#This Row],[Order Date]])</f>
        <v>2026</v>
      </c>
    </row>
    <row r="346" spans="1:19" x14ac:dyDescent="0.3">
      <c r="A346" t="s">
        <v>746</v>
      </c>
      <c r="B346" s="1">
        <v>46132</v>
      </c>
      <c r="C346" t="s">
        <v>20</v>
      </c>
      <c r="D346" t="s">
        <v>55</v>
      </c>
      <c r="E346" t="s">
        <v>120</v>
      </c>
      <c r="F346" t="s">
        <v>23</v>
      </c>
      <c r="G346" t="s">
        <v>38</v>
      </c>
      <c r="H346" t="s">
        <v>106</v>
      </c>
      <c r="I346" t="s">
        <v>747</v>
      </c>
      <c r="J346">
        <v>5</v>
      </c>
      <c r="K346" s="2">
        <v>4426.95</v>
      </c>
      <c r="L346">
        <v>5</v>
      </c>
      <c r="M346" s="2">
        <v>21028.01</v>
      </c>
      <c r="N346" s="2">
        <v>11803.57</v>
      </c>
      <c r="O346" s="2">
        <v>9224.44</v>
      </c>
      <c r="P346" t="s">
        <v>48</v>
      </c>
      <c r="Q346" t="s">
        <v>28</v>
      </c>
      <c r="R346" t="str">
        <f>TEXT(Table1[[#This Row],[Order Date]],"mmmm")</f>
        <v>April</v>
      </c>
      <c r="S346">
        <f>YEAR(Table1[[#This Row],[Order Date]])</f>
        <v>2026</v>
      </c>
    </row>
    <row r="347" spans="1:19" x14ac:dyDescent="0.3">
      <c r="A347" t="s">
        <v>748</v>
      </c>
      <c r="B347" s="1">
        <v>45731</v>
      </c>
      <c r="C347" t="s">
        <v>70</v>
      </c>
      <c r="D347" t="s">
        <v>75</v>
      </c>
      <c r="E347" t="s">
        <v>51</v>
      </c>
      <c r="F347" t="s">
        <v>23</v>
      </c>
      <c r="G347" t="s">
        <v>24</v>
      </c>
      <c r="H347" t="s">
        <v>32</v>
      </c>
      <c r="I347" t="s">
        <v>749</v>
      </c>
      <c r="J347">
        <v>12</v>
      </c>
      <c r="K347" s="2">
        <v>1203.9000000000001</v>
      </c>
      <c r="L347">
        <v>20</v>
      </c>
      <c r="M347" s="2">
        <v>11557.44</v>
      </c>
      <c r="N347" s="2">
        <v>9219.68</v>
      </c>
      <c r="O347" s="2">
        <v>2337.7600000000002</v>
      </c>
      <c r="P347" t="s">
        <v>41</v>
      </c>
      <c r="Q347" t="s">
        <v>49</v>
      </c>
      <c r="R347" t="str">
        <f>TEXT(Table1[[#This Row],[Order Date]],"mmmm")</f>
        <v>March</v>
      </c>
      <c r="S347">
        <f>YEAR(Table1[[#This Row],[Order Date]])</f>
        <v>2025</v>
      </c>
    </row>
    <row r="348" spans="1:19" x14ac:dyDescent="0.3">
      <c r="A348" t="s">
        <v>750</v>
      </c>
      <c r="B348" s="1">
        <v>45772</v>
      </c>
      <c r="C348" t="s">
        <v>20</v>
      </c>
      <c r="D348" t="s">
        <v>21</v>
      </c>
      <c r="E348" t="s">
        <v>170</v>
      </c>
      <c r="F348" t="s">
        <v>37</v>
      </c>
      <c r="G348" t="s">
        <v>45</v>
      </c>
      <c r="H348" t="s">
        <v>123</v>
      </c>
      <c r="I348" t="s">
        <v>751</v>
      </c>
      <c r="J348">
        <v>14</v>
      </c>
      <c r="K348" s="2">
        <v>3765.9</v>
      </c>
      <c r="L348">
        <v>5</v>
      </c>
      <c r="M348" s="2">
        <v>50086.47</v>
      </c>
      <c r="N348" s="2">
        <v>28143.67</v>
      </c>
      <c r="O348" s="2">
        <v>21942.799999999999</v>
      </c>
      <c r="P348" t="s">
        <v>27</v>
      </c>
      <c r="Q348" t="s">
        <v>61</v>
      </c>
      <c r="R348" t="str">
        <f>TEXT(Table1[[#This Row],[Order Date]],"mmmm")</f>
        <v>April</v>
      </c>
      <c r="S348">
        <f>YEAR(Table1[[#This Row],[Order Date]])</f>
        <v>2025</v>
      </c>
    </row>
    <row r="349" spans="1:19" x14ac:dyDescent="0.3">
      <c r="A349" t="s">
        <v>752</v>
      </c>
      <c r="B349" s="1">
        <v>45882</v>
      </c>
      <c r="C349" t="s">
        <v>20</v>
      </c>
      <c r="D349" t="s">
        <v>55</v>
      </c>
      <c r="E349" t="s">
        <v>120</v>
      </c>
      <c r="F349" t="s">
        <v>31</v>
      </c>
      <c r="G349" t="s">
        <v>38</v>
      </c>
      <c r="H349" t="s">
        <v>91</v>
      </c>
      <c r="I349" t="s">
        <v>753</v>
      </c>
      <c r="J349">
        <v>14</v>
      </c>
      <c r="K349" s="2">
        <v>375.28</v>
      </c>
      <c r="L349">
        <v>5</v>
      </c>
      <c r="M349" s="2">
        <v>4991.22</v>
      </c>
      <c r="N349" s="2">
        <v>2833.7</v>
      </c>
      <c r="O349" s="2">
        <v>2157.52</v>
      </c>
      <c r="P349" t="s">
        <v>41</v>
      </c>
      <c r="Q349" t="s">
        <v>42</v>
      </c>
      <c r="R349" t="str">
        <f>TEXT(Table1[[#This Row],[Order Date]],"mmmm")</f>
        <v>August</v>
      </c>
      <c r="S349">
        <f>YEAR(Table1[[#This Row],[Order Date]])</f>
        <v>2025</v>
      </c>
    </row>
    <row r="350" spans="1:19" x14ac:dyDescent="0.3">
      <c r="A350" t="s">
        <v>754</v>
      </c>
      <c r="B350" s="1">
        <v>46033</v>
      </c>
      <c r="C350" t="s">
        <v>35</v>
      </c>
      <c r="D350" t="s">
        <v>36</v>
      </c>
      <c r="E350" t="s">
        <v>44</v>
      </c>
      <c r="F350" t="s">
        <v>37</v>
      </c>
      <c r="G350" t="s">
        <v>38</v>
      </c>
      <c r="H350" t="s">
        <v>91</v>
      </c>
      <c r="I350" t="s">
        <v>755</v>
      </c>
      <c r="J350">
        <v>14</v>
      </c>
      <c r="K350" s="2">
        <v>1785.81</v>
      </c>
      <c r="L350">
        <v>20</v>
      </c>
      <c r="M350" s="2">
        <v>20001.07</v>
      </c>
      <c r="N350" s="2">
        <v>15308.16</v>
      </c>
      <c r="O350" s="2">
        <v>4692.91</v>
      </c>
      <c r="P350" t="s">
        <v>48</v>
      </c>
      <c r="Q350" t="s">
        <v>42</v>
      </c>
      <c r="R350" t="str">
        <f>TEXT(Table1[[#This Row],[Order Date]],"mmmm")</f>
        <v>January</v>
      </c>
      <c r="S350">
        <f>YEAR(Table1[[#This Row],[Order Date]])</f>
        <v>2026</v>
      </c>
    </row>
    <row r="351" spans="1:19" x14ac:dyDescent="0.3">
      <c r="A351" t="s">
        <v>756</v>
      </c>
      <c r="B351" s="1">
        <v>45768</v>
      </c>
      <c r="C351" t="s">
        <v>86</v>
      </c>
      <c r="D351" t="s">
        <v>87</v>
      </c>
      <c r="E351" t="s">
        <v>22</v>
      </c>
      <c r="F351" t="s">
        <v>31</v>
      </c>
      <c r="G351" t="s">
        <v>45</v>
      </c>
      <c r="H351" t="s">
        <v>67</v>
      </c>
      <c r="I351" t="s">
        <v>757</v>
      </c>
      <c r="J351">
        <v>6</v>
      </c>
      <c r="K351" s="2">
        <v>3670.7</v>
      </c>
      <c r="L351">
        <v>0</v>
      </c>
      <c r="M351" s="2">
        <v>22024.2</v>
      </c>
      <c r="N351" s="2">
        <v>14810.3</v>
      </c>
      <c r="O351" s="2">
        <v>7213.9</v>
      </c>
      <c r="P351" t="s">
        <v>48</v>
      </c>
      <c r="Q351" t="s">
        <v>49</v>
      </c>
      <c r="R351" t="str">
        <f>TEXT(Table1[[#This Row],[Order Date]],"mmmm")</f>
        <v>April</v>
      </c>
      <c r="S351">
        <f>YEAR(Table1[[#This Row],[Order Date]])</f>
        <v>2025</v>
      </c>
    </row>
    <row r="352" spans="1:19" x14ac:dyDescent="0.3">
      <c r="A352" t="s">
        <v>758</v>
      </c>
      <c r="B352" s="1">
        <v>45995</v>
      </c>
      <c r="C352" t="s">
        <v>70</v>
      </c>
      <c r="D352" t="s">
        <v>75</v>
      </c>
      <c r="E352" t="s">
        <v>22</v>
      </c>
      <c r="F352" t="s">
        <v>31</v>
      </c>
      <c r="G352" t="s">
        <v>38</v>
      </c>
      <c r="H352" t="s">
        <v>91</v>
      </c>
      <c r="I352" t="s">
        <v>759</v>
      </c>
      <c r="J352">
        <v>12</v>
      </c>
      <c r="K352" s="2">
        <v>2300.5300000000002</v>
      </c>
      <c r="L352">
        <v>15</v>
      </c>
      <c r="M352" s="2">
        <v>23465.41</v>
      </c>
      <c r="N352" s="2">
        <v>19137.830000000002</v>
      </c>
      <c r="O352" s="2">
        <v>4327.58</v>
      </c>
      <c r="P352" t="s">
        <v>27</v>
      </c>
      <c r="Q352" t="s">
        <v>28</v>
      </c>
      <c r="R352" t="str">
        <f>TEXT(Table1[[#This Row],[Order Date]],"mmmm")</f>
        <v>December</v>
      </c>
      <c r="S352">
        <f>YEAR(Table1[[#This Row],[Order Date]])</f>
        <v>2025</v>
      </c>
    </row>
    <row r="353" spans="1:19" x14ac:dyDescent="0.3">
      <c r="A353" t="s">
        <v>760</v>
      </c>
      <c r="B353" s="1">
        <v>46184</v>
      </c>
      <c r="C353" t="s">
        <v>35</v>
      </c>
      <c r="D353" t="s">
        <v>59</v>
      </c>
      <c r="E353" t="s">
        <v>44</v>
      </c>
      <c r="F353" t="s">
        <v>37</v>
      </c>
      <c r="G353" t="s">
        <v>24</v>
      </c>
      <c r="H353" t="s">
        <v>171</v>
      </c>
      <c r="I353" t="s">
        <v>761</v>
      </c>
      <c r="J353">
        <v>5</v>
      </c>
      <c r="K353" s="2">
        <v>1285.94</v>
      </c>
      <c r="L353">
        <v>0</v>
      </c>
      <c r="M353" s="2">
        <v>6429.7</v>
      </c>
      <c r="N353" s="2">
        <v>5090.03</v>
      </c>
      <c r="O353" s="2">
        <v>1339.67</v>
      </c>
      <c r="P353" t="s">
        <v>48</v>
      </c>
      <c r="Q353" t="s">
        <v>28</v>
      </c>
      <c r="R353" t="str">
        <f>TEXT(Table1[[#This Row],[Order Date]],"mmmm")</f>
        <v>June</v>
      </c>
      <c r="S353">
        <f>YEAR(Table1[[#This Row],[Order Date]])</f>
        <v>2026</v>
      </c>
    </row>
    <row r="354" spans="1:19" x14ac:dyDescent="0.3">
      <c r="A354" t="s">
        <v>762</v>
      </c>
      <c r="B354" s="1">
        <v>45820</v>
      </c>
      <c r="C354" t="s">
        <v>35</v>
      </c>
      <c r="D354" t="s">
        <v>36</v>
      </c>
      <c r="E354" t="s">
        <v>113</v>
      </c>
      <c r="F354" t="s">
        <v>31</v>
      </c>
      <c r="G354" t="s">
        <v>45</v>
      </c>
      <c r="H354" t="s">
        <v>52</v>
      </c>
      <c r="I354" t="s">
        <v>763</v>
      </c>
      <c r="J354">
        <v>6</v>
      </c>
      <c r="K354" s="2">
        <v>4994.17</v>
      </c>
      <c r="L354">
        <v>20</v>
      </c>
      <c r="M354" s="2">
        <v>23972.02</v>
      </c>
      <c r="N354" s="2">
        <v>14285.82</v>
      </c>
      <c r="O354" s="2">
        <v>9686.2000000000007</v>
      </c>
      <c r="P354" t="s">
        <v>48</v>
      </c>
      <c r="Q354" t="s">
        <v>28</v>
      </c>
      <c r="R354" t="str">
        <f>TEXT(Table1[[#This Row],[Order Date]],"mmmm")</f>
        <v>June</v>
      </c>
      <c r="S354">
        <f>YEAR(Table1[[#This Row],[Order Date]])</f>
        <v>2025</v>
      </c>
    </row>
    <row r="355" spans="1:19" x14ac:dyDescent="0.3">
      <c r="A355" t="s">
        <v>764</v>
      </c>
      <c r="B355" s="1">
        <v>45825</v>
      </c>
      <c r="C355" t="s">
        <v>20</v>
      </c>
      <c r="D355" t="s">
        <v>21</v>
      </c>
      <c r="E355" t="s">
        <v>113</v>
      </c>
      <c r="F355" t="s">
        <v>31</v>
      </c>
      <c r="G355" t="s">
        <v>45</v>
      </c>
      <c r="H355" t="s">
        <v>67</v>
      </c>
      <c r="I355" t="s">
        <v>765</v>
      </c>
      <c r="J355">
        <v>8</v>
      </c>
      <c r="K355" s="2">
        <v>2759.74</v>
      </c>
      <c r="L355">
        <v>15</v>
      </c>
      <c r="M355" s="2">
        <v>18766.23</v>
      </c>
      <c r="N355" s="2">
        <v>12001.78</v>
      </c>
      <c r="O355" s="2">
        <v>6764.45</v>
      </c>
      <c r="P355" t="s">
        <v>48</v>
      </c>
      <c r="Q355" t="s">
        <v>28</v>
      </c>
      <c r="R355" t="str">
        <f>TEXT(Table1[[#This Row],[Order Date]],"mmmm")</f>
        <v>June</v>
      </c>
      <c r="S355">
        <f>YEAR(Table1[[#This Row],[Order Date]])</f>
        <v>2025</v>
      </c>
    </row>
    <row r="356" spans="1:19" x14ac:dyDescent="0.3">
      <c r="A356" t="s">
        <v>766</v>
      </c>
      <c r="B356" s="1">
        <v>46168</v>
      </c>
      <c r="C356" t="s">
        <v>70</v>
      </c>
      <c r="D356" t="s">
        <v>75</v>
      </c>
      <c r="E356" t="s">
        <v>66</v>
      </c>
      <c r="F356" t="s">
        <v>23</v>
      </c>
      <c r="G356" t="s">
        <v>45</v>
      </c>
      <c r="H356" t="s">
        <v>46</v>
      </c>
      <c r="I356" t="s">
        <v>577</v>
      </c>
      <c r="J356">
        <v>14</v>
      </c>
      <c r="K356" s="2">
        <v>1235.6199999999999</v>
      </c>
      <c r="L356">
        <v>15</v>
      </c>
      <c r="M356" s="2">
        <v>14703.88</v>
      </c>
      <c r="N356" s="2">
        <v>10295.07</v>
      </c>
      <c r="O356" s="2">
        <v>4408.8100000000004</v>
      </c>
      <c r="P356" t="s">
        <v>41</v>
      </c>
      <c r="Q356" t="s">
        <v>49</v>
      </c>
      <c r="R356" t="str">
        <f>TEXT(Table1[[#This Row],[Order Date]],"mmmm")</f>
        <v>May</v>
      </c>
      <c r="S356">
        <f>YEAR(Table1[[#This Row],[Order Date]])</f>
        <v>2026</v>
      </c>
    </row>
    <row r="357" spans="1:19" x14ac:dyDescent="0.3">
      <c r="A357" t="s">
        <v>767</v>
      </c>
      <c r="B357" s="1">
        <v>45803</v>
      </c>
      <c r="C357" t="s">
        <v>35</v>
      </c>
      <c r="D357" t="s">
        <v>36</v>
      </c>
      <c r="E357" t="s">
        <v>22</v>
      </c>
      <c r="F357" t="s">
        <v>31</v>
      </c>
      <c r="G357" t="s">
        <v>24</v>
      </c>
      <c r="H357" t="s">
        <v>134</v>
      </c>
      <c r="I357" t="s">
        <v>768</v>
      </c>
      <c r="J357">
        <v>2</v>
      </c>
      <c r="K357" s="2">
        <v>2239.69</v>
      </c>
      <c r="L357">
        <v>20</v>
      </c>
      <c r="M357" s="2">
        <v>3583.5</v>
      </c>
      <c r="N357" s="2">
        <v>2385.41</v>
      </c>
      <c r="O357" s="2">
        <v>1198.0899999999999</v>
      </c>
      <c r="P357" t="s">
        <v>41</v>
      </c>
      <c r="Q357" t="s">
        <v>49</v>
      </c>
      <c r="R357" t="str">
        <f>TEXT(Table1[[#This Row],[Order Date]],"mmmm")</f>
        <v>May</v>
      </c>
      <c r="S357">
        <f>YEAR(Table1[[#This Row],[Order Date]])</f>
        <v>2025</v>
      </c>
    </row>
    <row r="358" spans="1:19" x14ac:dyDescent="0.3">
      <c r="A358" t="s">
        <v>769</v>
      </c>
      <c r="B358" s="1">
        <v>46180</v>
      </c>
      <c r="C358" t="s">
        <v>86</v>
      </c>
      <c r="D358" t="s">
        <v>90</v>
      </c>
      <c r="E358" t="s">
        <v>66</v>
      </c>
      <c r="F358" t="s">
        <v>37</v>
      </c>
      <c r="G358" t="s">
        <v>24</v>
      </c>
      <c r="H358" t="s">
        <v>25</v>
      </c>
      <c r="I358" t="s">
        <v>770</v>
      </c>
      <c r="J358">
        <v>5</v>
      </c>
      <c r="K358" s="2">
        <v>3166.42</v>
      </c>
      <c r="L358">
        <v>5</v>
      </c>
      <c r="M358" s="2">
        <v>15040.49</v>
      </c>
      <c r="N358" s="2">
        <v>11828.02</v>
      </c>
      <c r="O358" s="2">
        <v>3212.47</v>
      </c>
      <c r="P358" t="s">
        <v>48</v>
      </c>
      <c r="Q358" t="s">
        <v>49</v>
      </c>
      <c r="R358" t="str">
        <f>TEXT(Table1[[#This Row],[Order Date]],"mmmm")</f>
        <v>June</v>
      </c>
      <c r="S358">
        <f>YEAR(Table1[[#This Row],[Order Date]])</f>
        <v>2026</v>
      </c>
    </row>
    <row r="359" spans="1:19" x14ac:dyDescent="0.3">
      <c r="A359" t="s">
        <v>771</v>
      </c>
      <c r="B359" s="1">
        <v>45700</v>
      </c>
      <c r="C359" t="s">
        <v>86</v>
      </c>
      <c r="D359" t="s">
        <v>90</v>
      </c>
      <c r="E359" t="s">
        <v>113</v>
      </c>
      <c r="F359" t="s">
        <v>37</v>
      </c>
      <c r="G359" t="s">
        <v>38</v>
      </c>
      <c r="H359" t="s">
        <v>106</v>
      </c>
      <c r="I359" t="s">
        <v>772</v>
      </c>
      <c r="J359">
        <v>9</v>
      </c>
      <c r="K359" s="2">
        <v>4916.95</v>
      </c>
      <c r="L359">
        <v>0</v>
      </c>
      <c r="M359" s="2">
        <v>44252.55</v>
      </c>
      <c r="N359" s="2">
        <v>27298.65</v>
      </c>
      <c r="O359" s="2">
        <v>16953.900000000001</v>
      </c>
      <c r="P359" t="s">
        <v>48</v>
      </c>
      <c r="Q359" t="s">
        <v>61</v>
      </c>
      <c r="R359" t="str">
        <f>TEXT(Table1[[#This Row],[Order Date]],"mmmm")</f>
        <v>February</v>
      </c>
      <c r="S359">
        <f>YEAR(Table1[[#This Row],[Order Date]])</f>
        <v>2025</v>
      </c>
    </row>
    <row r="360" spans="1:19" x14ac:dyDescent="0.3">
      <c r="A360" t="s">
        <v>773</v>
      </c>
      <c r="B360" s="1">
        <v>45979</v>
      </c>
      <c r="C360" t="s">
        <v>20</v>
      </c>
      <c r="D360" t="s">
        <v>55</v>
      </c>
      <c r="E360" t="s">
        <v>120</v>
      </c>
      <c r="F360" t="s">
        <v>23</v>
      </c>
      <c r="G360" t="s">
        <v>24</v>
      </c>
      <c r="H360" t="s">
        <v>171</v>
      </c>
      <c r="I360" t="s">
        <v>774</v>
      </c>
      <c r="J360">
        <v>9</v>
      </c>
      <c r="K360" s="2">
        <v>3353.07</v>
      </c>
      <c r="L360">
        <v>20</v>
      </c>
      <c r="M360" s="2">
        <v>24142.1</v>
      </c>
      <c r="N360" s="2">
        <v>15346.76</v>
      </c>
      <c r="O360" s="2">
        <v>8795.34</v>
      </c>
      <c r="P360" t="s">
        <v>41</v>
      </c>
      <c r="Q360" t="s">
        <v>61</v>
      </c>
      <c r="R360" t="str">
        <f>TEXT(Table1[[#This Row],[Order Date]],"mmmm")</f>
        <v>November</v>
      </c>
      <c r="S360">
        <f>YEAR(Table1[[#This Row],[Order Date]])</f>
        <v>2025</v>
      </c>
    </row>
    <row r="361" spans="1:19" x14ac:dyDescent="0.3">
      <c r="A361" t="s">
        <v>775</v>
      </c>
      <c r="B361" s="1">
        <v>46141</v>
      </c>
      <c r="C361" t="s">
        <v>70</v>
      </c>
      <c r="D361" t="s">
        <v>71</v>
      </c>
      <c r="E361" t="s">
        <v>113</v>
      </c>
      <c r="F361" t="s">
        <v>37</v>
      </c>
      <c r="G361" t="s">
        <v>45</v>
      </c>
      <c r="H361" t="s">
        <v>52</v>
      </c>
      <c r="I361" t="s">
        <v>776</v>
      </c>
      <c r="J361">
        <v>8</v>
      </c>
      <c r="K361" s="2">
        <v>4692.12</v>
      </c>
      <c r="L361">
        <v>20</v>
      </c>
      <c r="M361" s="2">
        <v>30029.57</v>
      </c>
      <c r="N361" s="2">
        <v>20012.03</v>
      </c>
      <c r="O361" s="2">
        <v>10017.540000000001</v>
      </c>
      <c r="P361" t="s">
        <v>48</v>
      </c>
      <c r="Q361" t="s">
        <v>61</v>
      </c>
      <c r="R361" t="str">
        <f>TEXT(Table1[[#This Row],[Order Date]],"mmmm")</f>
        <v>April</v>
      </c>
      <c r="S361">
        <f>YEAR(Table1[[#This Row],[Order Date]])</f>
        <v>2026</v>
      </c>
    </row>
    <row r="362" spans="1:19" x14ac:dyDescent="0.3">
      <c r="A362" t="s">
        <v>777</v>
      </c>
      <c r="B362" s="1">
        <v>45692</v>
      </c>
      <c r="C362" t="s">
        <v>70</v>
      </c>
      <c r="D362" t="s">
        <v>75</v>
      </c>
      <c r="E362" t="s">
        <v>66</v>
      </c>
      <c r="F362" t="s">
        <v>23</v>
      </c>
      <c r="G362" t="s">
        <v>45</v>
      </c>
      <c r="H362" t="s">
        <v>123</v>
      </c>
      <c r="I362" t="s">
        <v>778</v>
      </c>
      <c r="J362">
        <v>10</v>
      </c>
      <c r="K362" s="2">
        <v>215.41</v>
      </c>
      <c r="L362">
        <v>0</v>
      </c>
      <c r="M362" s="2">
        <v>2154.1</v>
      </c>
      <c r="N362" s="2">
        <v>1555.47</v>
      </c>
      <c r="O362" s="2">
        <v>598.63</v>
      </c>
      <c r="P362" t="s">
        <v>48</v>
      </c>
      <c r="Q362" t="s">
        <v>42</v>
      </c>
      <c r="R362" t="str">
        <f>TEXT(Table1[[#This Row],[Order Date]],"mmmm")</f>
        <v>February</v>
      </c>
      <c r="S362">
        <f>YEAR(Table1[[#This Row],[Order Date]])</f>
        <v>2025</v>
      </c>
    </row>
    <row r="363" spans="1:19" x14ac:dyDescent="0.3">
      <c r="A363" t="s">
        <v>779</v>
      </c>
      <c r="B363" s="1">
        <v>46195</v>
      </c>
      <c r="C363" t="s">
        <v>35</v>
      </c>
      <c r="D363" t="s">
        <v>36</v>
      </c>
      <c r="E363" t="s">
        <v>44</v>
      </c>
      <c r="F363" t="s">
        <v>31</v>
      </c>
      <c r="G363" t="s">
        <v>38</v>
      </c>
      <c r="H363" t="s">
        <v>39</v>
      </c>
      <c r="I363" t="s">
        <v>780</v>
      </c>
      <c r="J363">
        <v>7</v>
      </c>
      <c r="K363" s="2">
        <v>778.55</v>
      </c>
      <c r="L363">
        <v>20</v>
      </c>
      <c r="M363" s="2">
        <v>4359.88</v>
      </c>
      <c r="N363" s="2">
        <v>3525.9</v>
      </c>
      <c r="O363" s="2">
        <v>833.98</v>
      </c>
      <c r="P363" t="s">
        <v>27</v>
      </c>
      <c r="Q363" t="s">
        <v>28</v>
      </c>
      <c r="R363" t="str">
        <f>TEXT(Table1[[#This Row],[Order Date]],"mmmm")</f>
        <v>June</v>
      </c>
      <c r="S363">
        <f>YEAR(Table1[[#This Row],[Order Date]])</f>
        <v>2026</v>
      </c>
    </row>
    <row r="364" spans="1:19" x14ac:dyDescent="0.3">
      <c r="A364" t="s">
        <v>781</v>
      </c>
      <c r="B364" s="1">
        <v>45864</v>
      </c>
      <c r="C364" t="s">
        <v>20</v>
      </c>
      <c r="D364" t="s">
        <v>55</v>
      </c>
      <c r="E364" t="s">
        <v>51</v>
      </c>
      <c r="F364" t="s">
        <v>23</v>
      </c>
      <c r="G364" t="s">
        <v>24</v>
      </c>
      <c r="H364" t="s">
        <v>25</v>
      </c>
      <c r="I364" t="s">
        <v>782</v>
      </c>
      <c r="J364">
        <v>15</v>
      </c>
      <c r="K364" s="2">
        <v>1125.8599999999999</v>
      </c>
      <c r="L364">
        <v>0</v>
      </c>
      <c r="M364" s="2">
        <v>16887.900000000001</v>
      </c>
      <c r="N364" s="2">
        <v>12500.67</v>
      </c>
      <c r="O364" s="2">
        <v>4387.2299999999996</v>
      </c>
      <c r="P364" t="s">
        <v>27</v>
      </c>
      <c r="Q364" t="s">
        <v>42</v>
      </c>
      <c r="R364" t="str">
        <f>TEXT(Table1[[#This Row],[Order Date]],"mmmm")</f>
        <v>July</v>
      </c>
      <c r="S364">
        <f>YEAR(Table1[[#This Row],[Order Date]])</f>
        <v>2025</v>
      </c>
    </row>
    <row r="365" spans="1:19" x14ac:dyDescent="0.3">
      <c r="A365" t="s">
        <v>783</v>
      </c>
      <c r="B365" s="1">
        <v>45741</v>
      </c>
      <c r="C365" t="s">
        <v>20</v>
      </c>
      <c r="D365" t="s">
        <v>21</v>
      </c>
      <c r="E365" t="s">
        <v>30</v>
      </c>
      <c r="F365" t="s">
        <v>37</v>
      </c>
      <c r="G365" t="s">
        <v>45</v>
      </c>
      <c r="H365" t="s">
        <v>52</v>
      </c>
      <c r="I365" t="s">
        <v>784</v>
      </c>
      <c r="J365">
        <v>4</v>
      </c>
      <c r="K365" s="2">
        <v>3471.62</v>
      </c>
      <c r="L365">
        <v>15</v>
      </c>
      <c r="M365" s="2">
        <v>11803.51</v>
      </c>
      <c r="N365" s="2">
        <v>6711.23</v>
      </c>
      <c r="O365" s="2">
        <v>5092.28</v>
      </c>
      <c r="P365" t="s">
        <v>27</v>
      </c>
      <c r="Q365" t="s">
        <v>61</v>
      </c>
      <c r="R365" t="str">
        <f>TEXT(Table1[[#This Row],[Order Date]],"mmmm")</f>
        <v>March</v>
      </c>
      <c r="S365">
        <f>YEAR(Table1[[#This Row],[Order Date]])</f>
        <v>2025</v>
      </c>
    </row>
    <row r="366" spans="1:19" x14ac:dyDescent="0.3">
      <c r="A366" t="s">
        <v>785</v>
      </c>
      <c r="B366" s="1">
        <v>45920</v>
      </c>
      <c r="C366" t="s">
        <v>86</v>
      </c>
      <c r="D366" t="s">
        <v>87</v>
      </c>
      <c r="E366" t="s">
        <v>120</v>
      </c>
      <c r="F366" t="s">
        <v>23</v>
      </c>
      <c r="G366" t="s">
        <v>38</v>
      </c>
      <c r="H366" t="s">
        <v>63</v>
      </c>
      <c r="I366" t="s">
        <v>786</v>
      </c>
      <c r="J366">
        <v>7</v>
      </c>
      <c r="K366" s="2">
        <v>720.6</v>
      </c>
      <c r="L366">
        <v>0</v>
      </c>
      <c r="M366" s="2">
        <v>5044.2</v>
      </c>
      <c r="N366" s="2">
        <v>3787.77</v>
      </c>
      <c r="O366" s="2">
        <v>1256.43</v>
      </c>
      <c r="P366" t="s">
        <v>27</v>
      </c>
      <c r="Q366" t="s">
        <v>28</v>
      </c>
      <c r="R366" t="str">
        <f>TEXT(Table1[[#This Row],[Order Date]],"mmmm")</f>
        <v>September</v>
      </c>
      <c r="S366">
        <f>YEAR(Table1[[#This Row],[Order Date]])</f>
        <v>2025</v>
      </c>
    </row>
    <row r="367" spans="1:19" x14ac:dyDescent="0.3">
      <c r="A367" t="s">
        <v>787</v>
      </c>
      <c r="B367" s="1">
        <v>46126</v>
      </c>
      <c r="C367" t="s">
        <v>20</v>
      </c>
      <c r="D367" t="s">
        <v>55</v>
      </c>
      <c r="E367" t="s">
        <v>170</v>
      </c>
      <c r="F367" t="s">
        <v>37</v>
      </c>
      <c r="G367" t="s">
        <v>24</v>
      </c>
      <c r="H367" t="s">
        <v>56</v>
      </c>
      <c r="I367" t="s">
        <v>788</v>
      </c>
      <c r="J367">
        <v>10</v>
      </c>
      <c r="K367" s="2">
        <v>1092.51</v>
      </c>
      <c r="L367">
        <v>10</v>
      </c>
      <c r="M367" s="2">
        <v>9832.59</v>
      </c>
      <c r="N367" s="2">
        <v>5972.36</v>
      </c>
      <c r="O367" s="2">
        <v>3860.23</v>
      </c>
      <c r="P367" t="s">
        <v>27</v>
      </c>
      <c r="Q367" t="s">
        <v>61</v>
      </c>
      <c r="R367" t="str">
        <f>TEXT(Table1[[#This Row],[Order Date]],"mmmm")</f>
        <v>April</v>
      </c>
      <c r="S367">
        <f>YEAR(Table1[[#This Row],[Order Date]])</f>
        <v>2026</v>
      </c>
    </row>
    <row r="368" spans="1:19" x14ac:dyDescent="0.3">
      <c r="A368" t="s">
        <v>789</v>
      </c>
      <c r="B368" s="1">
        <v>45983</v>
      </c>
      <c r="C368" t="s">
        <v>70</v>
      </c>
      <c r="D368" t="s">
        <v>71</v>
      </c>
      <c r="E368" t="s">
        <v>113</v>
      </c>
      <c r="F368" t="s">
        <v>23</v>
      </c>
      <c r="G368" t="s">
        <v>45</v>
      </c>
      <c r="H368" t="s">
        <v>67</v>
      </c>
      <c r="I368" t="s">
        <v>790</v>
      </c>
      <c r="J368">
        <v>14</v>
      </c>
      <c r="K368" s="2">
        <v>657.54</v>
      </c>
      <c r="L368">
        <v>10</v>
      </c>
      <c r="M368" s="2">
        <v>8285</v>
      </c>
      <c r="N368" s="2">
        <v>6546.2</v>
      </c>
      <c r="O368" s="2">
        <v>1738.8</v>
      </c>
      <c r="P368" t="s">
        <v>27</v>
      </c>
      <c r="Q368" t="s">
        <v>49</v>
      </c>
      <c r="R368" t="str">
        <f>TEXT(Table1[[#This Row],[Order Date]],"mmmm")</f>
        <v>November</v>
      </c>
      <c r="S368">
        <f>YEAR(Table1[[#This Row],[Order Date]])</f>
        <v>2025</v>
      </c>
    </row>
    <row r="369" spans="1:19" x14ac:dyDescent="0.3">
      <c r="A369" t="s">
        <v>791</v>
      </c>
      <c r="B369" s="1">
        <v>46050</v>
      </c>
      <c r="C369" t="s">
        <v>20</v>
      </c>
      <c r="D369" t="s">
        <v>21</v>
      </c>
      <c r="E369" t="s">
        <v>170</v>
      </c>
      <c r="F369" t="s">
        <v>37</v>
      </c>
      <c r="G369" t="s">
        <v>24</v>
      </c>
      <c r="H369" t="s">
        <v>56</v>
      </c>
      <c r="I369" t="s">
        <v>792</v>
      </c>
      <c r="J369">
        <v>4</v>
      </c>
      <c r="K369" s="2">
        <v>4722.33</v>
      </c>
      <c r="L369">
        <v>5</v>
      </c>
      <c r="M369" s="2">
        <v>17944.849999999999</v>
      </c>
      <c r="N369" s="2">
        <v>12271.25</v>
      </c>
      <c r="O369" s="2">
        <v>5673.6</v>
      </c>
      <c r="P369" t="s">
        <v>27</v>
      </c>
      <c r="Q369" t="s">
        <v>49</v>
      </c>
      <c r="R369" t="str">
        <f>TEXT(Table1[[#This Row],[Order Date]],"mmmm")</f>
        <v>January</v>
      </c>
      <c r="S369">
        <f>YEAR(Table1[[#This Row],[Order Date]])</f>
        <v>2026</v>
      </c>
    </row>
    <row r="370" spans="1:19" x14ac:dyDescent="0.3">
      <c r="A370" t="s">
        <v>793</v>
      </c>
      <c r="B370" s="1">
        <v>45897</v>
      </c>
      <c r="C370" t="s">
        <v>20</v>
      </c>
      <c r="D370" t="s">
        <v>55</v>
      </c>
      <c r="E370" t="s">
        <v>170</v>
      </c>
      <c r="F370" t="s">
        <v>37</v>
      </c>
      <c r="G370" t="s">
        <v>38</v>
      </c>
      <c r="H370" t="s">
        <v>63</v>
      </c>
      <c r="I370" t="s">
        <v>794</v>
      </c>
      <c r="J370">
        <v>4</v>
      </c>
      <c r="K370" s="2">
        <v>431.22</v>
      </c>
      <c r="L370">
        <v>0</v>
      </c>
      <c r="M370" s="2">
        <v>1724.88</v>
      </c>
      <c r="N370" s="2">
        <v>1155.9000000000001</v>
      </c>
      <c r="O370" s="2">
        <v>568.98</v>
      </c>
      <c r="P370" t="s">
        <v>48</v>
      </c>
      <c r="Q370" t="s">
        <v>42</v>
      </c>
      <c r="R370" t="str">
        <f>TEXT(Table1[[#This Row],[Order Date]],"mmmm")</f>
        <v>August</v>
      </c>
      <c r="S370">
        <f>YEAR(Table1[[#This Row],[Order Date]])</f>
        <v>2025</v>
      </c>
    </row>
    <row r="371" spans="1:19" x14ac:dyDescent="0.3">
      <c r="A371" t="s">
        <v>795</v>
      </c>
      <c r="B371" s="1">
        <v>45751</v>
      </c>
      <c r="C371" t="s">
        <v>20</v>
      </c>
      <c r="D371" t="s">
        <v>55</v>
      </c>
      <c r="E371" t="s">
        <v>66</v>
      </c>
      <c r="F371" t="s">
        <v>37</v>
      </c>
      <c r="G371" t="s">
        <v>38</v>
      </c>
      <c r="H371" t="s">
        <v>72</v>
      </c>
      <c r="I371" t="s">
        <v>796</v>
      </c>
      <c r="J371">
        <v>7</v>
      </c>
      <c r="K371" s="2">
        <v>2326.0100000000002</v>
      </c>
      <c r="L371">
        <v>0</v>
      </c>
      <c r="M371" s="2">
        <v>16282.07</v>
      </c>
      <c r="N371" s="2">
        <v>9093.64</v>
      </c>
      <c r="O371" s="2">
        <v>7188.43</v>
      </c>
      <c r="P371" t="s">
        <v>41</v>
      </c>
      <c r="Q371" t="s">
        <v>61</v>
      </c>
      <c r="R371" t="str">
        <f>TEXT(Table1[[#This Row],[Order Date]],"mmmm")</f>
        <v>April</v>
      </c>
      <c r="S371">
        <f>YEAR(Table1[[#This Row],[Order Date]])</f>
        <v>2025</v>
      </c>
    </row>
    <row r="372" spans="1:19" x14ac:dyDescent="0.3">
      <c r="A372" t="s">
        <v>797</v>
      </c>
      <c r="B372" s="1">
        <v>45940</v>
      </c>
      <c r="C372" t="s">
        <v>70</v>
      </c>
      <c r="D372" t="s">
        <v>75</v>
      </c>
      <c r="E372" t="s">
        <v>22</v>
      </c>
      <c r="F372" t="s">
        <v>37</v>
      </c>
      <c r="G372" t="s">
        <v>24</v>
      </c>
      <c r="H372" t="s">
        <v>56</v>
      </c>
      <c r="I372" t="s">
        <v>798</v>
      </c>
      <c r="J372">
        <v>8</v>
      </c>
      <c r="K372" s="2">
        <v>4879.8</v>
      </c>
      <c r="L372">
        <v>10</v>
      </c>
      <c r="M372" s="2">
        <v>35134.559999999998</v>
      </c>
      <c r="N372" s="2">
        <v>25601.9</v>
      </c>
      <c r="O372" s="2">
        <v>9532.66</v>
      </c>
      <c r="P372" t="s">
        <v>27</v>
      </c>
      <c r="Q372" t="s">
        <v>49</v>
      </c>
      <c r="R372" t="str">
        <f>TEXT(Table1[[#This Row],[Order Date]],"mmmm")</f>
        <v>October</v>
      </c>
      <c r="S372">
        <f>YEAR(Table1[[#This Row],[Order Date]])</f>
        <v>2025</v>
      </c>
    </row>
    <row r="373" spans="1:19" x14ac:dyDescent="0.3">
      <c r="A373" t="s">
        <v>799</v>
      </c>
      <c r="B373" s="1">
        <v>45915</v>
      </c>
      <c r="C373" t="s">
        <v>20</v>
      </c>
      <c r="D373" t="s">
        <v>55</v>
      </c>
      <c r="E373" t="s">
        <v>22</v>
      </c>
      <c r="F373" t="s">
        <v>37</v>
      </c>
      <c r="G373" t="s">
        <v>38</v>
      </c>
      <c r="H373" t="s">
        <v>106</v>
      </c>
      <c r="I373" t="s">
        <v>800</v>
      </c>
      <c r="J373">
        <v>15</v>
      </c>
      <c r="K373" s="2">
        <v>3689.27</v>
      </c>
      <c r="L373">
        <v>15</v>
      </c>
      <c r="M373" s="2">
        <v>47038.19</v>
      </c>
      <c r="N373" s="2">
        <v>36529.949999999997</v>
      </c>
      <c r="O373" s="2">
        <v>10508.24</v>
      </c>
      <c r="P373" t="s">
        <v>27</v>
      </c>
      <c r="Q373" t="s">
        <v>42</v>
      </c>
      <c r="R373" t="str">
        <f>TEXT(Table1[[#This Row],[Order Date]],"mmmm")</f>
        <v>September</v>
      </c>
      <c r="S373">
        <f>YEAR(Table1[[#This Row],[Order Date]])</f>
        <v>2025</v>
      </c>
    </row>
    <row r="374" spans="1:19" x14ac:dyDescent="0.3">
      <c r="A374" t="s">
        <v>801</v>
      </c>
      <c r="B374" s="1">
        <v>46100</v>
      </c>
      <c r="C374" t="s">
        <v>86</v>
      </c>
      <c r="D374" t="s">
        <v>87</v>
      </c>
      <c r="E374" t="s">
        <v>113</v>
      </c>
      <c r="F374" t="s">
        <v>23</v>
      </c>
      <c r="G374" t="s">
        <v>45</v>
      </c>
      <c r="H374" t="s">
        <v>67</v>
      </c>
      <c r="I374" t="s">
        <v>802</v>
      </c>
      <c r="J374">
        <v>3</v>
      </c>
      <c r="K374" s="2">
        <v>2309</v>
      </c>
      <c r="L374">
        <v>20</v>
      </c>
      <c r="M374" s="2">
        <v>5541.6</v>
      </c>
      <c r="N374" s="2">
        <v>3483.31</v>
      </c>
      <c r="O374" s="2">
        <v>2058.29</v>
      </c>
      <c r="P374" t="s">
        <v>41</v>
      </c>
      <c r="Q374" t="s">
        <v>49</v>
      </c>
      <c r="R374" t="str">
        <f>TEXT(Table1[[#This Row],[Order Date]],"mmmm")</f>
        <v>March</v>
      </c>
      <c r="S374">
        <f>YEAR(Table1[[#This Row],[Order Date]])</f>
        <v>2026</v>
      </c>
    </row>
    <row r="375" spans="1:19" x14ac:dyDescent="0.3">
      <c r="A375" t="s">
        <v>803</v>
      </c>
      <c r="B375" s="1">
        <v>45786</v>
      </c>
      <c r="C375" t="s">
        <v>70</v>
      </c>
      <c r="D375" t="s">
        <v>75</v>
      </c>
      <c r="E375" t="s">
        <v>113</v>
      </c>
      <c r="F375" t="s">
        <v>31</v>
      </c>
      <c r="G375" t="s">
        <v>45</v>
      </c>
      <c r="H375" t="s">
        <v>67</v>
      </c>
      <c r="I375" t="s">
        <v>804</v>
      </c>
      <c r="J375">
        <v>10</v>
      </c>
      <c r="K375" s="2">
        <v>1136.46</v>
      </c>
      <c r="L375">
        <v>5</v>
      </c>
      <c r="M375" s="2">
        <v>10796.37</v>
      </c>
      <c r="N375" s="2">
        <v>7824.12</v>
      </c>
      <c r="O375" s="2">
        <v>2972.25</v>
      </c>
      <c r="P375" t="s">
        <v>41</v>
      </c>
      <c r="Q375" t="s">
        <v>28</v>
      </c>
      <c r="R375" t="str">
        <f>TEXT(Table1[[#This Row],[Order Date]],"mmmm")</f>
        <v>May</v>
      </c>
      <c r="S375">
        <f>YEAR(Table1[[#This Row],[Order Date]])</f>
        <v>2025</v>
      </c>
    </row>
    <row r="376" spans="1:19" x14ac:dyDescent="0.3">
      <c r="A376" t="s">
        <v>805</v>
      </c>
      <c r="B376" s="1">
        <v>45863</v>
      </c>
      <c r="C376" t="s">
        <v>20</v>
      </c>
      <c r="D376" t="s">
        <v>55</v>
      </c>
      <c r="E376" t="s">
        <v>120</v>
      </c>
      <c r="F376" t="s">
        <v>37</v>
      </c>
      <c r="G376" t="s">
        <v>24</v>
      </c>
      <c r="H376" t="s">
        <v>171</v>
      </c>
      <c r="I376" t="s">
        <v>806</v>
      </c>
      <c r="J376">
        <v>2</v>
      </c>
      <c r="K376" s="2">
        <v>3607.74</v>
      </c>
      <c r="L376">
        <v>10</v>
      </c>
      <c r="M376" s="2">
        <v>6493.93</v>
      </c>
      <c r="N376" s="2">
        <v>3578.52</v>
      </c>
      <c r="O376" s="2">
        <v>2915.41</v>
      </c>
      <c r="P376" t="s">
        <v>48</v>
      </c>
      <c r="Q376" t="s">
        <v>28</v>
      </c>
      <c r="R376" t="str">
        <f>TEXT(Table1[[#This Row],[Order Date]],"mmmm")</f>
        <v>July</v>
      </c>
      <c r="S376">
        <f>YEAR(Table1[[#This Row],[Order Date]])</f>
        <v>2025</v>
      </c>
    </row>
    <row r="377" spans="1:19" x14ac:dyDescent="0.3">
      <c r="A377" t="s">
        <v>807</v>
      </c>
      <c r="B377" s="1">
        <v>46165</v>
      </c>
      <c r="C377" t="s">
        <v>70</v>
      </c>
      <c r="D377" t="s">
        <v>71</v>
      </c>
      <c r="E377" t="s">
        <v>22</v>
      </c>
      <c r="F377" t="s">
        <v>23</v>
      </c>
      <c r="G377" t="s">
        <v>24</v>
      </c>
      <c r="H377" t="s">
        <v>32</v>
      </c>
      <c r="I377" t="s">
        <v>808</v>
      </c>
      <c r="J377">
        <v>2</v>
      </c>
      <c r="K377" s="2">
        <v>4974.8999999999996</v>
      </c>
      <c r="L377">
        <v>20</v>
      </c>
      <c r="M377" s="2">
        <v>7959.84</v>
      </c>
      <c r="N377" s="2">
        <v>4793.91</v>
      </c>
      <c r="O377" s="2">
        <v>3165.93</v>
      </c>
      <c r="P377" t="s">
        <v>48</v>
      </c>
      <c r="Q377" t="s">
        <v>49</v>
      </c>
      <c r="R377" t="str">
        <f>TEXT(Table1[[#This Row],[Order Date]],"mmmm")</f>
        <v>May</v>
      </c>
      <c r="S377">
        <f>YEAR(Table1[[#This Row],[Order Date]])</f>
        <v>2026</v>
      </c>
    </row>
    <row r="378" spans="1:19" x14ac:dyDescent="0.3">
      <c r="A378" t="s">
        <v>809</v>
      </c>
      <c r="B378" s="1">
        <v>45727</v>
      </c>
      <c r="C378" t="s">
        <v>35</v>
      </c>
      <c r="D378" t="s">
        <v>36</v>
      </c>
      <c r="E378" t="s">
        <v>120</v>
      </c>
      <c r="F378" t="s">
        <v>31</v>
      </c>
      <c r="G378" t="s">
        <v>38</v>
      </c>
      <c r="H378" t="s">
        <v>91</v>
      </c>
      <c r="I378" t="s">
        <v>810</v>
      </c>
      <c r="J378">
        <v>9</v>
      </c>
      <c r="K378" s="2">
        <v>1955.64</v>
      </c>
      <c r="L378">
        <v>0</v>
      </c>
      <c r="M378" s="2">
        <v>17600.759999999998</v>
      </c>
      <c r="N378" s="2">
        <v>10562.48</v>
      </c>
      <c r="O378" s="2">
        <v>7038.28</v>
      </c>
      <c r="P378" t="s">
        <v>27</v>
      </c>
      <c r="Q378" t="s">
        <v>42</v>
      </c>
      <c r="R378" t="str">
        <f>TEXT(Table1[[#This Row],[Order Date]],"mmmm")</f>
        <v>March</v>
      </c>
      <c r="S378">
        <f>YEAR(Table1[[#This Row],[Order Date]])</f>
        <v>2025</v>
      </c>
    </row>
    <row r="379" spans="1:19" x14ac:dyDescent="0.3">
      <c r="A379" t="s">
        <v>811</v>
      </c>
      <c r="B379" s="1">
        <v>45949</v>
      </c>
      <c r="C379" t="s">
        <v>35</v>
      </c>
      <c r="D379" t="s">
        <v>59</v>
      </c>
      <c r="E379" t="s">
        <v>170</v>
      </c>
      <c r="F379" t="s">
        <v>37</v>
      </c>
      <c r="G379" t="s">
        <v>38</v>
      </c>
      <c r="H379" t="s">
        <v>91</v>
      </c>
      <c r="I379" t="s">
        <v>812</v>
      </c>
      <c r="J379">
        <v>15</v>
      </c>
      <c r="K379" s="2">
        <v>2507.81</v>
      </c>
      <c r="L379">
        <v>20</v>
      </c>
      <c r="M379" s="2">
        <v>30093.72</v>
      </c>
      <c r="N379" s="2">
        <v>22004.66</v>
      </c>
      <c r="O379" s="2">
        <v>8089.06</v>
      </c>
      <c r="P379" t="s">
        <v>48</v>
      </c>
      <c r="Q379" t="s">
        <v>61</v>
      </c>
      <c r="R379" t="str">
        <f>TEXT(Table1[[#This Row],[Order Date]],"mmmm")</f>
        <v>October</v>
      </c>
      <c r="S379">
        <f>YEAR(Table1[[#This Row],[Order Date]])</f>
        <v>2025</v>
      </c>
    </row>
    <row r="380" spans="1:19" x14ac:dyDescent="0.3">
      <c r="A380" t="s">
        <v>813</v>
      </c>
      <c r="B380" s="1">
        <v>45837</v>
      </c>
      <c r="C380" t="s">
        <v>86</v>
      </c>
      <c r="D380" t="s">
        <v>87</v>
      </c>
      <c r="E380" t="s">
        <v>44</v>
      </c>
      <c r="F380" t="s">
        <v>37</v>
      </c>
      <c r="G380" t="s">
        <v>45</v>
      </c>
      <c r="H380" t="s">
        <v>46</v>
      </c>
      <c r="I380" t="s">
        <v>814</v>
      </c>
      <c r="J380">
        <v>7</v>
      </c>
      <c r="K380" s="2">
        <v>3040.12</v>
      </c>
      <c r="L380">
        <v>20</v>
      </c>
      <c r="M380" s="2">
        <v>17024.669999999998</v>
      </c>
      <c r="N380" s="2">
        <v>11060.35</v>
      </c>
      <c r="O380" s="2">
        <v>5964.32</v>
      </c>
      <c r="P380" t="s">
        <v>41</v>
      </c>
      <c r="Q380" t="s">
        <v>61</v>
      </c>
      <c r="R380" t="str">
        <f>TEXT(Table1[[#This Row],[Order Date]],"mmmm")</f>
        <v>June</v>
      </c>
      <c r="S380">
        <f>YEAR(Table1[[#This Row],[Order Date]])</f>
        <v>2025</v>
      </c>
    </row>
    <row r="381" spans="1:19" x14ac:dyDescent="0.3">
      <c r="A381" t="s">
        <v>815</v>
      </c>
      <c r="B381" s="1">
        <v>45720</v>
      </c>
      <c r="C381" t="s">
        <v>86</v>
      </c>
      <c r="D381" t="s">
        <v>87</v>
      </c>
      <c r="E381" t="s">
        <v>22</v>
      </c>
      <c r="F381" t="s">
        <v>23</v>
      </c>
      <c r="G381" t="s">
        <v>38</v>
      </c>
      <c r="H381" t="s">
        <v>106</v>
      </c>
      <c r="I381" t="s">
        <v>816</v>
      </c>
      <c r="J381">
        <v>13</v>
      </c>
      <c r="K381" s="2">
        <v>4249.09</v>
      </c>
      <c r="L381">
        <v>15</v>
      </c>
      <c r="M381" s="2">
        <v>46952.44</v>
      </c>
      <c r="N381" s="2">
        <v>34741.56</v>
      </c>
      <c r="O381" s="2">
        <v>12210.88</v>
      </c>
      <c r="P381" t="s">
        <v>27</v>
      </c>
      <c r="Q381" t="s">
        <v>42</v>
      </c>
      <c r="R381" t="str">
        <f>TEXT(Table1[[#This Row],[Order Date]],"mmmm")</f>
        <v>March</v>
      </c>
      <c r="S381">
        <f>YEAR(Table1[[#This Row],[Order Date]])</f>
        <v>2025</v>
      </c>
    </row>
    <row r="382" spans="1:19" x14ac:dyDescent="0.3">
      <c r="A382" t="s">
        <v>817</v>
      </c>
      <c r="B382" s="1">
        <v>45942</v>
      </c>
      <c r="C382" t="s">
        <v>86</v>
      </c>
      <c r="D382" t="s">
        <v>90</v>
      </c>
      <c r="E382" t="s">
        <v>44</v>
      </c>
      <c r="F382" t="s">
        <v>37</v>
      </c>
      <c r="G382" t="s">
        <v>24</v>
      </c>
      <c r="H382" t="s">
        <v>56</v>
      </c>
      <c r="I382" t="s">
        <v>818</v>
      </c>
      <c r="J382">
        <v>15</v>
      </c>
      <c r="K382" s="2">
        <v>2662.86</v>
      </c>
      <c r="L382">
        <v>10</v>
      </c>
      <c r="M382" s="2">
        <v>35948.61</v>
      </c>
      <c r="N382" s="2">
        <v>23584</v>
      </c>
      <c r="O382" s="2">
        <v>12364.61</v>
      </c>
      <c r="P382" t="s">
        <v>48</v>
      </c>
      <c r="Q382" t="s">
        <v>61</v>
      </c>
      <c r="R382" t="str">
        <f>TEXT(Table1[[#This Row],[Order Date]],"mmmm")</f>
        <v>October</v>
      </c>
      <c r="S382">
        <f>YEAR(Table1[[#This Row],[Order Date]])</f>
        <v>2025</v>
      </c>
    </row>
    <row r="383" spans="1:19" x14ac:dyDescent="0.3">
      <c r="A383" t="s">
        <v>819</v>
      </c>
      <c r="B383" s="1">
        <v>45912</v>
      </c>
      <c r="C383" t="s">
        <v>20</v>
      </c>
      <c r="D383" t="s">
        <v>21</v>
      </c>
      <c r="E383" t="s">
        <v>120</v>
      </c>
      <c r="F383" t="s">
        <v>37</v>
      </c>
      <c r="G383" t="s">
        <v>38</v>
      </c>
      <c r="H383" t="s">
        <v>91</v>
      </c>
      <c r="I383" t="s">
        <v>820</v>
      </c>
      <c r="J383">
        <v>4</v>
      </c>
      <c r="K383" s="2">
        <v>855.89</v>
      </c>
      <c r="L383">
        <v>0</v>
      </c>
      <c r="M383" s="2">
        <v>3423.56</v>
      </c>
      <c r="N383" s="2">
        <v>2728.03</v>
      </c>
      <c r="O383" s="2">
        <v>695.53</v>
      </c>
      <c r="P383" t="s">
        <v>48</v>
      </c>
      <c r="Q383" t="s">
        <v>49</v>
      </c>
      <c r="R383" t="str">
        <f>TEXT(Table1[[#This Row],[Order Date]],"mmmm")</f>
        <v>September</v>
      </c>
      <c r="S383">
        <f>YEAR(Table1[[#This Row],[Order Date]])</f>
        <v>2025</v>
      </c>
    </row>
    <row r="384" spans="1:19" x14ac:dyDescent="0.3">
      <c r="A384" t="s">
        <v>821</v>
      </c>
      <c r="B384" s="1">
        <v>45771</v>
      </c>
      <c r="C384" t="s">
        <v>70</v>
      </c>
      <c r="D384" t="s">
        <v>75</v>
      </c>
      <c r="E384" t="s">
        <v>113</v>
      </c>
      <c r="F384" t="s">
        <v>37</v>
      </c>
      <c r="G384" t="s">
        <v>24</v>
      </c>
      <c r="H384" t="s">
        <v>56</v>
      </c>
      <c r="I384" t="s">
        <v>822</v>
      </c>
      <c r="J384">
        <v>13</v>
      </c>
      <c r="K384" s="2">
        <v>814.67</v>
      </c>
      <c r="L384">
        <v>5</v>
      </c>
      <c r="M384" s="2">
        <v>10061.17</v>
      </c>
      <c r="N384" s="2">
        <v>6852.45</v>
      </c>
      <c r="O384" s="2">
        <v>3208.72</v>
      </c>
      <c r="P384" t="s">
        <v>48</v>
      </c>
      <c r="Q384" t="s">
        <v>61</v>
      </c>
      <c r="R384" t="str">
        <f>TEXT(Table1[[#This Row],[Order Date]],"mmmm")</f>
        <v>April</v>
      </c>
      <c r="S384">
        <f>YEAR(Table1[[#This Row],[Order Date]])</f>
        <v>2025</v>
      </c>
    </row>
    <row r="385" spans="1:19" x14ac:dyDescent="0.3">
      <c r="A385" t="s">
        <v>823</v>
      </c>
      <c r="B385" s="1">
        <v>45666</v>
      </c>
      <c r="C385" t="s">
        <v>86</v>
      </c>
      <c r="D385" t="s">
        <v>90</v>
      </c>
      <c r="E385" t="s">
        <v>22</v>
      </c>
      <c r="F385" t="s">
        <v>23</v>
      </c>
      <c r="G385" t="s">
        <v>45</v>
      </c>
      <c r="H385" t="s">
        <v>123</v>
      </c>
      <c r="I385" t="s">
        <v>253</v>
      </c>
      <c r="J385">
        <v>1</v>
      </c>
      <c r="K385" s="2">
        <v>2488.16</v>
      </c>
      <c r="L385">
        <v>0</v>
      </c>
      <c r="M385" s="2">
        <v>2488.16</v>
      </c>
      <c r="N385" s="2">
        <v>1979.68</v>
      </c>
      <c r="O385" s="2">
        <v>508.48</v>
      </c>
      <c r="P385" t="s">
        <v>41</v>
      </c>
      <c r="Q385" t="s">
        <v>49</v>
      </c>
      <c r="R385" t="str">
        <f>TEXT(Table1[[#This Row],[Order Date]],"mmmm")</f>
        <v>January</v>
      </c>
      <c r="S385">
        <f>YEAR(Table1[[#This Row],[Order Date]])</f>
        <v>2025</v>
      </c>
    </row>
    <row r="386" spans="1:19" x14ac:dyDescent="0.3">
      <c r="A386" t="s">
        <v>824</v>
      </c>
      <c r="B386" s="1">
        <v>45793</v>
      </c>
      <c r="C386" t="s">
        <v>35</v>
      </c>
      <c r="D386" t="s">
        <v>36</v>
      </c>
      <c r="E386" t="s">
        <v>113</v>
      </c>
      <c r="F386" t="s">
        <v>31</v>
      </c>
      <c r="G386" t="s">
        <v>45</v>
      </c>
      <c r="H386" t="s">
        <v>123</v>
      </c>
      <c r="I386" t="s">
        <v>825</v>
      </c>
      <c r="J386">
        <v>1</v>
      </c>
      <c r="K386" s="2">
        <v>868.08</v>
      </c>
      <c r="L386">
        <v>0</v>
      </c>
      <c r="M386" s="2">
        <v>868.08</v>
      </c>
      <c r="N386" s="2">
        <v>692.17</v>
      </c>
      <c r="O386" s="2">
        <v>175.91</v>
      </c>
      <c r="P386" t="s">
        <v>27</v>
      </c>
      <c r="Q386" t="s">
        <v>49</v>
      </c>
      <c r="R386" t="str">
        <f>TEXT(Table1[[#This Row],[Order Date]],"mmmm")</f>
        <v>May</v>
      </c>
      <c r="S386">
        <f>YEAR(Table1[[#This Row],[Order Date]])</f>
        <v>2025</v>
      </c>
    </row>
    <row r="387" spans="1:19" x14ac:dyDescent="0.3">
      <c r="A387" t="s">
        <v>826</v>
      </c>
      <c r="B387" s="1">
        <v>45686</v>
      </c>
      <c r="C387" t="s">
        <v>70</v>
      </c>
      <c r="D387" t="s">
        <v>71</v>
      </c>
      <c r="E387" t="s">
        <v>66</v>
      </c>
      <c r="F387" t="s">
        <v>37</v>
      </c>
      <c r="G387" t="s">
        <v>38</v>
      </c>
      <c r="H387" t="s">
        <v>63</v>
      </c>
      <c r="I387" t="s">
        <v>827</v>
      </c>
      <c r="J387">
        <v>9</v>
      </c>
      <c r="K387" s="2">
        <v>3647.25</v>
      </c>
      <c r="L387">
        <v>15</v>
      </c>
      <c r="M387" s="2">
        <v>27901.46</v>
      </c>
      <c r="N387" s="2">
        <v>21061.03</v>
      </c>
      <c r="O387" s="2">
        <v>6840.43</v>
      </c>
      <c r="P387" t="s">
        <v>48</v>
      </c>
      <c r="Q387" t="s">
        <v>28</v>
      </c>
      <c r="R387" t="str">
        <f>TEXT(Table1[[#This Row],[Order Date]],"mmmm")</f>
        <v>January</v>
      </c>
      <c r="S387">
        <f>YEAR(Table1[[#This Row],[Order Date]])</f>
        <v>2025</v>
      </c>
    </row>
    <row r="388" spans="1:19" x14ac:dyDescent="0.3">
      <c r="A388" t="s">
        <v>828</v>
      </c>
      <c r="B388" s="1">
        <v>45842</v>
      </c>
      <c r="C388" t="s">
        <v>70</v>
      </c>
      <c r="D388" t="s">
        <v>71</v>
      </c>
      <c r="E388" t="s">
        <v>113</v>
      </c>
      <c r="F388" t="s">
        <v>23</v>
      </c>
      <c r="G388" t="s">
        <v>45</v>
      </c>
      <c r="H388" t="s">
        <v>46</v>
      </c>
      <c r="I388" t="s">
        <v>829</v>
      </c>
      <c r="J388">
        <v>5</v>
      </c>
      <c r="K388" s="2">
        <v>4930.74</v>
      </c>
      <c r="L388">
        <v>20</v>
      </c>
      <c r="M388" s="2">
        <v>19722.96</v>
      </c>
      <c r="N388" s="2">
        <v>11231.15</v>
      </c>
      <c r="O388" s="2">
        <v>8491.81</v>
      </c>
      <c r="P388" t="s">
        <v>27</v>
      </c>
      <c r="Q388" t="s">
        <v>49</v>
      </c>
      <c r="R388" t="str">
        <f>TEXT(Table1[[#This Row],[Order Date]],"mmmm")</f>
        <v>July</v>
      </c>
      <c r="S388">
        <f>YEAR(Table1[[#This Row],[Order Date]])</f>
        <v>2025</v>
      </c>
    </row>
    <row r="389" spans="1:19" x14ac:dyDescent="0.3">
      <c r="A389" t="s">
        <v>830</v>
      </c>
      <c r="B389" s="1">
        <v>45950</v>
      </c>
      <c r="C389" t="s">
        <v>35</v>
      </c>
      <c r="D389" t="s">
        <v>36</v>
      </c>
      <c r="E389" t="s">
        <v>113</v>
      </c>
      <c r="F389" t="s">
        <v>31</v>
      </c>
      <c r="G389" t="s">
        <v>45</v>
      </c>
      <c r="H389" t="s">
        <v>46</v>
      </c>
      <c r="I389" t="s">
        <v>831</v>
      </c>
      <c r="J389">
        <v>14</v>
      </c>
      <c r="K389" s="2">
        <v>1003.42</v>
      </c>
      <c r="L389">
        <v>0</v>
      </c>
      <c r="M389" s="2">
        <v>14047.88</v>
      </c>
      <c r="N389" s="2">
        <v>11446.16</v>
      </c>
      <c r="O389" s="2">
        <v>2601.7199999999998</v>
      </c>
      <c r="P389" t="s">
        <v>48</v>
      </c>
      <c r="Q389" t="s">
        <v>28</v>
      </c>
      <c r="R389" t="str">
        <f>TEXT(Table1[[#This Row],[Order Date]],"mmmm")</f>
        <v>October</v>
      </c>
      <c r="S389">
        <f>YEAR(Table1[[#This Row],[Order Date]])</f>
        <v>2025</v>
      </c>
    </row>
    <row r="390" spans="1:19" x14ac:dyDescent="0.3">
      <c r="A390" t="s">
        <v>832</v>
      </c>
      <c r="B390" s="1">
        <v>45945</v>
      </c>
      <c r="C390" t="s">
        <v>35</v>
      </c>
      <c r="D390" t="s">
        <v>36</v>
      </c>
      <c r="E390" t="s">
        <v>66</v>
      </c>
      <c r="F390" t="s">
        <v>37</v>
      </c>
      <c r="G390" t="s">
        <v>45</v>
      </c>
      <c r="H390" t="s">
        <v>67</v>
      </c>
      <c r="I390" t="s">
        <v>833</v>
      </c>
      <c r="J390">
        <v>3</v>
      </c>
      <c r="K390" s="2">
        <v>4151.28</v>
      </c>
      <c r="L390">
        <v>5</v>
      </c>
      <c r="M390" s="2">
        <v>11831.15</v>
      </c>
      <c r="N390" s="2">
        <v>7099</v>
      </c>
      <c r="O390" s="2">
        <v>4732.1499999999996</v>
      </c>
      <c r="P390" t="s">
        <v>27</v>
      </c>
      <c r="Q390" t="s">
        <v>28</v>
      </c>
      <c r="R390" t="str">
        <f>TEXT(Table1[[#This Row],[Order Date]],"mmmm")</f>
        <v>October</v>
      </c>
      <c r="S390">
        <f>YEAR(Table1[[#This Row],[Order Date]])</f>
        <v>2025</v>
      </c>
    </row>
    <row r="391" spans="1:19" x14ac:dyDescent="0.3">
      <c r="A391" t="s">
        <v>834</v>
      </c>
      <c r="B391" s="1">
        <v>46135</v>
      </c>
      <c r="C391" t="s">
        <v>70</v>
      </c>
      <c r="D391" t="s">
        <v>71</v>
      </c>
      <c r="E391" t="s">
        <v>113</v>
      </c>
      <c r="F391" t="s">
        <v>23</v>
      </c>
      <c r="G391" t="s">
        <v>45</v>
      </c>
      <c r="H391" t="s">
        <v>46</v>
      </c>
      <c r="I391" t="s">
        <v>835</v>
      </c>
      <c r="J391">
        <v>2</v>
      </c>
      <c r="K391" s="2">
        <v>1462.65</v>
      </c>
      <c r="L391">
        <v>5</v>
      </c>
      <c r="M391" s="2">
        <v>2779.03</v>
      </c>
      <c r="N391" s="2">
        <v>2139.38</v>
      </c>
      <c r="O391" s="2">
        <v>639.65</v>
      </c>
      <c r="P391" t="s">
        <v>27</v>
      </c>
      <c r="Q391" t="s">
        <v>28</v>
      </c>
      <c r="R391" t="str">
        <f>TEXT(Table1[[#This Row],[Order Date]],"mmmm")</f>
        <v>April</v>
      </c>
      <c r="S391">
        <f>YEAR(Table1[[#This Row],[Order Date]])</f>
        <v>2026</v>
      </c>
    </row>
    <row r="392" spans="1:19" x14ac:dyDescent="0.3">
      <c r="A392" t="s">
        <v>836</v>
      </c>
      <c r="B392" s="1">
        <v>45852</v>
      </c>
      <c r="C392" t="s">
        <v>86</v>
      </c>
      <c r="D392" t="s">
        <v>87</v>
      </c>
      <c r="E392" t="s">
        <v>44</v>
      </c>
      <c r="F392" t="s">
        <v>37</v>
      </c>
      <c r="G392" t="s">
        <v>45</v>
      </c>
      <c r="H392" t="s">
        <v>123</v>
      </c>
      <c r="I392" t="s">
        <v>837</v>
      </c>
      <c r="J392">
        <v>9</v>
      </c>
      <c r="K392" s="2">
        <v>235.1</v>
      </c>
      <c r="L392">
        <v>10</v>
      </c>
      <c r="M392" s="2">
        <v>1904.31</v>
      </c>
      <c r="N392" s="2">
        <v>1253.94</v>
      </c>
      <c r="O392" s="2">
        <v>650.37</v>
      </c>
      <c r="P392" t="s">
        <v>27</v>
      </c>
      <c r="Q392" t="s">
        <v>28</v>
      </c>
      <c r="R392" t="str">
        <f>TEXT(Table1[[#This Row],[Order Date]],"mmmm")</f>
        <v>July</v>
      </c>
      <c r="S392">
        <f>YEAR(Table1[[#This Row],[Order Date]])</f>
        <v>2025</v>
      </c>
    </row>
    <row r="393" spans="1:19" x14ac:dyDescent="0.3">
      <c r="A393" t="s">
        <v>838</v>
      </c>
      <c r="B393" s="1">
        <v>46050</v>
      </c>
      <c r="C393" t="s">
        <v>20</v>
      </c>
      <c r="D393" t="s">
        <v>21</v>
      </c>
      <c r="E393" t="s">
        <v>66</v>
      </c>
      <c r="F393" t="s">
        <v>23</v>
      </c>
      <c r="G393" t="s">
        <v>38</v>
      </c>
      <c r="H393" t="s">
        <v>91</v>
      </c>
      <c r="I393" t="s">
        <v>839</v>
      </c>
      <c r="J393">
        <v>6</v>
      </c>
      <c r="K393" s="2">
        <v>975.63</v>
      </c>
      <c r="L393">
        <v>20</v>
      </c>
      <c r="M393" s="2">
        <v>4683.0200000000004</v>
      </c>
      <c r="N393" s="2">
        <v>2610.19</v>
      </c>
      <c r="O393" s="2">
        <v>2072.83</v>
      </c>
      <c r="P393" t="s">
        <v>27</v>
      </c>
      <c r="Q393" t="s">
        <v>49</v>
      </c>
      <c r="R393" t="str">
        <f>TEXT(Table1[[#This Row],[Order Date]],"mmmm")</f>
        <v>January</v>
      </c>
      <c r="S393">
        <f>YEAR(Table1[[#This Row],[Order Date]])</f>
        <v>2026</v>
      </c>
    </row>
    <row r="394" spans="1:19" x14ac:dyDescent="0.3">
      <c r="A394" t="s">
        <v>840</v>
      </c>
      <c r="B394" s="1">
        <v>45798</v>
      </c>
      <c r="C394" t="s">
        <v>70</v>
      </c>
      <c r="D394" t="s">
        <v>71</v>
      </c>
      <c r="E394" t="s">
        <v>113</v>
      </c>
      <c r="F394" t="s">
        <v>23</v>
      </c>
      <c r="G394" t="s">
        <v>38</v>
      </c>
      <c r="H394" t="s">
        <v>63</v>
      </c>
      <c r="I394" t="s">
        <v>841</v>
      </c>
      <c r="J394">
        <v>12</v>
      </c>
      <c r="K394" s="2">
        <v>4131.1000000000004</v>
      </c>
      <c r="L394">
        <v>20</v>
      </c>
      <c r="M394" s="2">
        <v>39658.559999999998</v>
      </c>
      <c r="N394" s="2">
        <v>23221.599999999999</v>
      </c>
      <c r="O394" s="2">
        <v>16436.96</v>
      </c>
      <c r="P394" t="s">
        <v>48</v>
      </c>
      <c r="Q394" t="s">
        <v>61</v>
      </c>
      <c r="R394" t="str">
        <f>TEXT(Table1[[#This Row],[Order Date]],"mmmm")</f>
        <v>May</v>
      </c>
      <c r="S394">
        <f>YEAR(Table1[[#This Row],[Order Date]])</f>
        <v>2025</v>
      </c>
    </row>
    <row r="395" spans="1:19" x14ac:dyDescent="0.3">
      <c r="A395" t="s">
        <v>842</v>
      </c>
      <c r="B395" s="1">
        <v>46190</v>
      </c>
      <c r="C395" t="s">
        <v>20</v>
      </c>
      <c r="D395" t="s">
        <v>21</v>
      </c>
      <c r="E395" t="s">
        <v>30</v>
      </c>
      <c r="F395" t="s">
        <v>37</v>
      </c>
      <c r="G395" t="s">
        <v>45</v>
      </c>
      <c r="H395" t="s">
        <v>123</v>
      </c>
      <c r="I395" t="s">
        <v>843</v>
      </c>
      <c r="J395">
        <v>12</v>
      </c>
      <c r="K395" s="2">
        <v>2205.58</v>
      </c>
      <c r="L395">
        <v>20</v>
      </c>
      <c r="M395" s="2">
        <v>21173.57</v>
      </c>
      <c r="N395" s="2">
        <v>13734.98</v>
      </c>
      <c r="O395" s="2">
        <v>7438.59</v>
      </c>
      <c r="P395" t="s">
        <v>27</v>
      </c>
      <c r="Q395" t="s">
        <v>42</v>
      </c>
      <c r="R395" t="str">
        <f>TEXT(Table1[[#This Row],[Order Date]],"mmmm")</f>
        <v>June</v>
      </c>
      <c r="S395">
        <f>YEAR(Table1[[#This Row],[Order Date]])</f>
        <v>2026</v>
      </c>
    </row>
    <row r="396" spans="1:19" x14ac:dyDescent="0.3">
      <c r="A396" t="s">
        <v>844</v>
      </c>
      <c r="B396" s="1">
        <v>45789</v>
      </c>
      <c r="C396" t="s">
        <v>20</v>
      </c>
      <c r="D396" t="s">
        <v>21</v>
      </c>
      <c r="E396" t="s">
        <v>22</v>
      </c>
      <c r="F396" t="s">
        <v>23</v>
      </c>
      <c r="G396" t="s">
        <v>24</v>
      </c>
      <c r="H396" t="s">
        <v>25</v>
      </c>
      <c r="I396" t="s">
        <v>845</v>
      </c>
      <c r="J396">
        <v>13</v>
      </c>
      <c r="K396" s="2">
        <v>2252.58</v>
      </c>
      <c r="L396">
        <v>10</v>
      </c>
      <c r="M396" s="2">
        <v>26355.19</v>
      </c>
      <c r="N396" s="2">
        <v>19861.55</v>
      </c>
      <c r="O396" s="2">
        <v>6493.64</v>
      </c>
      <c r="P396" t="s">
        <v>27</v>
      </c>
      <c r="Q396" t="s">
        <v>28</v>
      </c>
      <c r="R396" t="str">
        <f>TEXT(Table1[[#This Row],[Order Date]],"mmmm")</f>
        <v>May</v>
      </c>
      <c r="S396">
        <f>YEAR(Table1[[#This Row],[Order Date]])</f>
        <v>2025</v>
      </c>
    </row>
    <row r="397" spans="1:19" x14ac:dyDescent="0.3">
      <c r="A397" t="s">
        <v>846</v>
      </c>
      <c r="B397" s="1">
        <v>45850</v>
      </c>
      <c r="C397" t="s">
        <v>70</v>
      </c>
      <c r="D397" t="s">
        <v>71</v>
      </c>
      <c r="E397" t="s">
        <v>66</v>
      </c>
      <c r="F397" t="s">
        <v>31</v>
      </c>
      <c r="G397" t="s">
        <v>38</v>
      </c>
      <c r="H397" t="s">
        <v>72</v>
      </c>
      <c r="I397" t="s">
        <v>847</v>
      </c>
      <c r="J397">
        <v>14</v>
      </c>
      <c r="K397" s="2">
        <v>4481.07</v>
      </c>
      <c r="L397">
        <v>20</v>
      </c>
      <c r="M397" s="2">
        <v>50187.98</v>
      </c>
      <c r="N397" s="2">
        <v>30257.57</v>
      </c>
      <c r="O397" s="2">
        <v>19930.41</v>
      </c>
      <c r="P397" t="s">
        <v>48</v>
      </c>
      <c r="Q397" t="s">
        <v>49</v>
      </c>
      <c r="R397" t="str">
        <f>TEXT(Table1[[#This Row],[Order Date]],"mmmm")</f>
        <v>July</v>
      </c>
      <c r="S397">
        <f>YEAR(Table1[[#This Row],[Order Date]])</f>
        <v>2025</v>
      </c>
    </row>
    <row r="398" spans="1:19" x14ac:dyDescent="0.3">
      <c r="A398" t="s">
        <v>848</v>
      </c>
      <c r="B398" s="1">
        <v>45721</v>
      </c>
      <c r="C398" t="s">
        <v>35</v>
      </c>
      <c r="D398" t="s">
        <v>59</v>
      </c>
      <c r="E398" t="s">
        <v>22</v>
      </c>
      <c r="F398" t="s">
        <v>37</v>
      </c>
      <c r="G398" t="s">
        <v>45</v>
      </c>
      <c r="H398" t="s">
        <v>46</v>
      </c>
      <c r="I398" t="s">
        <v>849</v>
      </c>
      <c r="J398">
        <v>11</v>
      </c>
      <c r="K398" s="2">
        <v>3378.14</v>
      </c>
      <c r="L398">
        <v>0</v>
      </c>
      <c r="M398" s="2">
        <v>37159.54</v>
      </c>
      <c r="N398" s="2">
        <v>28208.43</v>
      </c>
      <c r="O398" s="2">
        <v>8951.11</v>
      </c>
      <c r="P398" t="s">
        <v>27</v>
      </c>
      <c r="Q398" t="s">
        <v>42</v>
      </c>
      <c r="R398" t="str">
        <f>TEXT(Table1[[#This Row],[Order Date]],"mmmm")</f>
        <v>March</v>
      </c>
      <c r="S398">
        <f>YEAR(Table1[[#This Row],[Order Date]])</f>
        <v>2025</v>
      </c>
    </row>
    <row r="399" spans="1:19" x14ac:dyDescent="0.3">
      <c r="A399" t="s">
        <v>850</v>
      </c>
      <c r="B399" s="1">
        <v>45875</v>
      </c>
      <c r="C399" t="s">
        <v>20</v>
      </c>
      <c r="D399" t="s">
        <v>55</v>
      </c>
      <c r="E399" t="s">
        <v>30</v>
      </c>
      <c r="F399" t="s">
        <v>31</v>
      </c>
      <c r="G399" t="s">
        <v>24</v>
      </c>
      <c r="H399" t="s">
        <v>171</v>
      </c>
      <c r="I399" t="s">
        <v>851</v>
      </c>
      <c r="J399">
        <v>5</v>
      </c>
      <c r="K399" s="2">
        <v>2809.5</v>
      </c>
      <c r="L399">
        <v>20</v>
      </c>
      <c r="M399" s="2">
        <v>11238</v>
      </c>
      <c r="N399" s="2">
        <v>7906.12</v>
      </c>
      <c r="O399" s="2">
        <v>3331.88</v>
      </c>
      <c r="P399" t="s">
        <v>41</v>
      </c>
      <c r="Q399" t="s">
        <v>49</v>
      </c>
      <c r="R399" t="str">
        <f>TEXT(Table1[[#This Row],[Order Date]],"mmmm")</f>
        <v>August</v>
      </c>
      <c r="S399">
        <f>YEAR(Table1[[#This Row],[Order Date]])</f>
        <v>2025</v>
      </c>
    </row>
    <row r="400" spans="1:19" x14ac:dyDescent="0.3">
      <c r="A400" t="s">
        <v>852</v>
      </c>
      <c r="B400" s="1">
        <v>46199</v>
      </c>
      <c r="C400" t="s">
        <v>70</v>
      </c>
      <c r="D400" t="s">
        <v>75</v>
      </c>
      <c r="E400" t="s">
        <v>113</v>
      </c>
      <c r="F400" t="s">
        <v>23</v>
      </c>
      <c r="G400" t="s">
        <v>24</v>
      </c>
      <c r="H400" t="s">
        <v>171</v>
      </c>
      <c r="I400" t="s">
        <v>853</v>
      </c>
      <c r="J400">
        <v>11</v>
      </c>
      <c r="K400" s="2">
        <v>3433.26</v>
      </c>
      <c r="L400">
        <v>20</v>
      </c>
      <c r="M400" s="2">
        <v>30212.69</v>
      </c>
      <c r="N400" s="2">
        <v>19560.38</v>
      </c>
      <c r="O400" s="2">
        <v>10652.31</v>
      </c>
      <c r="P400" t="s">
        <v>48</v>
      </c>
      <c r="Q400" t="s">
        <v>61</v>
      </c>
      <c r="R400" t="str">
        <f>TEXT(Table1[[#This Row],[Order Date]],"mmmm")</f>
        <v>June</v>
      </c>
      <c r="S400">
        <f>YEAR(Table1[[#This Row],[Order Date]])</f>
        <v>2026</v>
      </c>
    </row>
    <row r="401" spans="1:19" x14ac:dyDescent="0.3">
      <c r="A401" t="s">
        <v>854</v>
      </c>
      <c r="B401" s="1">
        <v>45997</v>
      </c>
      <c r="C401" t="s">
        <v>20</v>
      </c>
      <c r="D401" t="s">
        <v>55</v>
      </c>
      <c r="E401" t="s">
        <v>170</v>
      </c>
      <c r="F401" t="s">
        <v>23</v>
      </c>
      <c r="G401" t="s">
        <v>45</v>
      </c>
      <c r="H401" t="s">
        <v>67</v>
      </c>
      <c r="I401" t="s">
        <v>855</v>
      </c>
      <c r="J401">
        <v>1</v>
      </c>
      <c r="K401" s="2">
        <v>3837.1</v>
      </c>
      <c r="L401">
        <v>10</v>
      </c>
      <c r="M401" s="2">
        <v>3453.39</v>
      </c>
      <c r="N401" s="2">
        <v>2269.62</v>
      </c>
      <c r="O401" s="2">
        <v>1183.77</v>
      </c>
      <c r="P401" t="s">
        <v>27</v>
      </c>
      <c r="Q401" t="s">
        <v>61</v>
      </c>
      <c r="R401" t="str">
        <f>TEXT(Table1[[#This Row],[Order Date]],"mmmm")</f>
        <v>December</v>
      </c>
      <c r="S401">
        <f>YEAR(Table1[[#This Row],[Order Date]])</f>
        <v>2025</v>
      </c>
    </row>
    <row r="402" spans="1:19" x14ac:dyDescent="0.3">
      <c r="A402" t="s">
        <v>856</v>
      </c>
      <c r="B402" s="1">
        <v>46064</v>
      </c>
      <c r="C402" t="s">
        <v>86</v>
      </c>
      <c r="D402" t="s">
        <v>87</v>
      </c>
      <c r="E402" t="s">
        <v>51</v>
      </c>
      <c r="F402" t="s">
        <v>37</v>
      </c>
      <c r="G402" t="s">
        <v>38</v>
      </c>
      <c r="H402" t="s">
        <v>106</v>
      </c>
      <c r="I402" t="s">
        <v>857</v>
      </c>
      <c r="J402">
        <v>6</v>
      </c>
      <c r="K402" s="2">
        <v>434.07</v>
      </c>
      <c r="L402">
        <v>10</v>
      </c>
      <c r="M402" s="2">
        <v>2343.98</v>
      </c>
      <c r="N402" s="2">
        <v>1384.15</v>
      </c>
      <c r="O402" s="2">
        <v>959.83</v>
      </c>
      <c r="P402" t="s">
        <v>48</v>
      </c>
      <c r="Q402" t="s">
        <v>49</v>
      </c>
      <c r="R402" t="str">
        <f>TEXT(Table1[[#This Row],[Order Date]],"mmmm")</f>
        <v>February</v>
      </c>
      <c r="S402">
        <f>YEAR(Table1[[#This Row],[Order Date]])</f>
        <v>2026</v>
      </c>
    </row>
    <row r="403" spans="1:19" x14ac:dyDescent="0.3">
      <c r="A403" t="s">
        <v>858</v>
      </c>
      <c r="B403" s="1">
        <v>45841</v>
      </c>
      <c r="C403" t="s">
        <v>70</v>
      </c>
      <c r="D403" t="s">
        <v>71</v>
      </c>
      <c r="E403" t="s">
        <v>120</v>
      </c>
      <c r="F403" t="s">
        <v>23</v>
      </c>
      <c r="G403" t="s">
        <v>24</v>
      </c>
      <c r="H403" t="s">
        <v>56</v>
      </c>
      <c r="I403" t="s">
        <v>859</v>
      </c>
      <c r="J403">
        <v>10</v>
      </c>
      <c r="K403" s="2">
        <v>2062.3000000000002</v>
      </c>
      <c r="L403">
        <v>20</v>
      </c>
      <c r="M403" s="2">
        <v>16498.400000000001</v>
      </c>
      <c r="N403" s="2">
        <v>9300.2199999999993</v>
      </c>
      <c r="O403" s="2">
        <v>7198.18</v>
      </c>
      <c r="P403" t="s">
        <v>27</v>
      </c>
      <c r="Q403" t="s">
        <v>42</v>
      </c>
      <c r="R403" t="str">
        <f>TEXT(Table1[[#This Row],[Order Date]],"mmmm")</f>
        <v>July</v>
      </c>
      <c r="S403">
        <f>YEAR(Table1[[#This Row],[Order Date]])</f>
        <v>2025</v>
      </c>
    </row>
    <row r="404" spans="1:19" x14ac:dyDescent="0.3">
      <c r="A404" t="s">
        <v>860</v>
      </c>
      <c r="B404" s="1">
        <v>45730</v>
      </c>
      <c r="C404" t="s">
        <v>70</v>
      </c>
      <c r="D404" t="s">
        <v>71</v>
      </c>
      <c r="E404" t="s">
        <v>51</v>
      </c>
      <c r="F404" t="s">
        <v>23</v>
      </c>
      <c r="G404" t="s">
        <v>38</v>
      </c>
      <c r="H404" t="s">
        <v>91</v>
      </c>
      <c r="I404" t="s">
        <v>861</v>
      </c>
      <c r="J404">
        <v>5</v>
      </c>
      <c r="K404" s="2">
        <v>2740.47</v>
      </c>
      <c r="L404">
        <v>5</v>
      </c>
      <c r="M404" s="2">
        <v>13017.23</v>
      </c>
      <c r="N404" s="2">
        <v>9928.07</v>
      </c>
      <c r="O404" s="2">
        <v>3089.16</v>
      </c>
      <c r="P404" t="s">
        <v>41</v>
      </c>
      <c r="Q404" t="s">
        <v>28</v>
      </c>
      <c r="R404" t="str">
        <f>TEXT(Table1[[#This Row],[Order Date]],"mmmm")</f>
        <v>March</v>
      </c>
      <c r="S404">
        <f>YEAR(Table1[[#This Row],[Order Date]])</f>
        <v>2025</v>
      </c>
    </row>
    <row r="405" spans="1:19" x14ac:dyDescent="0.3">
      <c r="A405" t="s">
        <v>862</v>
      </c>
      <c r="B405" s="1">
        <v>46058</v>
      </c>
      <c r="C405" t="s">
        <v>35</v>
      </c>
      <c r="D405" t="s">
        <v>36</v>
      </c>
      <c r="E405" t="s">
        <v>66</v>
      </c>
      <c r="F405" t="s">
        <v>31</v>
      </c>
      <c r="G405" t="s">
        <v>45</v>
      </c>
      <c r="H405" t="s">
        <v>52</v>
      </c>
      <c r="I405" t="s">
        <v>863</v>
      </c>
      <c r="J405">
        <v>7</v>
      </c>
      <c r="K405" s="2">
        <v>4656.8100000000004</v>
      </c>
      <c r="L405">
        <v>20</v>
      </c>
      <c r="M405" s="2">
        <v>26078.14</v>
      </c>
      <c r="N405" s="2">
        <v>14853.31</v>
      </c>
      <c r="O405" s="2">
        <v>11224.83</v>
      </c>
      <c r="P405" t="s">
        <v>41</v>
      </c>
      <c r="Q405" t="s">
        <v>49</v>
      </c>
      <c r="R405" t="str">
        <f>TEXT(Table1[[#This Row],[Order Date]],"mmmm")</f>
        <v>February</v>
      </c>
      <c r="S405">
        <f>YEAR(Table1[[#This Row],[Order Date]])</f>
        <v>2026</v>
      </c>
    </row>
    <row r="406" spans="1:19" x14ac:dyDescent="0.3">
      <c r="A406" t="s">
        <v>864</v>
      </c>
      <c r="B406" s="1">
        <v>45974</v>
      </c>
      <c r="C406" t="s">
        <v>86</v>
      </c>
      <c r="D406" t="s">
        <v>90</v>
      </c>
      <c r="E406" t="s">
        <v>113</v>
      </c>
      <c r="F406" t="s">
        <v>31</v>
      </c>
      <c r="G406" t="s">
        <v>45</v>
      </c>
      <c r="H406" t="s">
        <v>123</v>
      </c>
      <c r="I406" t="s">
        <v>865</v>
      </c>
      <c r="J406">
        <v>14</v>
      </c>
      <c r="K406" s="2">
        <v>1385.74</v>
      </c>
      <c r="L406">
        <v>5</v>
      </c>
      <c r="M406" s="2">
        <v>18430.34</v>
      </c>
      <c r="N406" s="2">
        <v>14676.15</v>
      </c>
      <c r="O406" s="2">
        <v>3754.19</v>
      </c>
      <c r="P406" t="s">
        <v>41</v>
      </c>
      <c r="Q406" t="s">
        <v>42</v>
      </c>
      <c r="R406" t="str">
        <f>TEXT(Table1[[#This Row],[Order Date]],"mmmm")</f>
        <v>November</v>
      </c>
      <c r="S406">
        <f>YEAR(Table1[[#This Row],[Order Date]])</f>
        <v>2025</v>
      </c>
    </row>
    <row r="407" spans="1:19" x14ac:dyDescent="0.3">
      <c r="A407" t="s">
        <v>866</v>
      </c>
      <c r="B407" s="1">
        <v>46163</v>
      </c>
      <c r="C407" t="s">
        <v>20</v>
      </c>
      <c r="D407" t="s">
        <v>21</v>
      </c>
      <c r="E407" t="s">
        <v>44</v>
      </c>
      <c r="F407" t="s">
        <v>31</v>
      </c>
      <c r="G407" t="s">
        <v>45</v>
      </c>
      <c r="H407" t="s">
        <v>52</v>
      </c>
      <c r="I407" t="s">
        <v>442</v>
      </c>
      <c r="J407">
        <v>7</v>
      </c>
      <c r="K407" s="2">
        <v>3072.15</v>
      </c>
      <c r="L407">
        <v>15</v>
      </c>
      <c r="M407" s="2">
        <v>18279.29</v>
      </c>
      <c r="N407" s="2">
        <v>13835.37</v>
      </c>
      <c r="O407" s="2">
        <v>4443.92</v>
      </c>
      <c r="P407" t="s">
        <v>27</v>
      </c>
      <c r="Q407" t="s">
        <v>49</v>
      </c>
      <c r="R407" t="str">
        <f>TEXT(Table1[[#This Row],[Order Date]],"mmmm")</f>
        <v>May</v>
      </c>
      <c r="S407">
        <f>YEAR(Table1[[#This Row],[Order Date]])</f>
        <v>2026</v>
      </c>
    </row>
    <row r="408" spans="1:19" x14ac:dyDescent="0.3">
      <c r="A408" t="s">
        <v>867</v>
      </c>
      <c r="B408" s="1">
        <v>45922</v>
      </c>
      <c r="C408" t="s">
        <v>35</v>
      </c>
      <c r="D408" t="s">
        <v>36</v>
      </c>
      <c r="E408" t="s">
        <v>120</v>
      </c>
      <c r="F408" t="s">
        <v>23</v>
      </c>
      <c r="G408" t="s">
        <v>38</v>
      </c>
      <c r="H408" t="s">
        <v>91</v>
      </c>
      <c r="I408" t="s">
        <v>868</v>
      </c>
      <c r="J408">
        <v>15</v>
      </c>
      <c r="K408" s="2">
        <v>1365.63</v>
      </c>
      <c r="L408">
        <v>10</v>
      </c>
      <c r="M408" s="2">
        <v>18436.009999999998</v>
      </c>
      <c r="N408" s="2">
        <v>12024.87</v>
      </c>
      <c r="O408" s="2">
        <v>6411.14</v>
      </c>
      <c r="P408" t="s">
        <v>48</v>
      </c>
      <c r="Q408" t="s">
        <v>61</v>
      </c>
      <c r="R408" t="str">
        <f>TEXT(Table1[[#This Row],[Order Date]],"mmmm")</f>
        <v>September</v>
      </c>
      <c r="S408">
        <f>YEAR(Table1[[#This Row],[Order Date]])</f>
        <v>2025</v>
      </c>
    </row>
    <row r="409" spans="1:19" x14ac:dyDescent="0.3">
      <c r="A409" t="s">
        <v>869</v>
      </c>
      <c r="B409" s="1">
        <v>45861</v>
      </c>
      <c r="C409" t="s">
        <v>35</v>
      </c>
      <c r="D409" t="s">
        <v>36</v>
      </c>
      <c r="E409" t="s">
        <v>22</v>
      </c>
      <c r="F409" t="s">
        <v>37</v>
      </c>
      <c r="G409" t="s">
        <v>38</v>
      </c>
      <c r="H409" t="s">
        <v>72</v>
      </c>
      <c r="I409" t="s">
        <v>870</v>
      </c>
      <c r="J409">
        <v>11</v>
      </c>
      <c r="K409" s="2">
        <v>2864.04</v>
      </c>
      <c r="L409">
        <v>15</v>
      </c>
      <c r="M409" s="2">
        <v>26778.77</v>
      </c>
      <c r="N409" s="2">
        <v>16257.97</v>
      </c>
      <c r="O409" s="2">
        <v>10520.8</v>
      </c>
      <c r="P409" t="s">
        <v>48</v>
      </c>
      <c r="Q409" t="s">
        <v>49</v>
      </c>
      <c r="R409" t="str">
        <f>TEXT(Table1[[#This Row],[Order Date]],"mmmm")</f>
        <v>July</v>
      </c>
      <c r="S409">
        <f>YEAR(Table1[[#This Row],[Order Date]])</f>
        <v>2025</v>
      </c>
    </row>
    <row r="410" spans="1:19" x14ac:dyDescent="0.3">
      <c r="A410" t="s">
        <v>871</v>
      </c>
      <c r="B410" s="1">
        <v>45771</v>
      </c>
      <c r="C410" t="s">
        <v>70</v>
      </c>
      <c r="D410" t="s">
        <v>71</v>
      </c>
      <c r="E410" t="s">
        <v>113</v>
      </c>
      <c r="F410" t="s">
        <v>23</v>
      </c>
      <c r="G410" t="s">
        <v>38</v>
      </c>
      <c r="H410" t="s">
        <v>106</v>
      </c>
      <c r="I410" t="s">
        <v>872</v>
      </c>
      <c r="J410">
        <v>7</v>
      </c>
      <c r="K410" s="2">
        <v>4744.82</v>
      </c>
      <c r="L410">
        <v>0</v>
      </c>
      <c r="M410" s="2">
        <v>33213.74</v>
      </c>
      <c r="N410" s="2">
        <v>20681.689999999999</v>
      </c>
      <c r="O410" s="2">
        <v>12532.05</v>
      </c>
      <c r="P410" t="s">
        <v>41</v>
      </c>
      <c r="Q410" t="s">
        <v>28</v>
      </c>
      <c r="R410" t="str">
        <f>TEXT(Table1[[#This Row],[Order Date]],"mmmm")</f>
        <v>April</v>
      </c>
      <c r="S410">
        <f>YEAR(Table1[[#This Row],[Order Date]])</f>
        <v>2025</v>
      </c>
    </row>
    <row r="411" spans="1:19" x14ac:dyDescent="0.3">
      <c r="A411" t="s">
        <v>873</v>
      </c>
      <c r="B411" s="1">
        <v>45883</v>
      </c>
      <c r="C411" t="s">
        <v>70</v>
      </c>
      <c r="D411" t="s">
        <v>71</v>
      </c>
      <c r="E411" t="s">
        <v>22</v>
      </c>
      <c r="F411" t="s">
        <v>31</v>
      </c>
      <c r="G411" t="s">
        <v>24</v>
      </c>
      <c r="H411" t="s">
        <v>32</v>
      </c>
      <c r="I411" t="s">
        <v>874</v>
      </c>
      <c r="J411">
        <v>11</v>
      </c>
      <c r="K411" s="2">
        <v>203.18</v>
      </c>
      <c r="L411">
        <v>10</v>
      </c>
      <c r="M411" s="2">
        <v>2011.48</v>
      </c>
      <c r="N411" s="2">
        <v>1202.3399999999999</v>
      </c>
      <c r="O411" s="2">
        <v>809.14</v>
      </c>
      <c r="P411" t="s">
        <v>41</v>
      </c>
      <c r="Q411" t="s">
        <v>61</v>
      </c>
      <c r="R411" t="str">
        <f>TEXT(Table1[[#This Row],[Order Date]],"mmmm")</f>
        <v>August</v>
      </c>
      <c r="S411">
        <f>YEAR(Table1[[#This Row],[Order Date]])</f>
        <v>2025</v>
      </c>
    </row>
    <row r="412" spans="1:19" x14ac:dyDescent="0.3">
      <c r="A412" t="s">
        <v>875</v>
      </c>
      <c r="B412" s="1">
        <v>46077</v>
      </c>
      <c r="C412" t="s">
        <v>20</v>
      </c>
      <c r="D412" t="s">
        <v>55</v>
      </c>
      <c r="E412" t="s">
        <v>22</v>
      </c>
      <c r="F412" t="s">
        <v>23</v>
      </c>
      <c r="G412" t="s">
        <v>38</v>
      </c>
      <c r="H412" t="s">
        <v>72</v>
      </c>
      <c r="I412" t="s">
        <v>876</v>
      </c>
      <c r="J412">
        <v>14</v>
      </c>
      <c r="K412" s="2">
        <v>3664.62</v>
      </c>
      <c r="L412">
        <v>5</v>
      </c>
      <c r="M412" s="2">
        <v>48739.45</v>
      </c>
      <c r="N412" s="2">
        <v>29908.11</v>
      </c>
      <c r="O412" s="2">
        <v>18831.34</v>
      </c>
      <c r="P412" t="s">
        <v>27</v>
      </c>
      <c r="Q412" t="s">
        <v>28</v>
      </c>
      <c r="R412" t="str">
        <f>TEXT(Table1[[#This Row],[Order Date]],"mmmm")</f>
        <v>February</v>
      </c>
      <c r="S412">
        <f>YEAR(Table1[[#This Row],[Order Date]])</f>
        <v>2026</v>
      </c>
    </row>
    <row r="413" spans="1:19" x14ac:dyDescent="0.3">
      <c r="A413" t="s">
        <v>877</v>
      </c>
      <c r="B413" s="1">
        <v>45958</v>
      </c>
      <c r="C413" t="s">
        <v>35</v>
      </c>
      <c r="D413" t="s">
        <v>59</v>
      </c>
      <c r="E413" t="s">
        <v>120</v>
      </c>
      <c r="F413" t="s">
        <v>37</v>
      </c>
      <c r="G413" t="s">
        <v>24</v>
      </c>
      <c r="H413" t="s">
        <v>32</v>
      </c>
      <c r="I413" t="s">
        <v>878</v>
      </c>
      <c r="J413">
        <v>14</v>
      </c>
      <c r="K413" s="2">
        <v>2218.81</v>
      </c>
      <c r="L413">
        <v>0</v>
      </c>
      <c r="M413" s="2">
        <v>31063.34</v>
      </c>
      <c r="N413" s="2">
        <v>21651.29</v>
      </c>
      <c r="O413" s="2">
        <v>9412.0499999999993</v>
      </c>
      <c r="P413" t="s">
        <v>41</v>
      </c>
      <c r="Q413" t="s">
        <v>61</v>
      </c>
      <c r="R413" t="str">
        <f>TEXT(Table1[[#This Row],[Order Date]],"mmmm")</f>
        <v>October</v>
      </c>
      <c r="S413">
        <f>YEAR(Table1[[#This Row],[Order Date]])</f>
        <v>2025</v>
      </c>
    </row>
    <row r="414" spans="1:19" x14ac:dyDescent="0.3">
      <c r="A414" t="s">
        <v>879</v>
      </c>
      <c r="B414" s="1">
        <v>45675</v>
      </c>
      <c r="C414" t="s">
        <v>86</v>
      </c>
      <c r="D414" t="s">
        <v>87</v>
      </c>
      <c r="E414" t="s">
        <v>170</v>
      </c>
      <c r="F414" t="s">
        <v>31</v>
      </c>
      <c r="G414" t="s">
        <v>24</v>
      </c>
      <c r="H414" t="s">
        <v>56</v>
      </c>
      <c r="I414" t="s">
        <v>880</v>
      </c>
      <c r="J414">
        <v>7</v>
      </c>
      <c r="K414" s="2">
        <v>3178.2</v>
      </c>
      <c r="L414">
        <v>5</v>
      </c>
      <c r="M414" s="2">
        <v>21135.03</v>
      </c>
      <c r="N414" s="2">
        <v>12873.23</v>
      </c>
      <c r="O414" s="2">
        <v>8261.7999999999993</v>
      </c>
      <c r="P414" t="s">
        <v>48</v>
      </c>
      <c r="Q414" t="s">
        <v>42</v>
      </c>
      <c r="R414" t="str">
        <f>TEXT(Table1[[#This Row],[Order Date]],"mmmm")</f>
        <v>January</v>
      </c>
      <c r="S414">
        <f>YEAR(Table1[[#This Row],[Order Date]])</f>
        <v>2025</v>
      </c>
    </row>
    <row r="415" spans="1:19" x14ac:dyDescent="0.3">
      <c r="A415" t="s">
        <v>881</v>
      </c>
      <c r="B415" s="1">
        <v>45686</v>
      </c>
      <c r="C415" t="s">
        <v>35</v>
      </c>
      <c r="D415" t="s">
        <v>36</v>
      </c>
      <c r="E415" t="s">
        <v>66</v>
      </c>
      <c r="F415" t="s">
        <v>31</v>
      </c>
      <c r="G415" t="s">
        <v>24</v>
      </c>
      <c r="H415" t="s">
        <v>56</v>
      </c>
      <c r="I415" t="s">
        <v>882</v>
      </c>
      <c r="J415">
        <v>3</v>
      </c>
      <c r="K415" s="2">
        <v>4280.49</v>
      </c>
      <c r="L415">
        <v>15</v>
      </c>
      <c r="M415" s="2">
        <v>10915.25</v>
      </c>
      <c r="N415" s="2">
        <v>7429.99</v>
      </c>
      <c r="O415" s="2">
        <v>3485.26</v>
      </c>
      <c r="P415" t="s">
        <v>41</v>
      </c>
      <c r="Q415" t="s">
        <v>49</v>
      </c>
      <c r="R415" t="str">
        <f>TEXT(Table1[[#This Row],[Order Date]],"mmmm")</f>
        <v>January</v>
      </c>
      <c r="S415">
        <f>YEAR(Table1[[#This Row],[Order Date]])</f>
        <v>2025</v>
      </c>
    </row>
    <row r="416" spans="1:19" x14ac:dyDescent="0.3">
      <c r="A416" t="s">
        <v>883</v>
      </c>
      <c r="B416" s="1">
        <v>45901</v>
      </c>
      <c r="C416" t="s">
        <v>70</v>
      </c>
      <c r="D416" t="s">
        <v>75</v>
      </c>
      <c r="E416" t="s">
        <v>113</v>
      </c>
      <c r="F416" t="s">
        <v>37</v>
      </c>
      <c r="G416" t="s">
        <v>38</v>
      </c>
      <c r="H416" t="s">
        <v>63</v>
      </c>
      <c r="I416" t="s">
        <v>884</v>
      </c>
      <c r="J416">
        <v>15</v>
      </c>
      <c r="K416" s="2">
        <v>4841.09</v>
      </c>
      <c r="L416">
        <v>20</v>
      </c>
      <c r="M416" s="2">
        <v>58093.08</v>
      </c>
      <c r="N416" s="2">
        <v>43627.22</v>
      </c>
      <c r="O416" s="2">
        <v>14465.86</v>
      </c>
      <c r="P416" t="s">
        <v>27</v>
      </c>
      <c r="Q416" t="s">
        <v>61</v>
      </c>
      <c r="R416" t="str">
        <f>TEXT(Table1[[#This Row],[Order Date]],"mmmm")</f>
        <v>September</v>
      </c>
      <c r="S416">
        <f>YEAR(Table1[[#This Row],[Order Date]])</f>
        <v>2025</v>
      </c>
    </row>
    <row r="417" spans="1:19" x14ac:dyDescent="0.3">
      <c r="A417" t="s">
        <v>885</v>
      </c>
      <c r="B417" s="1">
        <v>45663</v>
      </c>
      <c r="C417" t="s">
        <v>70</v>
      </c>
      <c r="D417" t="s">
        <v>71</v>
      </c>
      <c r="E417" t="s">
        <v>170</v>
      </c>
      <c r="F417" t="s">
        <v>23</v>
      </c>
      <c r="G417" t="s">
        <v>45</v>
      </c>
      <c r="H417" t="s">
        <v>159</v>
      </c>
      <c r="I417" t="s">
        <v>886</v>
      </c>
      <c r="J417">
        <v>1</v>
      </c>
      <c r="K417" s="2">
        <v>1119.3900000000001</v>
      </c>
      <c r="L417">
        <v>5</v>
      </c>
      <c r="M417" s="2">
        <v>1063.42</v>
      </c>
      <c r="N417" s="2">
        <v>615.46</v>
      </c>
      <c r="O417" s="2">
        <v>447.96</v>
      </c>
      <c r="P417" t="s">
        <v>41</v>
      </c>
      <c r="Q417" t="s">
        <v>49</v>
      </c>
      <c r="R417" t="str">
        <f>TEXT(Table1[[#This Row],[Order Date]],"mmmm")</f>
        <v>January</v>
      </c>
      <c r="S417">
        <f>YEAR(Table1[[#This Row],[Order Date]])</f>
        <v>2025</v>
      </c>
    </row>
    <row r="418" spans="1:19" x14ac:dyDescent="0.3">
      <c r="A418" t="s">
        <v>887</v>
      </c>
      <c r="B418" s="1">
        <v>45773</v>
      </c>
      <c r="C418" t="s">
        <v>86</v>
      </c>
      <c r="D418" t="s">
        <v>90</v>
      </c>
      <c r="E418" t="s">
        <v>51</v>
      </c>
      <c r="F418" t="s">
        <v>23</v>
      </c>
      <c r="G418" t="s">
        <v>38</v>
      </c>
      <c r="H418" t="s">
        <v>39</v>
      </c>
      <c r="I418" t="s">
        <v>888</v>
      </c>
      <c r="J418">
        <v>2</v>
      </c>
      <c r="K418" s="2">
        <v>1822.22</v>
      </c>
      <c r="L418">
        <v>10</v>
      </c>
      <c r="M418" s="2">
        <v>3280</v>
      </c>
      <c r="N418" s="2">
        <v>2547.46</v>
      </c>
      <c r="O418" s="2">
        <v>732.54</v>
      </c>
      <c r="P418" t="s">
        <v>27</v>
      </c>
      <c r="Q418" t="s">
        <v>61</v>
      </c>
      <c r="R418" t="str">
        <f>TEXT(Table1[[#This Row],[Order Date]],"mmmm")</f>
        <v>April</v>
      </c>
      <c r="S418">
        <f>YEAR(Table1[[#This Row],[Order Date]])</f>
        <v>2025</v>
      </c>
    </row>
    <row r="419" spans="1:19" x14ac:dyDescent="0.3">
      <c r="A419" t="s">
        <v>889</v>
      </c>
      <c r="B419" s="1">
        <v>46095</v>
      </c>
      <c r="C419" t="s">
        <v>86</v>
      </c>
      <c r="D419" t="s">
        <v>87</v>
      </c>
      <c r="E419" t="s">
        <v>66</v>
      </c>
      <c r="F419" t="s">
        <v>31</v>
      </c>
      <c r="G419" t="s">
        <v>24</v>
      </c>
      <c r="H419" t="s">
        <v>56</v>
      </c>
      <c r="I419" t="s">
        <v>890</v>
      </c>
      <c r="J419">
        <v>10</v>
      </c>
      <c r="K419" s="2">
        <v>2893.68</v>
      </c>
      <c r="L419">
        <v>0</v>
      </c>
      <c r="M419" s="2">
        <v>28936.799999999999</v>
      </c>
      <c r="N419" s="2">
        <v>18864.37</v>
      </c>
      <c r="O419" s="2">
        <v>10072.43</v>
      </c>
      <c r="P419" t="s">
        <v>41</v>
      </c>
      <c r="Q419" t="s">
        <v>28</v>
      </c>
      <c r="R419" t="str">
        <f>TEXT(Table1[[#This Row],[Order Date]],"mmmm")</f>
        <v>March</v>
      </c>
      <c r="S419">
        <f>YEAR(Table1[[#This Row],[Order Date]])</f>
        <v>2026</v>
      </c>
    </row>
    <row r="420" spans="1:19" x14ac:dyDescent="0.3">
      <c r="A420" t="s">
        <v>891</v>
      </c>
      <c r="B420" s="1">
        <v>45990</v>
      </c>
      <c r="C420" t="s">
        <v>35</v>
      </c>
      <c r="D420" t="s">
        <v>59</v>
      </c>
      <c r="E420" t="s">
        <v>22</v>
      </c>
      <c r="F420" t="s">
        <v>31</v>
      </c>
      <c r="G420" t="s">
        <v>45</v>
      </c>
      <c r="H420" t="s">
        <v>46</v>
      </c>
      <c r="I420" t="s">
        <v>892</v>
      </c>
      <c r="J420">
        <v>1</v>
      </c>
      <c r="K420" s="2">
        <v>4661.03</v>
      </c>
      <c r="L420">
        <v>10</v>
      </c>
      <c r="M420" s="2">
        <v>4194.93</v>
      </c>
      <c r="N420" s="2">
        <v>2541.23</v>
      </c>
      <c r="O420" s="2">
        <v>1653.7</v>
      </c>
      <c r="P420" t="s">
        <v>48</v>
      </c>
      <c r="Q420" t="s">
        <v>42</v>
      </c>
      <c r="R420" t="str">
        <f>TEXT(Table1[[#This Row],[Order Date]],"mmmm")</f>
        <v>November</v>
      </c>
      <c r="S420">
        <f>YEAR(Table1[[#This Row],[Order Date]])</f>
        <v>2025</v>
      </c>
    </row>
    <row r="421" spans="1:19" x14ac:dyDescent="0.3">
      <c r="A421" t="s">
        <v>893</v>
      </c>
      <c r="B421" s="1">
        <v>45763</v>
      </c>
      <c r="C421" t="s">
        <v>86</v>
      </c>
      <c r="D421" t="s">
        <v>90</v>
      </c>
      <c r="E421" t="s">
        <v>22</v>
      </c>
      <c r="F421" t="s">
        <v>23</v>
      </c>
      <c r="G421" t="s">
        <v>24</v>
      </c>
      <c r="H421" t="s">
        <v>32</v>
      </c>
      <c r="I421" t="s">
        <v>894</v>
      </c>
      <c r="J421">
        <v>12</v>
      </c>
      <c r="K421" s="2">
        <v>4902.26</v>
      </c>
      <c r="L421">
        <v>20</v>
      </c>
      <c r="M421" s="2">
        <v>47061.7</v>
      </c>
      <c r="N421" s="2">
        <v>32397.75</v>
      </c>
      <c r="O421" s="2">
        <v>14663.95</v>
      </c>
      <c r="P421" t="s">
        <v>27</v>
      </c>
      <c r="Q421" t="s">
        <v>42</v>
      </c>
      <c r="R421" t="str">
        <f>TEXT(Table1[[#This Row],[Order Date]],"mmmm")</f>
        <v>April</v>
      </c>
      <c r="S421">
        <f>YEAR(Table1[[#This Row],[Order Date]])</f>
        <v>2025</v>
      </c>
    </row>
    <row r="422" spans="1:19" x14ac:dyDescent="0.3">
      <c r="A422" t="s">
        <v>895</v>
      </c>
      <c r="B422" s="1">
        <v>46149</v>
      </c>
      <c r="C422" t="s">
        <v>86</v>
      </c>
      <c r="D422" t="s">
        <v>87</v>
      </c>
      <c r="E422" t="s">
        <v>170</v>
      </c>
      <c r="F422" t="s">
        <v>31</v>
      </c>
      <c r="G422" t="s">
        <v>38</v>
      </c>
      <c r="H422" t="s">
        <v>91</v>
      </c>
      <c r="I422" t="s">
        <v>896</v>
      </c>
      <c r="J422">
        <v>7</v>
      </c>
      <c r="K422" s="2">
        <v>885.12</v>
      </c>
      <c r="L422">
        <v>20</v>
      </c>
      <c r="M422" s="2">
        <v>4956.67</v>
      </c>
      <c r="N422" s="2">
        <v>2951.39</v>
      </c>
      <c r="O422" s="2">
        <v>2005.28</v>
      </c>
      <c r="P422" t="s">
        <v>41</v>
      </c>
      <c r="Q422" t="s">
        <v>49</v>
      </c>
      <c r="R422" t="str">
        <f>TEXT(Table1[[#This Row],[Order Date]],"mmmm")</f>
        <v>May</v>
      </c>
      <c r="S422">
        <f>YEAR(Table1[[#This Row],[Order Date]])</f>
        <v>2026</v>
      </c>
    </row>
    <row r="423" spans="1:19" x14ac:dyDescent="0.3">
      <c r="A423" t="s">
        <v>897</v>
      </c>
      <c r="B423" s="1">
        <v>45843</v>
      </c>
      <c r="C423" t="s">
        <v>35</v>
      </c>
      <c r="D423" t="s">
        <v>36</v>
      </c>
      <c r="E423" t="s">
        <v>66</v>
      </c>
      <c r="F423" t="s">
        <v>37</v>
      </c>
      <c r="G423" t="s">
        <v>45</v>
      </c>
      <c r="H423" t="s">
        <v>123</v>
      </c>
      <c r="I423" t="s">
        <v>898</v>
      </c>
      <c r="J423">
        <v>4</v>
      </c>
      <c r="K423" s="2">
        <v>1974.95</v>
      </c>
      <c r="L423">
        <v>10</v>
      </c>
      <c r="M423" s="2">
        <v>7109.82</v>
      </c>
      <c r="N423" s="2">
        <v>4650.17</v>
      </c>
      <c r="O423" s="2">
        <v>2459.65</v>
      </c>
      <c r="P423" t="s">
        <v>48</v>
      </c>
      <c r="Q423" t="s">
        <v>61</v>
      </c>
      <c r="R423" t="str">
        <f>TEXT(Table1[[#This Row],[Order Date]],"mmmm")</f>
        <v>July</v>
      </c>
      <c r="S423">
        <f>YEAR(Table1[[#This Row],[Order Date]])</f>
        <v>2025</v>
      </c>
    </row>
    <row r="424" spans="1:19" x14ac:dyDescent="0.3">
      <c r="A424" t="s">
        <v>899</v>
      </c>
      <c r="B424" s="1">
        <v>46109</v>
      </c>
      <c r="C424" t="s">
        <v>86</v>
      </c>
      <c r="D424" t="s">
        <v>90</v>
      </c>
      <c r="E424" t="s">
        <v>113</v>
      </c>
      <c r="F424" t="s">
        <v>37</v>
      </c>
      <c r="G424" t="s">
        <v>24</v>
      </c>
      <c r="H424" t="s">
        <v>56</v>
      </c>
      <c r="I424" t="s">
        <v>900</v>
      </c>
      <c r="J424">
        <v>4</v>
      </c>
      <c r="K424" s="2">
        <v>1011.11</v>
      </c>
      <c r="L424">
        <v>0</v>
      </c>
      <c r="M424" s="2">
        <v>4044.44</v>
      </c>
      <c r="N424" s="2">
        <v>3287.83</v>
      </c>
      <c r="O424" s="2">
        <v>756.61</v>
      </c>
      <c r="P424" t="s">
        <v>27</v>
      </c>
      <c r="Q424" t="s">
        <v>28</v>
      </c>
      <c r="R424" t="str">
        <f>TEXT(Table1[[#This Row],[Order Date]],"mmmm")</f>
        <v>March</v>
      </c>
      <c r="S424">
        <f>YEAR(Table1[[#This Row],[Order Date]])</f>
        <v>2026</v>
      </c>
    </row>
    <row r="425" spans="1:19" x14ac:dyDescent="0.3">
      <c r="A425" t="s">
        <v>901</v>
      </c>
      <c r="B425" s="1">
        <v>46121</v>
      </c>
      <c r="C425" t="s">
        <v>20</v>
      </c>
      <c r="D425" t="s">
        <v>21</v>
      </c>
      <c r="E425" t="s">
        <v>66</v>
      </c>
      <c r="F425" t="s">
        <v>37</v>
      </c>
      <c r="G425" t="s">
        <v>24</v>
      </c>
      <c r="H425" t="s">
        <v>56</v>
      </c>
      <c r="I425" t="s">
        <v>902</v>
      </c>
      <c r="J425">
        <v>10</v>
      </c>
      <c r="K425" s="2">
        <v>3816.94</v>
      </c>
      <c r="L425">
        <v>20</v>
      </c>
      <c r="M425" s="2">
        <v>30535.52</v>
      </c>
      <c r="N425" s="2">
        <v>18726.66</v>
      </c>
      <c r="O425" s="2">
        <v>11808.86</v>
      </c>
      <c r="P425" t="s">
        <v>48</v>
      </c>
      <c r="Q425" t="s">
        <v>61</v>
      </c>
      <c r="R425" t="str">
        <f>TEXT(Table1[[#This Row],[Order Date]],"mmmm")</f>
        <v>April</v>
      </c>
      <c r="S425">
        <f>YEAR(Table1[[#This Row],[Order Date]])</f>
        <v>2026</v>
      </c>
    </row>
    <row r="426" spans="1:19" x14ac:dyDescent="0.3">
      <c r="A426" t="s">
        <v>903</v>
      </c>
      <c r="B426" s="1">
        <v>45822</v>
      </c>
      <c r="C426" t="s">
        <v>35</v>
      </c>
      <c r="D426" t="s">
        <v>36</v>
      </c>
      <c r="E426" t="s">
        <v>44</v>
      </c>
      <c r="F426" t="s">
        <v>37</v>
      </c>
      <c r="G426" t="s">
        <v>24</v>
      </c>
      <c r="H426" t="s">
        <v>56</v>
      </c>
      <c r="I426" t="s">
        <v>904</v>
      </c>
      <c r="J426">
        <v>7</v>
      </c>
      <c r="K426" s="2">
        <v>2935.5</v>
      </c>
      <c r="L426">
        <v>20</v>
      </c>
      <c r="M426" s="2">
        <v>16438.8</v>
      </c>
      <c r="N426" s="2">
        <v>10241.69</v>
      </c>
      <c r="O426" s="2">
        <v>6197.11</v>
      </c>
      <c r="P426" t="s">
        <v>27</v>
      </c>
      <c r="Q426" t="s">
        <v>61</v>
      </c>
      <c r="R426" t="str">
        <f>TEXT(Table1[[#This Row],[Order Date]],"mmmm")</f>
        <v>June</v>
      </c>
      <c r="S426">
        <f>YEAR(Table1[[#This Row],[Order Date]])</f>
        <v>2025</v>
      </c>
    </row>
    <row r="427" spans="1:19" x14ac:dyDescent="0.3">
      <c r="A427" t="s">
        <v>905</v>
      </c>
      <c r="B427" s="1">
        <v>45777</v>
      </c>
      <c r="C427" t="s">
        <v>35</v>
      </c>
      <c r="D427" t="s">
        <v>59</v>
      </c>
      <c r="E427" t="s">
        <v>66</v>
      </c>
      <c r="F427" t="s">
        <v>23</v>
      </c>
      <c r="G427" t="s">
        <v>38</v>
      </c>
      <c r="H427" t="s">
        <v>63</v>
      </c>
      <c r="I427" t="s">
        <v>906</v>
      </c>
      <c r="J427">
        <v>12</v>
      </c>
      <c r="K427" s="2">
        <v>3477.2</v>
      </c>
      <c r="L427">
        <v>20</v>
      </c>
      <c r="M427" s="2">
        <v>33381.120000000003</v>
      </c>
      <c r="N427" s="2">
        <v>22795.06</v>
      </c>
      <c r="O427" s="2">
        <v>10586.06</v>
      </c>
      <c r="P427" t="s">
        <v>27</v>
      </c>
      <c r="Q427" t="s">
        <v>42</v>
      </c>
      <c r="R427" t="str">
        <f>TEXT(Table1[[#This Row],[Order Date]],"mmmm")</f>
        <v>April</v>
      </c>
      <c r="S427">
        <f>YEAR(Table1[[#This Row],[Order Date]])</f>
        <v>2025</v>
      </c>
    </row>
    <row r="428" spans="1:19" x14ac:dyDescent="0.3">
      <c r="A428" t="s">
        <v>907</v>
      </c>
      <c r="B428" s="1">
        <v>45759</v>
      </c>
      <c r="C428" t="s">
        <v>86</v>
      </c>
      <c r="D428" t="s">
        <v>87</v>
      </c>
      <c r="E428" t="s">
        <v>113</v>
      </c>
      <c r="F428" t="s">
        <v>37</v>
      </c>
      <c r="G428" t="s">
        <v>45</v>
      </c>
      <c r="H428" t="s">
        <v>52</v>
      </c>
      <c r="I428" t="s">
        <v>908</v>
      </c>
      <c r="J428">
        <v>9</v>
      </c>
      <c r="K428" s="2">
        <v>2343.65</v>
      </c>
      <c r="L428">
        <v>0</v>
      </c>
      <c r="M428" s="2">
        <v>21092.85</v>
      </c>
      <c r="N428" s="2">
        <v>16711.93</v>
      </c>
      <c r="O428" s="2">
        <v>4380.92</v>
      </c>
      <c r="P428" t="s">
        <v>48</v>
      </c>
      <c r="Q428" t="s">
        <v>28</v>
      </c>
      <c r="R428" t="str">
        <f>TEXT(Table1[[#This Row],[Order Date]],"mmmm")</f>
        <v>April</v>
      </c>
      <c r="S428">
        <f>YEAR(Table1[[#This Row],[Order Date]])</f>
        <v>2025</v>
      </c>
    </row>
    <row r="429" spans="1:19" x14ac:dyDescent="0.3">
      <c r="A429" t="s">
        <v>909</v>
      </c>
      <c r="B429" s="1">
        <v>45767</v>
      </c>
      <c r="C429" t="s">
        <v>20</v>
      </c>
      <c r="D429" t="s">
        <v>55</v>
      </c>
      <c r="E429" t="s">
        <v>51</v>
      </c>
      <c r="F429" t="s">
        <v>23</v>
      </c>
      <c r="G429" t="s">
        <v>24</v>
      </c>
      <c r="H429" t="s">
        <v>134</v>
      </c>
      <c r="I429" t="s">
        <v>910</v>
      </c>
      <c r="J429">
        <v>8</v>
      </c>
      <c r="K429" s="2">
        <v>1595.47</v>
      </c>
      <c r="L429">
        <v>15</v>
      </c>
      <c r="M429" s="2">
        <v>10849.2</v>
      </c>
      <c r="N429" s="2">
        <v>6985.57</v>
      </c>
      <c r="O429" s="2">
        <v>3863.63</v>
      </c>
      <c r="P429" t="s">
        <v>41</v>
      </c>
      <c r="Q429" t="s">
        <v>61</v>
      </c>
      <c r="R429" t="str">
        <f>TEXT(Table1[[#This Row],[Order Date]],"mmmm")</f>
        <v>April</v>
      </c>
      <c r="S429">
        <f>YEAR(Table1[[#This Row],[Order Date]])</f>
        <v>2025</v>
      </c>
    </row>
    <row r="430" spans="1:19" x14ac:dyDescent="0.3">
      <c r="A430" t="s">
        <v>911</v>
      </c>
      <c r="B430" s="1">
        <v>45732</v>
      </c>
      <c r="C430" t="s">
        <v>86</v>
      </c>
      <c r="D430" t="s">
        <v>87</v>
      </c>
      <c r="E430" t="s">
        <v>66</v>
      </c>
      <c r="F430" t="s">
        <v>23</v>
      </c>
      <c r="G430" t="s">
        <v>38</v>
      </c>
      <c r="H430" t="s">
        <v>39</v>
      </c>
      <c r="I430" t="s">
        <v>912</v>
      </c>
      <c r="J430">
        <v>8</v>
      </c>
      <c r="K430" s="2">
        <v>2433.41</v>
      </c>
      <c r="L430">
        <v>15</v>
      </c>
      <c r="M430" s="2">
        <v>16547.189999999999</v>
      </c>
      <c r="N430" s="2">
        <v>13149.22</v>
      </c>
      <c r="O430" s="2">
        <v>3397.97</v>
      </c>
      <c r="P430" t="s">
        <v>27</v>
      </c>
      <c r="Q430" t="s">
        <v>49</v>
      </c>
      <c r="R430" t="str">
        <f>TEXT(Table1[[#This Row],[Order Date]],"mmmm")</f>
        <v>March</v>
      </c>
      <c r="S430">
        <f>YEAR(Table1[[#This Row],[Order Date]])</f>
        <v>2025</v>
      </c>
    </row>
    <row r="431" spans="1:19" x14ac:dyDescent="0.3">
      <c r="A431" t="s">
        <v>913</v>
      </c>
      <c r="B431" s="1">
        <v>46122</v>
      </c>
      <c r="C431" t="s">
        <v>20</v>
      </c>
      <c r="D431" t="s">
        <v>21</v>
      </c>
      <c r="E431" t="s">
        <v>30</v>
      </c>
      <c r="F431" t="s">
        <v>31</v>
      </c>
      <c r="G431" t="s">
        <v>24</v>
      </c>
      <c r="H431" t="s">
        <v>32</v>
      </c>
      <c r="I431" t="s">
        <v>914</v>
      </c>
      <c r="J431">
        <v>4</v>
      </c>
      <c r="K431" s="2">
        <v>1022.61</v>
      </c>
      <c r="L431">
        <v>10</v>
      </c>
      <c r="M431" s="2">
        <v>3681.4</v>
      </c>
      <c r="N431" s="2">
        <v>2194.41</v>
      </c>
      <c r="O431" s="2">
        <v>1486.99</v>
      </c>
      <c r="P431" t="s">
        <v>48</v>
      </c>
      <c r="Q431" t="s">
        <v>42</v>
      </c>
      <c r="R431" t="str">
        <f>TEXT(Table1[[#This Row],[Order Date]],"mmmm")</f>
        <v>April</v>
      </c>
      <c r="S431">
        <f>YEAR(Table1[[#This Row],[Order Date]])</f>
        <v>2026</v>
      </c>
    </row>
    <row r="432" spans="1:19" x14ac:dyDescent="0.3">
      <c r="A432" t="s">
        <v>915</v>
      </c>
      <c r="B432" s="1">
        <v>45763</v>
      </c>
      <c r="C432" t="s">
        <v>20</v>
      </c>
      <c r="D432" t="s">
        <v>21</v>
      </c>
      <c r="E432" t="s">
        <v>120</v>
      </c>
      <c r="F432" t="s">
        <v>23</v>
      </c>
      <c r="G432" t="s">
        <v>24</v>
      </c>
      <c r="H432" t="s">
        <v>32</v>
      </c>
      <c r="I432" t="s">
        <v>916</v>
      </c>
      <c r="J432">
        <v>9</v>
      </c>
      <c r="K432" s="2">
        <v>2861.14</v>
      </c>
      <c r="L432">
        <v>15</v>
      </c>
      <c r="M432" s="2">
        <v>21887.72</v>
      </c>
      <c r="N432" s="2">
        <v>12163.44</v>
      </c>
      <c r="O432" s="2">
        <v>9724.2800000000007</v>
      </c>
      <c r="P432" t="s">
        <v>41</v>
      </c>
      <c r="Q432" t="s">
        <v>61</v>
      </c>
      <c r="R432" t="str">
        <f>TEXT(Table1[[#This Row],[Order Date]],"mmmm")</f>
        <v>April</v>
      </c>
      <c r="S432">
        <f>YEAR(Table1[[#This Row],[Order Date]])</f>
        <v>2025</v>
      </c>
    </row>
    <row r="433" spans="1:19" x14ac:dyDescent="0.3">
      <c r="A433" t="s">
        <v>917</v>
      </c>
      <c r="B433" s="1">
        <v>45680</v>
      </c>
      <c r="C433" t="s">
        <v>86</v>
      </c>
      <c r="D433" t="s">
        <v>90</v>
      </c>
      <c r="E433" t="s">
        <v>113</v>
      </c>
      <c r="F433" t="s">
        <v>37</v>
      </c>
      <c r="G433" t="s">
        <v>24</v>
      </c>
      <c r="H433" t="s">
        <v>32</v>
      </c>
      <c r="I433" t="s">
        <v>918</v>
      </c>
      <c r="J433">
        <v>5</v>
      </c>
      <c r="K433" s="2">
        <v>845.32</v>
      </c>
      <c r="L433">
        <v>5</v>
      </c>
      <c r="M433" s="2">
        <v>4015.27</v>
      </c>
      <c r="N433" s="2">
        <v>2362.6799999999998</v>
      </c>
      <c r="O433" s="2">
        <v>1652.59</v>
      </c>
      <c r="P433" t="s">
        <v>48</v>
      </c>
      <c r="Q433" t="s">
        <v>49</v>
      </c>
      <c r="R433" t="str">
        <f>TEXT(Table1[[#This Row],[Order Date]],"mmmm")</f>
        <v>January</v>
      </c>
      <c r="S433">
        <f>YEAR(Table1[[#This Row],[Order Date]])</f>
        <v>2025</v>
      </c>
    </row>
    <row r="434" spans="1:19" x14ac:dyDescent="0.3">
      <c r="A434" t="s">
        <v>919</v>
      </c>
      <c r="B434" s="1">
        <v>46086</v>
      </c>
      <c r="C434" t="s">
        <v>70</v>
      </c>
      <c r="D434" t="s">
        <v>75</v>
      </c>
      <c r="E434" t="s">
        <v>66</v>
      </c>
      <c r="F434" t="s">
        <v>23</v>
      </c>
      <c r="G434" t="s">
        <v>45</v>
      </c>
      <c r="H434" t="s">
        <v>123</v>
      </c>
      <c r="I434" t="s">
        <v>920</v>
      </c>
      <c r="J434">
        <v>7</v>
      </c>
      <c r="K434" s="2">
        <v>4285.16</v>
      </c>
      <c r="L434">
        <v>5</v>
      </c>
      <c r="M434" s="2">
        <v>28496.31</v>
      </c>
      <c r="N434" s="2">
        <v>15827.19</v>
      </c>
      <c r="O434" s="2">
        <v>12669.12</v>
      </c>
      <c r="P434" t="s">
        <v>48</v>
      </c>
      <c r="Q434" t="s">
        <v>61</v>
      </c>
      <c r="R434" t="str">
        <f>TEXT(Table1[[#This Row],[Order Date]],"mmmm")</f>
        <v>March</v>
      </c>
      <c r="S434">
        <f>YEAR(Table1[[#This Row],[Order Date]])</f>
        <v>2026</v>
      </c>
    </row>
    <row r="435" spans="1:19" x14ac:dyDescent="0.3">
      <c r="A435" t="s">
        <v>921</v>
      </c>
      <c r="B435" s="1">
        <v>46017</v>
      </c>
      <c r="C435" t="s">
        <v>20</v>
      </c>
      <c r="D435" t="s">
        <v>21</v>
      </c>
      <c r="E435" t="s">
        <v>22</v>
      </c>
      <c r="F435" t="s">
        <v>37</v>
      </c>
      <c r="G435" t="s">
        <v>45</v>
      </c>
      <c r="H435" t="s">
        <v>123</v>
      </c>
      <c r="I435" t="s">
        <v>922</v>
      </c>
      <c r="J435">
        <v>7</v>
      </c>
      <c r="K435" s="2">
        <v>1834.72</v>
      </c>
      <c r="L435">
        <v>10</v>
      </c>
      <c r="M435" s="2">
        <v>11558.74</v>
      </c>
      <c r="N435" s="2">
        <v>7960.48</v>
      </c>
      <c r="O435" s="2">
        <v>3598.26</v>
      </c>
      <c r="P435" t="s">
        <v>41</v>
      </c>
      <c r="Q435" t="s">
        <v>61</v>
      </c>
      <c r="R435" t="str">
        <f>TEXT(Table1[[#This Row],[Order Date]],"mmmm")</f>
        <v>December</v>
      </c>
      <c r="S435">
        <f>YEAR(Table1[[#This Row],[Order Date]])</f>
        <v>2025</v>
      </c>
    </row>
    <row r="436" spans="1:19" x14ac:dyDescent="0.3">
      <c r="A436" t="s">
        <v>923</v>
      </c>
      <c r="B436" s="1">
        <v>45773</v>
      </c>
      <c r="C436" t="s">
        <v>86</v>
      </c>
      <c r="D436" t="s">
        <v>90</v>
      </c>
      <c r="E436" t="s">
        <v>66</v>
      </c>
      <c r="F436" t="s">
        <v>37</v>
      </c>
      <c r="G436" t="s">
        <v>38</v>
      </c>
      <c r="H436" t="s">
        <v>72</v>
      </c>
      <c r="I436" t="s">
        <v>924</v>
      </c>
      <c r="J436">
        <v>5</v>
      </c>
      <c r="K436" s="2">
        <v>2640.99</v>
      </c>
      <c r="L436">
        <v>10</v>
      </c>
      <c r="M436" s="2">
        <v>11884.45</v>
      </c>
      <c r="N436" s="2">
        <v>8077.36</v>
      </c>
      <c r="O436" s="2">
        <v>3807.09</v>
      </c>
      <c r="P436" t="s">
        <v>27</v>
      </c>
      <c r="Q436" t="s">
        <v>28</v>
      </c>
      <c r="R436" t="str">
        <f>TEXT(Table1[[#This Row],[Order Date]],"mmmm")</f>
        <v>April</v>
      </c>
      <c r="S436">
        <f>YEAR(Table1[[#This Row],[Order Date]])</f>
        <v>2025</v>
      </c>
    </row>
    <row r="437" spans="1:19" x14ac:dyDescent="0.3">
      <c r="A437" t="s">
        <v>925</v>
      </c>
      <c r="B437" s="1">
        <v>45820</v>
      </c>
      <c r="C437" t="s">
        <v>70</v>
      </c>
      <c r="D437" t="s">
        <v>75</v>
      </c>
      <c r="E437" t="s">
        <v>170</v>
      </c>
      <c r="F437" t="s">
        <v>37</v>
      </c>
      <c r="G437" t="s">
        <v>38</v>
      </c>
      <c r="H437" t="s">
        <v>91</v>
      </c>
      <c r="I437" t="s">
        <v>926</v>
      </c>
      <c r="J437">
        <v>13</v>
      </c>
      <c r="K437" s="2">
        <v>3904.81</v>
      </c>
      <c r="L437">
        <v>20</v>
      </c>
      <c r="M437" s="2">
        <v>40610.019999999997</v>
      </c>
      <c r="N437" s="2">
        <v>28056.69</v>
      </c>
      <c r="O437" s="2">
        <v>12553.33</v>
      </c>
      <c r="P437" t="s">
        <v>27</v>
      </c>
      <c r="Q437" t="s">
        <v>28</v>
      </c>
      <c r="R437" t="str">
        <f>TEXT(Table1[[#This Row],[Order Date]],"mmmm")</f>
        <v>June</v>
      </c>
      <c r="S437">
        <f>YEAR(Table1[[#This Row],[Order Date]])</f>
        <v>2025</v>
      </c>
    </row>
    <row r="438" spans="1:19" x14ac:dyDescent="0.3">
      <c r="A438" t="s">
        <v>927</v>
      </c>
      <c r="B438" s="1">
        <v>45910</v>
      </c>
      <c r="C438" t="s">
        <v>86</v>
      </c>
      <c r="D438" t="s">
        <v>90</v>
      </c>
      <c r="E438" t="s">
        <v>66</v>
      </c>
      <c r="F438" t="s">
        <v>31</v>
      </c>
      <c r="G438" t="s">
        <v>24</v>
      </c>
      <c r="H438" t="s">
        <v>134</v>
      </c>
      <c r="I438" t="s">
        <v>928</v>
      </c>
      <c r="J438">
        <v>4</v>
      </c>
      <c r="K438" s="2">
        <v>1783.71</v>
      </c>
      <c r="L438">
        <v>0</v>
      </c>
      <c r="M438" s="2">
        <v>7134.84</v>
      </c>
      <c r="N438" s="2">
        <v>3946.07</v>
      </c>
      <c r="O438" s="2">
        <v>3188.77</v>
      </c>
      <c r="P438" t="s">
        <v>48</v>
      </c>
      <c r="Q438" t="s">
        <v>28</v>
      </c>
      <c r="R438" t="str">
        <f>TEXT(Table1[[#This Row],[Order Date]],"mmmm")</f>
        <v>September</v>
      </c>
      <c r="S438">
        <f>YEAR(Table1[[#This Row],[Order Date]])</f>
        <v>2025</v>
      </c>
    </row>
    <row r="439" spans="1:19" x14ac:dyDescent="0.3">
      <c r="A439" t="s">
        <v>929</v>
      </c>
      <c r="B439" s="1">
        <v>45674</v>
      </c>
      <c r="C439" t="s">
        <v>20</v>
      </c>
      <c r="D439" t="s">
        <v>55</v>
      </c>
      <c r="E439" t="s">
        <v>51</v>
      </c>
      <c r="F439" t="s">
        <v>37</v>
      </c>
      <c r="G439" t="s">
        <v>24</v>
      </c>
      <c r="H439" t="s">
        <v>32</v>
      </c>
      <c r="I439" t="s">
        <v>930</v>
      </c>
      <c r="J439">
        <v>2</v>
      </c>
      <c r="K439" s="2">
        <v>3284.92</v>
      </c>
      <c r="L439">
        <v>10</v>
      </c>
      <c r="M439" s="2">
        <v>5912.86</v>
      </c>
      <c r="N439" s="2">
        <v>3989.19</v>
      </c>
      <c r="O439" s="2">
        <v>1923.67</v>
      </c>
      <c r="P439" t="s">
        <v>48</v>
      </c>
      <c r="Q439" t="s">
        <v>49</v>
      </c>
      <c r="R439" t="str">
        <f>TEXT(Table1[[#This Row],[Order Date]],"mmmm")</f>
        <v>January</v>
      </c>
      <c r="S439">
        <f>YEAR(Table1[[#This Row],[Order Date]])</f>
        <v>2025</v>
      </c>
    </row>
    <row r="440" spans="1:19" x14ac:dyDescent="0.3">
      <c r="A440" t="s">
        <v>931</v>
      </c>
      <c r="B440" s="1">
        <v>45914</v>
      </c>
      <c r="C440" t="s">
        <v>20</v>
      </c>
      <c r="D440" t="s">
        <v>55</v>
      </c>
      <c r="E440" t="s">
        <v>44</v>
      </c>
      <c r="F440" t="s">
        <v>31</v>
      </c>
      <c r="G440" t="s">
        <v>38</v>
      </c>
      <c r="H440" t="s">
        <v>91</v>
      </c>
      <c r="I440" t="s">
        <v>932</v>
      </c>
      <c r="J440">
        <v>6</v>
      </c>
      <c r="K440" s="2">
        <v>4356.29</v>
      </c>
      <c r="L440">
        <v>10</v>
      </c>
      <c r="M440" s="2">
        <v>23523.97</v>
      </c>
      <c r="N440" s="2">
        <v>18749.02</v>
      </c>
      <c r="O440" s="2">
        <v>4774.95</v>
      </c>
      <c r="P440" t="s">
        <v>27</v>
      </c>
      <c r="Q440" t="s">
        <v>42</v>
      </c>
      <c r="R440" t="str">
        <f>TEXT(Table1[[#This Row],[Order Date]],"mmmm")</f>
        <v>September</v>
      </c>
      <c r="S440">
        <f>YEAR(Table1[[#This Row],[Order Date]])</f>
        <v>2025</v>
      </c>
    </row>
    <row r="441" spans="1:19" x14ac:dyDescent="0.3">
      <c r="A441" t="s">
        <v>933</v>
      </c>
      <c r="B441" s="1">
        <v>45686</v>
      </c>
      <c r="C441" t="s">
        <v>35</v>
      </c>
      <c r="D441" t="s">
        <v>59</v>
      </c>
      <c r="E441" t="s">
        <v>51</v>
      </c>
      <c r="F441" t="s">
        <v>31</v>
      </c>
      <c r="G441" t="s">
        <v>38</v>
      </c>
      <c r="H441" t="s">
        <v>72</v>
      </c>
      <c r="I441" t="s">
        <v>934</v>
      </c>
      <c r="J441">
        <v>8</v>
      </c>
      <c r="K441" s="2">
        <v>914.43</v>
      </c>
      <c r="L441">
        <v>20</v>
      </c>
      <c r="M441" s="2">
        <v>5852.35</v>
      </c>
      <c r="N441" s="2">
        <v>3992.78</v>
      </c>
      <c r="O441" s="2">
        <v>1859.57</v>
      </c>
      <c r="P441" t="s">
        <v>41</v>
      </c>
      <c r="Q441" t="s">
        <v>49</v>
      </c>
      <c r="R441" t="str">
        <f>TEXT(Table1[[#This Row],[Order Date]],"mmmm")</f>
        <v>January</v>
      </c>
      <c r="S441">
        <f>YEAR(Table1[[#This Row],[Order Date]])</f>
        <v>2025</v>
      </c>
    </row>
    <row r="442" spans="1:19" x14ac:dyDescent="0.3">
      <c r="A442" t="s">
        <v>935</v>
      </c>
      <c r="B442" s="1">
        <v>46126</v>
      </c>
      <c r="C442" t="s">
        <v>20</v>
      </c>
      <c r="D442" t="s">
        <v>21</v>
      </c>
      <c r="E442" t="s">
        <v>66</v>
      </c>
      <c r="F442" t="s">
        <v>37</v>
      </c>
      <c r="G442" t="s">
        <v>45</v>
      </c>
      <c r="H442" t="s">
        <v>67</v>
      </c>
      <c r="I442" t="s">
        <v>936</v>
      </c>
      <c r="J442">
        <v>9</v>
      </c>
      <c r="K442" s="2">
        <v>4854.53</v>
      </c>
      <c r="L442">
        <v>0</v>
      </c>
      <c r="M442" s="2">
        <v>43690.77</v>
      </c>
      <c r="N442" s="2">
        <v>26566.51</v>
      </c>
      <c r="O442" s="2">
        <v>17124.259999999998</v>
      </c>
      <c r="P442" t="s">
        <v>48</v>
      </c>
      <c r="Q442" t="s">
        <v>49</v>
      </c>
      <c r="R442" t="str">
        <f>TEXT(Table1[[#This Row],[Order Date]],"mmmm")</f>
        <v>April</v>
      </c>
      <c r="S442">
        <f>YEAR(Table1[[#This Row],[Order Date]])</f>
        <v>2026</v>
      </c>
    </row>
    <row r="443" spans="1:19" x14ac:dyDescent="0.3">
      <c r="A443" t="s">
        <v>937</v>
      </c>
      <c r="B443" s="1">
        <v>45744</v>
      </c>
      <c r="C443" t="s">
        <v>86</v>
      </c>
      <c r="D443" t="s">
        <v>87</v>
      </c>
      <c r="E443" t="s">
        <v>120</v>
      </c>
      <c r="F443" t="s">
        <v>37</v>
      </c>
      <c r="G443" t="s">
        <v>38</v>
      </c>
      <c r="H443" t="s">
        <v>39</v>
      </c>
      <c r="I443" t="s">
        <v>938</v>
      </c>
      <c r="J443">
        <v>1</v>
      </c>
      <c r="K443" s="2">
        <v>3579.7</v>
      </c>
      <c r="L443">
        <v>5</v>
      </c>
      <c r="M443" s="2">
        <v>3400.71</v>
      </c>
      <c r="N443" s="2">
        <v>2214.0500000000002</v>
      </c>
      <c r="O443" s="2">
        <v>1186.6600000000001</v>
      </c>
      <c r="P443" t="s">
        <v>41</v>
      </c>
      <c r="Q443" t="s">
        <v>49</v>
      </c>
      <c r="R443" t="str">
        <f>TEXT(Table1[[#This Row],[Order Date]],"mmmm")</f>
        <v>March</v>
      </c>
      <c r="S443">
        <f>YEAR(Table1[[#This Row],[Order Date]])</f>
        <v>2025</v>
      </c>
    </row>
    <row r="444" spans="1:19" x14ac:dyDescent="0.3">
      <c r="A444" t="s">
        <v>939</v>
      </c>
      <c r="B444" s="1">
        <v>46142</v>
      </c>
      <c r="C444" t="s">
        <v>35</v>
      </c>
      <c r="D444" t="s">
        <v>59</v>
      </c>
      <c r="E444" t="s">
        <v>120</v>
      </c>
      <c r="F444" t="s">
        <v>31</v>
      </c>
      <c r="G444" t="s">
        <v>38</v>
      </c>
      <c r="H444" t="s">
        <v>106</v>
      </c>
      <c r="I444" t="s">
        <v>940</v>
      </c>
      <c r="J444">
        <v>3</v>
      </c>
      <c r="K444" s="2">
        <v>4747.24</v>
      </c>
      <c r="L444">
        <v>0</v>
      </c>
      <c r="M444" s="2">
        <v>14241.72</v>
      </c>
      <c r="N444" s="2">
        <v>8330.52</v>
      </c>
      <c r="O444" s="2">
        <v>5911.2</v>
      </c>
      <c r="P444" t="s">
        <v>48</v>
      </c>
      <c r="Q444" t="s">
        <v>28</v>
      </c>
      <c r="R444" t="str">
        <f>TEXT(Table1[[#This Row],[Order Date]],"mmmm")</f>
        <v>April</v>
      </c>
      <c r="S444">
        <f>YEAR(Table1[[#This Row],[Order Date]])</f>
        <v>2026</v>
      </c>
    </row>
    <row r="445" spans="1:19" x14ac:dyDescent="0.3">
      <c r="A445" t="s">
        <v>941</v>
      </c>
      <c r="B445" s="1">
        <v>46126</v>
      </c>
      <c r="C445" t="s">
        <v>86</v>
      </c>
      <c r="D445" t="s">
        <v>90</v>
      </c>
      <c r="E445" t="s">
        <v>170</v>
      </c>
      <c r="F445" t="s">
        <v>31</v>
      </c>
      <c r="G445" t="s">
        <v>38</v>
      </c>
      <c r="H445" t="s">
        <v>91</v>
      </c>
      <c r="I445" t="s">
        <v>942</v>
      </c>
      <c r="J445">
        <v>12</v>
      </c>
      <c r="K445" s="2">
        <v>4076.79</v>
      </c>
      <c r="L445">
        <v>15</v>
      </c>
      <c r="M445" s="2">
        <v>41583.26</v>
      </c>
      <c r="N445" s="2">
        <v>27891.83</v>
      </c>
      <c r="O445" s="2">
        <v>13691.43</v>
      </c>
      <c r="P445" t="s">
        <v>27</v>
      </c>
      <c r="Q445" t="s">
        <v>28</v>
      </c>
      <c r="R445" t="str">
        <f>TEXT(Table1[[#This Row],[Order Date]],"mmmm")</f>
        <v>April</v>
      </c>
      <c r="S445">
        <f>YEAR(Table1[[#This Row],[Order Date]])</f>
        <v>2026</v>
      </c>
    </row>
    <row r="446" spans="1:19" x14ac:dyDescent="0.3">
      <c r="A446" t="s">
        <v>943</v>
      </c>
      <c r="B446" s="1">
        <v>46011</v>
      </c>
      <c r="C446" t="s">
        <v>35</v>
      </c>
      <c r="D446" t="s">
        <v>36</v>
      </c>
      <c r="E446" t="s">
        <v>51</v>
      </c>
      <c r="F446" t="s">
        <v>31</v>
      </c>
      <c r="G446" t="s">
        <v>45</v>
      </c>
      <c r="H446" t="s">
        <v>46</v>
      </c>
      <c r="I446" t="s">
        <v>235</v>
      </c>
      <c r="J446">
        <v>1</v>
      </c>
      <c r="K446" s="2">
        <v>4535.7299999999996</v>
      </c>
      <c r="L446">
        <v>20</v>
      </c>
      <c r="M446" s="2">
        <v>3628.58</v>
      </c>
      <c r="N446" s="2">
        <v>2254.63</v>
      </c>
      <c r="O446" s="2">
        <v>1373.95</v>
      </c>
      <c r="P446" t="s">
        <v>27</v>
      </c>
      <c r="Q446" t="s">
        <v>61</v>
      </c>
      <c r="R446" t="str">
        <f>TEXT(Table1[[#This Row],[Order Date]],"mmmm")</f>
        <v>December</v>
      </c>
      <c r="S446">
        <f>YEAR(Table1[[#This Row],[Order Date]])</f>
        <v>2025</v>
      </c>
    </row>
    <row r="447" spans="1:19" x14ac:dyDescent="0.3">
      <c r="A447" t="s">
        <v>944</v>
      </c>
      <c r="B447" s="1">
        <v>46198</v>
      </c>
      <c r="C447" t="s">
        <v>20</v>
      </c>
      <c r="D447" t="s">
        <v>21</v>
      </c>
      <c r="E447" t="s">
        <v>22</v>
      </c>
      <c r="F447" t="s">
        <v>37</v>
      </c>
      <c r="G447" t="s">
        <v>38</v>
      </c>
      <c r="H447" t="s">
        <v>72</v>
      </c>
      <c r="I447" t="s">
        <v>945</v>
      </c>
      <c r="J447">
        <v>3</v>
      </c>
      <c r="K447" s="2">
        <v>3558.25</v>
      </c>
      <c r="L447">
        <v>10</v>
      </c>
      <c r="M447" s="2">
        <v>9607.27</v>
      </c>
      <c r="N447" s="2">
        <v>7365.77</v>
      </c>
      <c r="O447" s="2">
        <v>2241.5</v>
      </c>
      <c r="P447" t="s">
        <v>27</v>
      </c>
      <c r="Q447" t="s">
        <v>42</v>
      </c>
      <c r="R447" t="str">
        <f>TEXT(Table1[[#This Row],[Order Date]],"mmmm")</f>
        <v>June</v>
      </c>
      <c r="S447">
        <f>YEAR(Table1[[#This Row],[Order Date]])</f>
        <v>2026</v>
      </c>
    </row>
    <row r="448" spans="1:19" x14ac:dyDescent="0.3">
      <c r="A448" t="s">
        <v>946</v>
      </c>
      <c r="B448" s="1">
        <v>45887</v>
      </c>
      <c r="C448" t="s">
        <v>70</v>
      </c>
      <c r="D448" t="s">
        <v>75</v>
      </c>
      <c r="E448" t="s">
        <v>120</v>
      </c>
      <c r="F448" t="s">
        <v>23</v>
      </c>
      <c r="G448" t="s">
        <v>24</v>
      </c>
      <c r="H448" t="s">
        <v>171</v>
      </c>
      <c r="I448" t="s">
        <v>947</v>
      </c>
      <c r="J448">
        <v>7</v>
      </c>
      <c r="K448" s="2">
        <v>4584.01</v>
      </c>
      <c r="L448">
        <v>20</v>
      </c>
      <c r="M448" s="2">
        <v>25670.46</v>
      </c>
      <c r="N448" s="2">
        <v>17884.29</v>
      </c>
      <c r="O448" s="2">
        <v>7786.17</v>
      </c>
      <c r="P448" t="s">
        <v>48</v>
      </c>
      <c r="Q448" t="s">
        <v>28</v>
      </c>
      <c r="R448" t="str">
        <f>TEXT(Table1[[#This Row],[Order Date]],"mmmm")</f>
        <v>August</v>
      </c>
      <c r="S448">
        <f>YEAR(Table1[[#This Row],[Order Date]])</f>
        <v>2025</v>
      </c>
    </row>
    <row r="449" spans="1:19" x14ac:dyDescent="0.3">
      <c r="A449" t="s">
        <v>948</v>
      </c>
      <c r="B449" s="1">
        <v>45682</v>
      </c>
      <c r="C449" t="s">
        <v>20</v>
      </c>
      <c r="D449" t="s">
        <v>21</v>
      </c>
      <c r="E449" t="s">
        <v>120</v>
      </c>
      <c r="F449" t="s">
        <v>37</v>
      </c>
      <c r="G449" t="s">
        <v>45</v>
      </c>
      <c r="H449" t="s">
        <v>52</v>
      </c>
      <c r="I449" t="s">
        <v>949</v>
      </c>
      <c r="J449">
        <v>3</v>
      </c>
      <c r="K449" s="2">
        <v>402.34</v>
      </c>
      <c r="L449">
        <v>5</v>
      </c>
      <c r="M449" s="2">
        <v>1146.67</v>
      </c>
      <c r="N449" s="2">
        <v>910.83</v>
      </c>
      <c r="O449" s="2">
        <v>235.84</v>
      </c>
      <c r="P449" t="s">
        <v>27</v>
      </c>
      <c r="Q449" t="s">
        <v>49</v>
      </c>
      <c r="R449" t="str">
        <f>TEXT(Table1[[#This Row],[Order Date]],"mmmm")</f>
        <v>January</v>
      </c>
      <c r="S449">
        <f>YEAR(Table1[[#This Row],[Order Date]])</f>
        <v>2025</v>
      </c>
    </row>
    <row r="450" spans="1:19" x14ac:dyDescent="0.3">
      <c r="A450" t="s">
        <v>950</v>
      </c>
      <c r="B450" s="1">
        <v>46194</v>
      </c>
      <c r="C450" t="s">
        <v>70</v>
      </c>
      <c r="D450" t="s">
        <v>71</v>
      </c>
      <c r="E450" t="s">
        <v>66</v>
      </c>
      <c r="F450" t="s">
        <v>23</v>
      </c>
      <c r="G450" t="s">
        <v>38</v>
      </c>
      <c r="H450" t="s">
        <v>39</v>
      </c>
      <c r="I450" t="s">
        <v>951</v>
      </c>
      <c r="J450">
        <v>12</v>
      </c>
      <c r="K450" s="2">
        <v>1008.19</v>
      </c>
      <c r="L450">
        <v>20</v>
      </c>
      <c r="M450" s="2">
        <v>9678.6200000000008</v>
      </c>
      <c r="N450" s="2">
        <v>7659.52</v>
      </c>
      <c r="O450" s="2">
        <v>2019.1</v>
      </c>
      <c r="P450" t="s">
        <v>41</v>
      </c>
      <c r="Q450" t="s">
        <v>42</v>
      </c>
      <c r="R450" t="str">
        <f>TEXT(Table1[[#This Row],[Order Date]],"mmmm")</f>
        <v>June</v>
      </c>
      <c r="S450">
        <f>YEAR(Table1[[#This Row],[Order Date]])</f>
        <v>2026</v>
      </c>
    </row>
    <row r="451" spans="1:19" x14ac:dyDescent="0.3">
      <c r="A451" t="s">
        <v>952</v>
      </c>
      <c r="B451" s="1">
        <v>46078</v>
      </c>
      <c r="C451" t="s">
        <v>20</v>
      </c>
      <c r="D451" t="s">
        <v>21</v>
      </c>
      <c r="E451" t="s">
        <v>170</v>
      </c>
      <c r="F451" t="s">
        <v>37</v>
      </c>
      <c r="G451" t="s">
        <v>38</v>
      </c>
      <c r="H451" t="s">
        <v>39</v>
      </c>
      <c r="I451" t="s">
        <v>953</v>
      </c>
      <c r="J451">
        <v>8</v>
      </c>
      <c r="K451" s="2">
        <v>1245.48</v>
      </c>
      <c r="L451">
        <v>0</v>
      </c>
      <c r="M451" s="2">
        <v>9963.84</v>
      </c>
      <c r="N451" s="2">
        <v>5664.16</v>
      </c>
      <c r="O451" s="2">
        <v>4299.68</v>
      </c>
      <c r="P451" t="s">
        <v>27</v>
      </c>
      <c r="Q451" t="s">
        <v>49</v>
      </c>
      <c r="R451" t="str">
        <f>TEXT(Table1[[#This Row],[Order Date]],"mmmm")</f>
        <v>February</v>
      </c>
      <c r="S451">
        <f>YEAR(Table1[[#This Row],[Order Date]])</f>
        <v>2026</v>
      </c>
    </row>
    <row r="452" spans="1:19" x14ac:dyDescent="0.3">
      <c r="A452" t="s">
        <v>954</v>
      </c>
      <c r="B452" s="1">
        <v>45659</v>
      </c>
      <c r="C452" t="s">
        <v>35</v>
      </c>
      <c r="D452" t="s">
        <v>59</v>
      </c>
      <c r="E452" t="s">
        <v>120</v>
      </c>
      <c r="F452" t="s">
        <v>37</v>
      </c>
      <c r="G452" t="s">
        <v>24</v>
      </c>
      <c r="H452" t="s">
        <v>171</v>
      </c>
      <c r="I452" t="s">
        <v>955</v>
      </c>
      <c r="J452">
        <v>5</v>
      </c>
      <c r="K452" s="2">
        <v>3910.46</v>
      </c>
      <c r="L452">
        <v>10</v>
      </c>
      <c r="M452" s="2">
        <v>17597.07</v>
      </c>
      <c r="N452" s="2">
        <v>13077.53</v>
      </c>
      <c r="O452" s="2">
        <v>4519.54</v>
      </c>
      <c r="P452" t="s">
        <v>48</v>
      </c>
      <c r="Q452" t="s">
        <v>61</v>
      </c>
      <c r="R452" t="str">
        <f>TEXT(Table1[[#This Row],[Order Date]],"mmmm")</f>
        <v>January</v>
      </c>
      <c r="S452">
        <f>YEAR(Table1[[#This Row],[Order Date]])</f>
        <v>2025</v>
      </c>
    </row>
    <row r="453" spans="1:19" x14ac:dyDescent="0.3">
      <c r="A453" t="s">
        <v>956</v>
      </c>
      <c r="B453" s="1">
        <v>45809</v>
      </c>
      <c r="C453" t="s">
        <v>70</v>
      </c>
      <c r="D453" t="s">
        <v>71</v>
      </c>
      <c r="E453" t="s">
        <v>120</v>
      </c>
      <c r="F453" t="s">
        <v>37</v>
      </c>
      <c r="G453" t="s">
        <v>45</v>
      </c>
      <c r="H453" t="s">
        <v>67</v>
      </c>
      <c r="I453" t="s">
        <v>957</v>
      </c>
      <c r="J453">
        <v>15</v>
      </c>
      <c r="K453" s="2">
        <v>2500.34</v>
      </c>
      <c r="L453">
        <v>0</v>
      </c>
      <c r="M453" s="2">
        <v>37505.1</v>
      </c>
      <c r="N453" s="2">
        <v>24195.919999999998</v>
      </c>
      <c r="O453" s="2">
        <v>13309.18</v>
      </c>
      <c r="P453" t="s">
        <v>27</v>
      </c>
      <c r="Q453" t="s">
        <v>61</v>
      </c>
      <c r="R453" t="str">
        <f>TEXT(Table1[[#This Row],[Order Date]],"mmmm")</f>
        <v>June</v>
      </c>
      <c r="S453">
        <f>YEAR(Table1[[#This Row],[Order Date]])</f>
        <v>2025</v>
      </c>
    </row>
    <row r="454" spans="1:19" x14ac:dyDescent="0.3">
      <c r="A454" t="s">
        <v>958</v>
      </c>
      <c r="B454" s="1">
        <v>46089</v>
      </c>
      <c r="C454" t="s">
        <v>70</v>
      </c>
      <c r="D454" t="s">
        <v>71</v>
      </c>
      <c r="E454" t="s">
        <v>120</v>
      </c>
      <c r="F454" t="s">
        <v>37</v>
      </c>
      <c r="G454" t="s">
        <v>24</v>
      </c>
      <c r="H454" t="s">
        <v>56</v>
      </c>
      <c r="I454" t="s">
        <v>959</v>
      </c>
      <c r="J454">
        <v>14</v>
      </c>
      <c r="K454" s="2">
        <v>1647.46</v>
      </c>
      <c r="L454">
        <v>20</v>
      </c>
      <c r="M454" s="2">
        <v>18451.55</v>
      </c>
      <c r="N454" s="2">
        <v>13777.13</v>
      </c>
      <c r="O454" s="2">
        <v>4674.42</v>
      </c>
      <c r="P454" t="s">
        <v>41</v>
      </c>
      <c r="Q454" t="s">
        <v>42</v>
      </c>
      <c r="R454" t="str">
        <f>TEXT(Table1[[#This Row],[Order Date]],"mmmm")</f>
        <v>March</v>
      </c>
      <c r="S454">
        <f>YEAR(Table1[[#This Row],[Order Date]])</f>
        <v>2026</v>
      </c>
    </row>
    <row r="455" spans="1:19" x14ac:dyDescent="0.3">
      <c r="A455" t="s">
        <v>960</v>
      </c>
      <c r="B455" s="1">
        <v>45820</v>
      </c>
      <c r="C455" t="s">
        <v>86</v>
      </c>
      <c r="D455" t="s">
        <v>87</v>
      </c>
      <c r="E455" t="s">
        <v>120</v>
      </c>
      <c r="F455" t="s">
        <v>23</v>
      </c>
      <c r="G455" t="s">
        <v>24</v>
      </c>
      <c r="H455" t="s">
        <v>56</v>
      </c>
      <c r="I455" t="s">
        <v>961</v>
      </c>
      <c r="J455">
        <v>6</v>
      </c>
      <c r="K455" s="2">
        <v>2189.11</v>
      </c>
      <c r="L455">
        <v>5</v>
      </c>
      <c r="M455" s="2">
        <v>12477.93</v>
      </c>
      <c r="N455" s="2">
        <v>7096.48</v>
      </c>
      <c r="O455" s="2">
        <v>5381.45</v>
      </c>
      <c r="P455" t="s">
        <v>41</v>
      </c>
      <c r="Q455" t="s">
        <v>42</v>
      </c>
      <c r="R455" t="str">
        <f>TEXT(Table1[[#This Row],[Order Date]],"mmmm")</f>
        <v>June</v>
      </c>
      <c r="S455">
        <f>YEAR(Table1[[#This Row],[Order Date]])</f>
        <v>2025</v>
      </c>
    </row>
    <row r="456" spans="1:19" x14ac:dyDescent="0.3">
      <c r="A456" t="s">
        <v>962</v>
      </c>
      <c r="B456" s="1">
        <v>45695</v>
      </c>
      <c r="C456" t="s">
        <v>20</v>
      </c>
      <c r="D456" t="s">
        <v>21</v>
      </c>
      <c r="E456" t="s">
        <v>44</v>
      </c>
      <c r="F456" t="s">
        <v>31</v>
      </c>
      <c r="G456" t="s">
        <v>24</v>
      </c>
      <c r="H456" t="s">
        <v>134</v>
      </c>
      <c r="I456" t="s">
        <v>963</v>
      </c>
      <c r="J456">
        <v>12</v>
      </c>
      <c r="K456" s="2">
        <v>717.51</v>
      </c>
      <c r="L456">
        <v>20</v>
      </c>
      <c r="M456" s="2">
        <v>6888.1</v>
      </c>
      <c r="N456" s="2">
        <v>4990.57</v>
      </c>
      <c r="O456" s="2">
        <v>1897.53</v>
      </c>
      <c r="P456" t="s">
        <v>27</v>
      </c>
      <c r="Q456" t="s">
        <v>42</v>
      </c>
      <c r="R456" t="str">
        <f>TEXT(Table1[[#This Row],[Order Date]],"mmmm")</f>
        <v>February</v>
      </c>
      <c r="S456">
        <f>YEAR(Table1[[#This Row],[Order Date]])</f>
        <v>2025</v>
      </c>
    </row>
    <row r="457" spans="1:19" x14ac:dyDescent="0.3">
      <c r="A457" t="s">
        <v>964</v>
      </c>
      <c r="B457" s="1">
        <v>46022</v>
      </c>
      <c r="C457" t="s">
        <v>70</v>
      </c>
      <c r="D457" t="s">
        <v>71</v>
      </c>
      <c r="E457" t="s">
        <v>170</v>
      </c>
      <c r="F457" t="s">
        <v>31</v>
      </c>
      <c r="G457" t="s">
        <v>45</v>
      </c>
      <c r="H457" t="s">
        <v>67</v>
      </c>
      <c r="I457" t="s">
        <v>965</v>
      </c>
      <c r="J457">
        <v>14</v>
      </c>
      <c r="K457" s="2">
        <v>1204.32</v>
      </c>
      <c r="L457">
        <v>5</v>
      </c>
      <c r="M457" s="2">
        <v>16017.46</v>
      </c>
      <c r="N457" s="2">
        <v>9316.6299999999992</v>
      </c>
      <c r="O457" s="2">
        <v>6700.83</v>
      </c>
      <c r="P457" t="s">
        <v>41</v>
      </c>
      <c r="Q457" t="s">
        <v>49</v>
      </c>
      <c r="R457" t="str">
        <f>TEXT(Table1[[#This Row],[Order Date]],"mmmm")</f>
        <v>December</v>
      </c>
      <c r="S457">
        <f>YEAR(Table1[[#This Row],[Order Date]])</f>
        <v>2025</v>
      </c>
    </row>
    <row r="458" spans="1:19" x14ac:dyDescent="0.3">
      <c r="A458" t="s">
        <v>966</v>
      </c>
      <c r="B458" s="1">
        <v>45681</v>
      </c>
      <c r="C458" t="s">
        <v>20</v>
      </c>
      <c r="D458" t="s">
        <v>21</v>
      </c>
      <c r="E458" t="s">
        <v>30</v>
      </c>
      <c r="F458" t="s">
        <v>31</v>
      </c>
      <c r="G458" t="s">
        <v>38</v>
      </c>
      <c r="H458" t="s">
        <v>39</v>
      </c>
      <c r="I458" t="s">
        <v>967</v>
      </c>
      <c r="J458">
        <v>8</v>
      </c>
      <c r="K458" s="2">
        <v>469.56</v>
      </c>
      <c r="L458">
        <v>0</v>
      </c>
      <c r="M458" s="2">
        <v>3756.48</v>
      </c>
      <c r="N458" s="2">
        <v>2839.66</v>
      </c>
      <c r="O458" s="2">
        <v>916.82</v>
      </c>
      <c r="P458" t="s">
        <v>48</v>
      </c>
      <c r="Q458" t="s">
        <v>49</v>
      </c>
      <c r="R458" t="str">
        <f>TEXT(Table1[[#This Row],[Order Date]],"mmmm")</f>
        <v>January</v>
      </c>
      <c r="S458">
        <f>YEAR(Table1[[#This Row],[Order Date]])</f>
        <v>2025</v>
      </c>
    </row>
    <row r="459" spans="1:19" x14ac:dyDescent="0.3">
      <c r="A459" t="s">
        <v>968</v>
      </c>
      <c r="B459" s="1">
        <v>46123</v>
      </c>
      <c r="C459" t="s">
        <v>70</v>
      </c>
      <c r="D459" t="s">
        <v>71</v>
      </c>
      <c r="E459" t="s">
        <v>30</v>
      </c>
      <c r="F459" t="s">
        <v>23</v>
      </c>
      <c r="G459" t="s">
        <v>24</v>
      </c>
      <c r="H459" t="s">
        <v>32</v>
      </c>
      <c r="I459" t="s">
        <v>969</v>
      </c>
      <c r="J459">
        <v>11</v>
      </c>
      <c r="K459" s="2">
        <v>3341.82</v>
      </c>
      <c r="L459">
        <v>0</v>
      </c>
      <c r="M459" s="2">
        <v>36760.019999999997</v>
      </c>
      <c r="N459" s="2">
        <v>29251.27</v>
      </c>
      <c r="O459" s="2">
        <v>7508.75</v>
      </c>
      <c r="P459" t="s">
        <v>48</v>
      </c>
      <c r="Q459" t="s">
        <v>61</v>
      </c>
      <c r="R459" t="str">
        <f>TEXT(Table1[[#This Row],[Order Date]],"mmmm")</f>
        <v>April</v>
      </c>
      <c r="S459">
        <f>YEAR(Table1[[#This Row],[Order Date]])</f>
        <v>2026</v>
      </c>
    </row>
    <row r="460" spans="1:19" x14ac:dyDescent="0.3">
      <c r="A460" t="s">
        <v>970</v>
      </c>
      <c r="B460" s="1">
        <v>45698</v>
      </c>
      <c r="C460" t="s">
        <v>86</v>
      </c>
      <c r="D460" t="s">
        <v>87</v>
      </c>
      <c r="E460" t="s">
        <v>66</v>
      </c>
      <c r="F460" t="s">
        <v>31</v>
      </c>
      <c r="G460" t="s">
        <v>45</v>
      </c>
      <c r="H460" t="s">
        <v>46</v>
      </c>
      <c r="I460" t="s">
        <v>971</v>
      </c>
      <c r="J460">
        <v>1</v>
      </c>
      <c r="K460" s="2">
        <v>4839.21</v>
      </c>
      <c r="L460">
        <v>10</v>
      </c>
      <c r="M460" s="2">
        <v>4355.29</v>
      </c>
      <c r="N460" s="2">
        <v>2941.1</v>
      </c>
      <c r="O460" s="2">
        <v>1414.19</v>
      </c>
      <c r="P460" t="s">
        <v>27</v>
      </c>
      <c r="Q460" t="s">
        <v>28</v>
      </c>
      <c r="R460" t="str">
        <f>TEXT(Table1[[#This Row],[Order Date]],"mmmm")</f>
        <v>February</v>
      </c>
      <c r="S460">
        <f>YEAR(Table1[[#This Row],[Order Date]])</f>
        <v>2025</v>
      </c>
    </row>
    <row r="461" spans="1:19" x14ac:dyDescent="0.3">
      <c r="A461" t="s">
        <v>972</v>
      </c>
      <c r="B461" s="1">
        <v>45997</v>
      </c>
      <c r="C461" t="s">
        <v>35</v>
      </c>
      <c r="D461" t="s">
        <v>59</v>
      </c>
      <c r="E461" t="s">
        <v>66</v>
      </c>
      <c r="F461" t="s">
        <v>23</v>
      </c>
      <c r="G461" t="s">
        <v>24</v>
      </c>
      <c r="H461" t="s">
        <v>134</v>
      </c>
      <c r="I461" t="s">
        <v>973</v>
      </c>
      <c r="J461">
        <v>3</v>
      </c>
      <c r="K461" s="2">
        <v>3030.34</v>
      </c>
      <c r="L461">
        <v>0</v>
      </c>
      <c r="M461" s="2">
        <v>9091.02</v>
      </c>
      <c r="N461" s="2">
        <v>5206.55</v>
      </c>
      <c r="O461" s="2">
        <v>3884.47</v>
      </c>
      <c r="P461" t="s">
        <v>27</v>
      </c>
      <c r="Q461" t="s">
        <v>42</v>
      </c>
      <c r="R461" t="str">
        <f>TEXT(Table1[[#This Row],[Order Date]],"mmmm")</f>
        <v>December</v>
      </c>
      <c r="S461">
        <f>YEAR(Table1[[#This Row],[Order Date]])</f>
        <v>2025</v>
      </c>
    </row>
    <row r="462" spans="1:19" x14ac:dyDescent="0.3">
      <c r="A462" t="s">
        <v>974</v>
      </c>
      <c r="B462" s="1">
        <v>46009</v>
      </c>
      <c r="C462" t="s">
        <v>20</v>
      </c>
      <c r="D462" t="s">
        <v>55</v>
      </c>
      <c r="E462" t="s">
        <v>30</v>
      </c>
      <c r="F462" t="s">
        <v>23</v>
      </c>
      <c r="G462" t="s">
        <v>38</v>
      </c>
      <c r="H462" t="s">
        <v>91</v>
      </c>
      <c r="I462" t="s">
        <v>975</v>
      </c>
      <c r="J462">
        <v>9</v>
      </c>
      <c r="K462" s="2">
        <v>1696.26</v>
      </c>
      <c r="L462">
        <v>5</v>
      </c>
      <c r="M462" s="2">
        <v>14503.02</v>
      </c>
      <c r="N462" s="2">
        <v>8731.89</v>
      </c>
      <c r="O462" s="2">
        <v>5771.13</v>
      </c>
      <c r="P462" t="s">
        <v>27</v>
      </c>
      <c r="Q462" t="s">
        <v>28</v>
      </c>
      <c r="R462" t="str">
        <f>TEXT(Table1[[#This Row],[Order Date]],"mmmm")</f>
        <v>December</v>
      </c>
      <c r="S462">
        <f>YEAR(Table1[[#This Row],[Order Date]])</f>
        <v>2025</v>
      </c>
    </row>
    <row r="463" spans="1:19" x14ac:dyDescent="0.3">
      <c r="A463" t="s">
        <v>976</v>
      </c>
      <c r="B463" s="1">
        <v>45771</v>
      </c>
      <c r="C463" t="s">
        <v>20</v>
      </c>
      <c r="D463" t="s">
        <v>55</v>
      </c>
      <c r="E463" t="s">
        <v>51</v>
      </c>
      <c r="F463" t="s">
        <v>31</v>
      </c>
      <c r="G463" t="s">
        <v>38</v>
      </c>
      <c r="H463" t="s">
        <v>63</v>
      </c>
      <c r="I463" t="s">
        <v>977</v>
      </c>
      <c r="J463">
        <v>9</v>
      </c>
      <c r="K463" s="2">
        <v>2684.31</v>
      </c>
      <c r="L463">
        <v>5</v>
      </c>
      <c r="M463" s="2">
        <v>22950.85</v>
      </c>
      <c r="N463" s="2">
        <v>13255.78</v>
      </c>
      <c r="O463" s="2">
        <v>9695.07</v>
      </c>
      <c r="P463" t="s">
        <v>27</v>
      </c>
      <c r="Q463" t="s">
        <v>42</v>
      </c>
      <c r="R463" t="str">
        <f>TEXT(Table1[[#This Row],[Order Date]],"mmmm")</f>
        <v>April</v>
      </c>
      <c r="S463">
        <f>YEAR(Table1[[#This Row],[Order Date]])</f>
        <v>2025</v>
      </c>
    </row>
    <row r="464" spans="1:19" x14ac:dyDescent="0.3">
      <c r="A464" t="s">
        <v>978</v>
      </c>
      <c r="B464" s="1">
        <v>45951</v>
      </c>
      <c r="C464" t="s">
        <v>35</v>
      </c>
      <c r="D464" t="s">
        <v>36</v>
      </c>
      <c r="E464" t="s">
        <v>51</v>
      </c>
      <c r="F464" t="s">
        <v>37</v>
      </c>
      <c r="G464" t="s">
        <v>45</v>
      </c>
      <c r="H464" t="s">
        <v>52</v>
      </c>
      <c r="I464" t="s">
        <v>979</v>
      </c>
      <c r="J464">
        <v>12</v>
      </c>
      <c r="K464" s="2">
        <v>4528.62</v>
      </c>
      <c r="L464">
        <v>10</v>
      </c>
      <c r="M464" s="2">
        <v>48909.1</v>
      </c>
      <c r="N464" s="2">
        <v>35776.769999999997</v>
      </c>
      <c r="O464" s="2">
        <v>13132.33</v>
      </c>
      <c r="P464" t="s">
        <v>48</v>
      </c>
      <c r="Q464" t="s">
        <v>28</v>
      </c>
      <c r="R464" t="str">
        <f>TEXT(Table1[[#This Row],[Order Date]],"mmmm")</f>
        <v>October</v>
      </c>
      <c r="S464">
        <f>YEAR(Table1[[#This Row],[Order Date]])</f>
        <v>2025</v>
      </c>
    </row>
    <row r="465" spans="1:19" x14ac:dyDescent="0.3">
      <c r="A465" t="s">
        <v>980</v>
      </c>
      <c r="B465" s="1">
        <v>46115</v>
      </c>
      <c r="C465" t="s">
        <v>20</v>
      </c>
      <c r="D465" t="s">
        <v>21</v>
      </c>
      <c r="E465" t="s">
        <v>113</v>
      </c>
      <c r="F465" t="s">
        <v>23</v>
      </c>
      <c r="G465" t="s">
        <v>24</v>
      </c>
      <c r="H465" t="s">
        <v>171</v>
      </c>
      <c r="I465" t="s">
        <v>981</v>
      </c>
      <c r="J465">
        <v>9</v>
      </c>
      <c r="K465" s="2">
        <v>3075.09</v>
      </c>
      <c r="L465">
        <v>20</v>
      </c>
      <c r="M465" s="2">
        <v>22140.65</v>
      </c>
      <c r="N465" s="2">
        <v>13824.35</v>
      </c>
      <c r="O465" s="2">
        <v>8316.2999999999993</v>
      </c>
      <c r="P465" t="s">
        <v>27</v>
      </c>
      <c r="Q465" t="s">
        <v>28</v>
      </c>
      <c r="R465" t="str">
        <f>TEXT(Table1[[#This Row],[Order Date]],"mmmm")</f>
        <v>April</v>
      </c>
      <c r="S465">
        <f>YEAR(Table1[[#This Row],[Order Date]])</f>
        <v>2026</v>
      </c>
    </row>
    <row r="466" spans="1:19" x14ac:dyDescent="0.3">
      <c r="A466" t="s">
        <v>982</v>
      </c>
      <c r="B466" s="1">
        <v>45730</v>
      </c>
      <c r="C466" t="s">
        <v>20</v>
      </c>
      <c r="D466" t="s">
        <v>55</v>
      </c>
      <c r="E466" t="s">
        <v>113</v>
      </c>
      <c r="F466" t="s">
        <v>23</v>
      </c>
      <c r="G466" t="s">
        <v>45</v>
      </c>
      <c r="H466" t="s">
        <v>159</v>
      </c>
      <c r="I466" t="s">
        <v>983</v>
      </c>
      <c r="J466">
        <v>12</v>
      </c>
      <c r="K466" s="2">
        <v>3300.62</v>
      </c>
      <c r="L466">
        <v>10</v>
      </c>
      <c r="M466" s="2">
        <v>35646.699999999997</v>
      </c>
      <c r="N466" s="2">
        <v>27651.66</v>
      </c>
      <c r="O466" s="2">
        <v>7995.04</v>
      </c>
      <c r="P466" t="s">
        <v>41</v>
      </c>
      <c r="Q466" t="s">
        <v>49</v>
      </c>
      <c r="R466" t="str">
        <f>TEXT(Table1[[#This Row],[Order Date]],"mmmm")</f>
        <v>March</v>
      </c>
      <c r="S466">
        <f>YEAR(Table1[[#This Row],[Order Date]])</f>
        <v>2025</v>
      </c>
    </row>
    <row r="467" spans="1:19" x14ac:dyDescent="0.3">
      <c r="A467" t="s">
        <v>984</v>
      </c>
      <c r="B467" s="1">
        <v>45958</v>
      </c>
      <c r="C467" t="s">
        <v>35</v>
      </c>
      <c r="D467" t="s">
        <v>36</v>
      </c>
      <c r="E467" t="s">
        <v>120</v>
      </c>
      <c r="F467" t="s">
        <v>37</v>
      </c>
      <c r="G467" t="s">
        <v>45</v>
      </c>
      <c r="H467" t="s">
        <v>159</v>
      </c>
      <c r="I467" t="s">
        <v>985</v>
      </c>
      <c r="J467">
        <v>10</v>
      </c>
      <c r="K467" s="2">
        <v>2507.33</v>
      </c>
      <c r="L467">
        <v>10</v>
      </c>
      <c r="M467" s="2">
        <v>22565.97</v>
      </c>
      <c r="N467" s="2">
        <v>17773.259999999998</v>
      </c>
      <c r="O467" s="2">
        <v>4792.71</v>
      </c>
      <c r="P467" t="s">
        <v>48</v>
      </c>
      <c r="Q467" t="s">
        <v>61</v>
      </c>
      <c r="R467" t="str">
        <f>TEXT(Table1[[#This Row],[Order Date]],"mmmm")</f>
        <v>October</v>
      </c>
      <c r="S467">
        <f>YEAR(Table1[[#This Row],[Order Date]])</f>
        <v>2025</v>
      </c>
    </row>
    <row r="468" spans="1:19" x14ac:dyDescent="0.3">
      <c r="A468" t="s">
        <v>986</v>
      </c>
      <c r="B468" s="1">
        <v>46059</v>
      </c>
      <c r="C468" t="s">
        <v>70</v>
      </c>
      <c r="D468" t="s">
        <v>75</v>
      </c>
      <c r="E468" t="s">
        <v>44</v>
      </c>
      <c r="F468" t="s">
        <v>37</v>
      </c>
      <c r="G468" t="s">
        <v>45</v>
      </c>
      <c r="H468" t="s">
        <v>52</v>
      </c>
      <c r="I468" t="s">
        <v>987</v>
      </c>
      <c r="J468">
        <v>14</v>
      </c>
      <c r="K468" s="2">
        <v>4893.26</v>
      </c>
      <c r="L468">
        <v>15</v>
      </c>
      <c r="M468" s="2">
        <v>58229.79</v>
      </c>
      <c r="N468" s="2">
        <v>43388.14</v>
      </c>
      <c r="O468" s="2">
        <v>14841.65</v>
      </c>
      <c r="P468" t="s">
        <v>48</v>
      </c>
      <c r="Q468" t="s">
        <v>61</v>
      </c>
      <c r="R468" t="str">
        <f>TEXT(Table1[[#This Row],[Order Date]],"mmmm")</f>
        <v>February</v>
      </c>
      <c r="S468">
        <f>YEAR(Table1[[#This Row],[Order Date]])</f>
        <v>2026</v>
      </c>
    </row>
    <row r="469" spans="1:19" x14ac:dyDescent="0.3">
      <c r="A469" t="s">
        <v>988</v>
      </c>
      <c r="B469" s="1">
        <v>46082</v>
      </c>
      <c r="C469" t="s">
        <v>86</v>
      </c>
      <c r="D469" t="s">
        <v>87</v>
      </c>
      <c r="E469" t="s">
        <v>113</v>
      </c>
      <c r="F469" t="s">
        <v>31</v>
      </c>
      <c r="G469" t="s">
        <v>38</v>
      </c>
      <c r="H469" t="s">
        <v>91</v>
      </c>
      <c r="I469" t="s">
        <v>989</v>
      </c>
      <c r="J469">
        <v>13</v>
      </c>
      <c r="K469" s="2">
        <v>4351.42</v>
      </c>
      <c r="L469">
        <v>10</v>
      </c>
      <c r="M469" s="2">
        <v>50911.61</v>
      </c>
      <c r="N469" s="2">
        <v>39334.22</v>
      </c>
      <c r="O469" s="2">
        <v>11577.39</v>
      </c>
      <c r="P469" t="s">
        <v>27</v>
      </c>
      <c r="Q469" t="s">
        <v>42</v>
      </c>
      <c r="R469" t="str">
        <f>TEXT(Table1[[#This Row],[Order Date]],"mmmm")</f>
        <v>March</v>
      </c>
      <c r="S469">
        <f>YEAR(Table1[[#This Row],[Order Date]])</f>
        <v>2026</v>
      </c>
    </row>
    <row r="470" spans="1:19" x14ac:dyDescent="0.3">
      <c r="A470" t="s">
        <v>990</v>
      </c>
      <c r="B470" s="1">
        <v>45912</v>
      </c>
      <c r="C470" t="s">
        <v>86</v>
      </c>
      <c r="D470" t="s">
        <v>87</v>
      </c>
      <c r="E470" t="s">
        <v>30</v>
      </c>
      <c r="F470" t="s">
        <v>31</v>
      </c>
      <c r="G470" t="s">
        <v>45</v>
      </c>
      <c r="H470" t="s">
        <v>52</v>
      </c>
      <c r="I470" t="s">
        <v>991</v>
      </c>
      <c r="J470">
        <v>6</v>
      </c>
      <c r="K470" s="2">
        <v>259.58999999999997</v>
      </c>
      <c r="L470">
        <v>0</v>
      </c>
      <c r="M470" s="2">
        <v>1557.54</v>
      </c>
      <c r="N470" s="2">
        <v>1259.1300000000001</v>
      </c>
      <c r="O470" s="2">
        <v>298.41000000000003</v>
      </c>
      <c r="P470" t="s">
        <v>48</v>
      </c>
      <c r="Q470" t="s">
        <v>28</v>
      </c>
      <c r="R470" t="str">
        <f>TEXT(Table1[[#This Row],[Order Date]],"mmmm")</f>
        <v>September</v>
      </c>
      <c r="S470">
        <f>YEAR(Table1[[#This Row],[Order Date]])</f>
        <v>2025</v>
      </c>
    </row>
    <row r="471" spans="1:19" x14ac:dyDescent="0.3">
      <c r="A471" t="s">
        <v>992</v>
      </c>
      <c r="B471" s="1">
        <v>45705</v>
      </c>
      <c r="C471" t="s">
        <v>86</v>
      </c>
      <c r="D471" t="s">
        <v>87</v>
      </c>
      <c r="E471" t="s">
        <v>51</v>
      </c>
      <c r="F471" t="s">
        <v>23</v>
      </c>
      <c r="G471" t="s">
        <v>24</v>
      </c>
      <c r="H471" t="s">
        <v>32</v>
      </c>
      <c r="I471" t="s">
        <v>993</v>
      </c>
      <c r="J471">
        <v>5</v>
      </c>
      <c r="K471" s="2">
        <v>1531.95</v>
      </c>
      <c r="L471">
        <v>0</v>
      </c>
      <c r="M471" s="2">
        <v>7659.75</v>
      </c>
      <c r="N471" s="2">
        <v>4812.32</v>
      </c>
      <c r="O471" s="2">
        <v>2847.43</v>
      </c>
      <c r="P471" t="s">
        <v>48</v>
      </c>
      <c r="Q471" t="s">
        <v>28</v>
      </c>
      <c r="R471" t="str">
        <f>TEXT(Table1[[#This Row],[Order Date]],"mmmm")</f>
        <v>February</v>
      </c>
      <c r="S471">
        <f>YEAR(Table1[[#This Row],[Order Date]])</f>
        <v>2025</v>
      </c>
    </row>
    <row r="472" spans="1:19" x14ac:dyDescent="0.3">
      <c r="A472" t="s">
        <v>994</v>
      </c>
      <c r="B472" s="1">
        <v>45840</v>
      </c>
      <c r="C472" t="s">
        <v>20</v>
      </c>
      <c r="D472" t="s">
        <v>21</v>
      </c>
      <c r="E472" t="s">
        <v>30</v>
      </c>
      <c r="F472" t="s">
        <v>23</v>
      </c>
      <c r="G472" t="s">
        <v>45</v>
      </c>
      <c r="H472" t="s">
        <v>52</v>
      </c>
      <c r="I472" t="s">
        <v>995</v>
      </c>
      <c r="J472">
        <v>7</v>
      </c>
      <c r="K472" s="2">
        <v>2473.04</v>
      </c>
      <c r="L472">
        <v>20</v>
      </c>
      <c r="M472" s="2">
        <v>13849.02</v>
      </c>
      <c r="N472" s="2">
        <v>10573.59</v>
      </c>
      <c r="O472" s="2">
        <v>3275.43</v>
      </c>
      <c r="P472" t="s">
        <v>48</v>
      </c>
      <c r="Q472" t="s">
        <v>61</v>
      </c>
      <c r="R472" t="str">
        <f>TEXT(Table1[[#This Row],[Order Date]],"mmmm")</f>
        <v>July</v>
      </c>
      <c r="S472">
        <f>YEAR(Table1[[#This Row],[Order Date]])</f>
        <v>2025</v>
      </c>
    </row>
    <row r="473" spans="1:19" x14ac:dyDescent="0.3">
      <c r="A473" t="s">
        <v>996</v>
      </c>
      <c r="B473" s="1">
        <v>45907</v>
      </c>
      <c r="C473" t="s">
        <v>86</v>
      </c>
      <c r="D473" t="s">
        <v>87</v>
      </c>
      <c r="E473" t="s">
        <v>51</v>
      </c>
      <c r="F473" t="s">
        <v>37</v>
      </c>
      <c r="G473" t="s">
        <v>38</v>
      </c>
      <c r="H473" t="s">
        <v>39</v>
      </c>
      <c r="I473" t="s">
        <v>997</v>
      </c>
      <c r="J473">
        <v>10</v>
      </c>
      <c r="K473" s="2">
        <v>1165.8499999999999</v>
      </c>
      <c r="L473">
        <v>15</v>
      </c>
      <c r="M473" s="2">
        <v>9909.73</v>
      </c>
      <c r="N473" s="2">
        <v>5520.28</v>
      </c>
      <c r="O473" s="2">
        <v>4389.45</v>
      </c>
      <c r="P473" t="s">
        <v>48</v>
      </c>
      <c r="Q473" t="s">
        <v>61</v>
      </c>
      <c r="R473" t="str">
        <f>TEXT(Table1[[#This Row],[Order Date]],"mmmm")</f>
        <v>September</v>
      </c>
      <c r="S473">
        <f>YEAR(Table1[[#This Row],[Order Date]])</f>
        <v>2025</v>
      </c>
    </row>
    <row r="474" spans="1:19" x14ac:dyDescent="0.3">
      <c r="A474" t="s">
        <v>998</v>
      </c>
      <c r="B474" s="1">
        <v>46057</v>
      </c>
      <c r="C474" t="s">
        <v>35</v>
      </c>
      <c r="D474" t="s">
        <v>36</v>
      </c>
      <c r="E474" t="s">
        <v>44</v>
      </c>
      <c r="F474" t="s">
        <v>23</v>
      </c>
      <c r="G474" t="s">
        <v>38</v>
      </c>
      <c r="H474" t="s">
        <v>72</v>
      </c>
      <c r="I474" t="s">
        <v>999</v>
      </c>
      <c r="J474">
        <v>13</v>
      </c>
      <c r="K474" s="2">
        <v>1319.97</v>
      </c>
      <c r="L474">
        <v>5</v>
      </c>
      <c r="M474" s="2">
        <v>16301.63</v>
      </c>
      <c r="N474" s="2">
        <v>9418.36</v>
      </c>
      <c r="O474" s="2">
        <v>6883.27</v>
      </c>
      <c r="P474" t="s">
        <v>41</v>
      </c>
      <c r="Q474" t="s">
        <v>42</v>
      </c>
      <c r="R474" t="str">
        <f>TEXT(Table1[[#This Row],[Order Date]],"mmmm")</f>
        <v>February</v>
      </c>
      <c r="S474">
        <f>YEAR(Table1[[#This Row],[Order Date]])</f>
        <v>2026</v>
      </c>
    </row>
    <row r="475" spans="1:19" x14ac:dyDescent="0.3">
      <c r="A475" t="s">
        <v>1000</v>
      </c>
      <c r="B475" s="1">
        <v>46095</v>
      </c>
      <c r="C475" t="s">
        <v>35</v>
      </c>
      <c r="D475" t="s">
        <v>36</v>
      </c>
      <c r="E475" t="s">
        <v>51</v>
      </c>
      <c r="F475" t="s">
        <v>37</v>
      </c>
      <c r="G475" t="s">
        <v>38</v>
      </c>
      <c r="H475" t="s">
        <v>63</v>
      </c>
      <c r="I475" t="s">
        <v>1001</v>
      </c>
      <c r="J475">
        <v>11</v>
      </c>
      <c r="K475" s="2">
        <v>2587.27</v>
      </c>
      <c r="L475">
        <v>0</v>
      </c>
      <c r="M475" s="2">
        <v>28459.97</v>
      </c>
      <c r="N475" s="2">
        <v>18515.57</v>
      </c>
      <c r="O475" s="2">
        <v>9944.4</v>
      </c>
      <c r="P475" t="s">
        <v>27</v>
      </c>
      <c r="Q475" t="s">
        <v>28</v>
      </c>
      <c r="R475" t="str">
        <f>TEXT(Table1[[#This Row],[Order Date]],"mmmm")</f>
        <v>March</v>
      </c>
      <c r="S475">
        <f>YEAR(Table1[[#This Row],[Order Date]])</f>
        <v>2026</v>
      </c>
    </row>
    <row r="476" spans="1:19" x14ac:dyDescent="0.3">
      <c r="A476" t="s">
        <v>1002</v>
      </c>
      <c r="B476" s="1">
        <v>45683</v>
      </c>
      <c r="C476" t="s">
        <v>70</v>
      </c>
      <c r="D476" t="s">
        <v>75</v>
      </c>
      <c r="E476" t="s">
        <v>44</v>
      </c>
      <c r="F476" t="s">
        <v>23</v>
      </c>
      <c r="G476" t="s">
        <v>45</v>
      </c>
      <c r="H476" t="s">
        <v>159</v>
      </c>
      <c r="I476" t="s">
        <v>1003</v>
      </c>
      <c r="J476">
        <v>11</v>
      </c>
      <c r="K476" s="2">
        <v>3339.74</v>
      </c>
      <c r="L476">
        <v>20</v>
      </c>
      <c r="M476" s="2">
        <v>29389.71</v>
      </c>
      <c r="N476" s="2">
        <v>22680.95</v>
      </c>
      <c r="O476" s="2">
        <v>6708.76</v>
      </c>
      <c r="P476" t="s">
        <v>27</v>
      </c>
      <c r="Q476" t="s">
        <v>61</v>
      </c>
      <c r="R476" t="str">
        <f>TEXT(Table1[[#This Row],[Order Date]],"mmmm")</f>
        <v>January</v>
      </c>
      <c r="S476">
        <f>YEAR(Table1[[#This Row],[Order Date]])</f>
        <v>2025</v>
      </c>
    </row>
    <row r="477" spans="1:19" x14ac:dyDescent="0.3">
      <c r="A477" t="s">
        <v>1004</v>
      </c>
      <c r="B477" s="1">
        <v>46188</v>
      </c>
      <c r="C477" t="s">
        <v>35</v>
      </c>
      <c r="D477" t="s">
        <v>36</v>
      </c>
      <c r="E477" t="s">
        <v>30</v>
      </c>
      <c r="F477" t="s">
        <v>37</v>
      </c>
      <c r="G477" t="s">
        <v>38</v>
      </c>
      <c r="H477" t="s">
        <v>63</v>
      </c>
      <c r="I477" t="s">
        <v>1005</v>
      </c>
      <c r="J477">
        <v>13</v>
      </c>
      <c r="K477" s="2">
        <v>2272.52</v>
      </c>
      <c r="L477">
        <v>10</v>
      </c>
      <c r="M477" s="2">
        <v>26588.48</v>
      </c>
      <c r="N477" s="2">
        <v>17363</v>
      </c>
      <c r="O477" s="2">
        <v>9225.48</v>
      </c>
      <c r="P477" t="s">
        <v>27</v>
      </c>
      <c r="Q477" t="s">
        <v>61</v>
      </c>
      <c r="R477" t="str">
        <f>TEXT(Table1[[#This Row],[Order Date]],"mmmm")</f>
        <v>June</v>
      </c>
      <c r="S477">
        <f>YEAR(Table1[[#This Row],[Order Date]])</f>
        <v>2026</v>
      </c>
    </row>
    <row r="478" spans="1:19" x14ac:dyDescent="0.3">
      <c r="A478" t="s">
        <v>1006</v>
      </c>
      <c r="B478" s="1">
        <v>45695</v>
      </c>
      <c r="C478" t="s">
        <v>86</v>
      </c>
      <c r="D478" t="s">
        <v>87</v>
      </c>
      <c r="E478" t="s">
        <v>44</v>
      </c>
      <c r="F478" t="s">
        <v>37</v>
      </c>
      <c r="G478" t="s">
        <v>24</v>
      </c>
      <c r="H478" t="s">
        <v>32</v>
      </c>
      <c r="I478" t="s">
        <v>1007</v>
      </c>
      <c r="J478">
        <v>2</v>
      </c>
      <c r="K478" s="2">
        <v>517.76</v>
      </c>
      <c r="L478">
        <v>0</v>
      </c>
      <c r="M478" s="2">
        <v>1035.52</v>
      </c>
      <c r="N478" s="2">
        <v>682.88</v>
      </c>
      <c r="O478" s="2">
        <v>352.64</v>
      </c>
      <c r="P478" t="s">
        <v>41</v>
      </c>
      <c r="Q478" t="s">
        <v>42</v>
      </c>
      <c r="R478" t="str">
        <f>TEXT(Table1[[#This Row],[Order Date]],"mmmm")</f>
        <v>February</v>
      </c>
      <c r="S478">
        <f>YEAR(Table1[[#This Row],[Order Date]])</f>
        <v>2025</v>
      </c>
    </row>
    <row r="479" spans="1:19" x14ac:dyDescent="0.3">
      <c r="A479" t="s">
        <v>1008</v>
      </c>
      <c r="B479" s="1">
        <v>45945</v>
      </c>
      <c r="C479" t="s">
        <v>20</v>
      </c>
      <c r="D479" t="s">
        <v>55</v>
      </c>
      <c r="E479" t="s">
        <v>51</v>
      </c>
      <c r="F479" t="s">
        <v>37</v>
      </c>
      <c r="G479" t="s">
        <v>38</v>
      </c>
      <c r="H479" t="s">
        <v>72</v>
      </c>
      <c r="I479" t="s">
        <v>1009</v>
      </c>
      <c r="J479">
        <v>2</v>
      </c>
      <c r="K479" s="2">
        <v>2011.08</v>
      </c>
      <c r="L479">
        <v>5</v>
      </c>
      <c r="M479" s="2">
        <v>3821.05</v>
      </c>
      <c r="N479" s="2">
        <v>2197.39</v>
      </c>
      <c r="O479" s="2">
        <v>1623.66</v>
      </c>
      <c r="P479" t="s">
        <v>27</v>
      </c>
      <c r="Q479" t="s">
        <v>49</v>
      </c>
      <c r="R479" t="str">
        <f>TEXT(Table1[[#This Row],[Order Date]],"mmmm")</f>
        <v>October</v>
      </c>
      <c r="S479">
        <f>YEAR(Table1[[#This Row],[Order Date]])</f>
        <v>2025</v>
      </c>
    </row>
    <row r="480" spans="1:19" x14ac:dyDescent="0.3">
      <c r="A480" t="s">
        <v>1010</v>
      </c>
      <c r="B480" s="1">
        <v>45695</v>
      </c>
      <c r="C480" t="s">
        <v>86</v>
      </c>
      <c r="D480" t="s">
        <v>87</v>
      </c>
      <c r="E480" t="s">
        <v>66</v>
      </c>
      <c r="F480" t="s">
        <v>31</v>
      </c>
      <c r="G480" t="s">
        <v>24</v>
      </c>
      <c r="H480" t="s">
        <v>25</v>
      </c>
      <c r="I480" t="s">
        <v>1011</v>
      </c>
      <c r="J480">
        <v>7</v>
      </c>
      <c r="K480" s="2">
        <v>2812</v>
      </c>
      <c r="L480">
        <v>0</v>
      </c>
      <c r="M480" s="2">
        <v>19684</v>
      </c>
      <c r="N480" s="2">
        <v>11938.74</v>
      </c>
      <c r="O480" s="2">
        <v>7745.26</v>
      </c>
      <c r="P480" t="s">
        <v>41</v>
      </c>
      <c r="Q480" t="s">
        <v>49</v>
      </c>
      <c r="R480" t="str">
        <f>TEXT(Table1[[#This Row],[Order Date]],"mmmm")</f>
        <v>February</v>
      </c>
      <c r="S480">
        <f>YEAR(Table1[[#This Row],[Order Date]])</f>
        <v>2025</v>
      </c>
    </row>
    <row r="481" spans="1:19" x14ac:dyDescent="0.3">
      <c r="A481" t="s">
        <v>1012</v>
      </c>
      <c r="B481" s="1">
        <v>46015</v>
      </c>
      <c r="C481" t="s">
        <v>70</v>
      </c>
      <c r="D481" t="s">
        <v>71</v>
      </c>
      <c r="E481" t="s">
        <v>44</v>
      </c>
      <c r="F481" t="s">
        <v>23</v>
      </c>
      <c r="G481" t="s">
        <v>45</v>
      </c>
      <c r="H481" t="s">
        <v>159</v>
      </c>
      <c r="I481" t="s">
        <v>1013</v>
      </c>
      <c r="J481">
        <v>1</v>
      </c>
      <c r="K481" s="2">
        <v>2266.38</v>
      </c>
      <c r="L481">
        <v>5</v>
      </c>
      <c r="M481" s="2">
        <v>2153.06</v>
      </c>
      <c r="N481" s="2">
        <v>1678.05</v>
      </c>
      <c r="O481" s="2">
        <v>475.01</v>
      </c>
      <c r="P481" t="s">
        <v>27</v>
      </c>
      <c r="Q481" t="s">
        <v>42</v>
      </c>
      <c r="R481" t="str">
        <f>TEXT(Table1[[#This Row],[Order Date]],"mmmm")</f>
        <v>December</v>
      </c>
      <c r="S481">
        <f>YEAR(Table1[[#This Row],[Order Date]])</f>
        <v>2025</v>
      </c>
    </row>
    <row r="482" spans="1:19" x14ac:dyDescent="0.3">
      <c r="A482" t="s">
        <v>1014</v>
      </c>
      <c r="B482" s="1">
        <v>46068</v>
      </c>
      <c r="C482" t="s">
        <v>20</v>
      </c>
      <c r="D482" t="s">
        <v>21</v>
      </c>
      <c r="E482" t="s">
        <v>120</v>
      </c>
      <c r="F482" t="s">
        <v>31</v>
      </c>
      <c r="G482" t="s">
        <v>38</v>
      </c>
      <c r="H482" t="s">
        <v>106</v>
      </c>
      <c r="I482" t="s">
        <v>1015</v>
      </c>
      <c r="J482">
        <v>4</v>
      </c>
      <c r="K482" s="2">
        <v>4941.53</v>
      </c>
      <c r="L482">
        <v>15</v>
      </c>
      <c r="M482" s="2">
        <v>16801.2</v>
      </c>
      <c r="N482" s="2">
        <v>10085.9</v>
      </c>
      <c r="O482" s="2">
        <v>6715.3</v>
      </c>
      <c r="P482" t="s">
        <v>41</v>
      </c>
      <c r="Q482" t="s">
        <v>61</v>
      </c>
      <c r="R482" t="str">
        <f>TEXT(Table1[[#This Row],[Order Date]],"mmmm")</f>
        <v>February</v>
      </c>
      <c r="S482">
        <f>YEAR(Table1[[#This Row],[Order Date]])</f>
        <v>2026</v>
      </c>
    </row>
    <row r="483" spans="1:19" x14ac:dyDescent="0.3">
      <c r="A483" t="s">
        <v>1016</v>
      </c>
      <c r="B483" s="1">
        <v>46030</v>
      </c>
      <c r="C483" t="s">
        <v>20</v>
      </c>
      <c r="D483" t="s">
        <v>55</v>
      </c>
      <c r="E483" t="s">
        <v>113</v>
      </c>
      <c r="F483" t="s">
        <v>23</v>
      </c>
      <c r="G483" t="s">
        <v>45</v>
      </c>
      <c r="H483" t="s">
        <v>159</v>
      </c>
      <c r="I483" t="s">
        <v>1017</v>
      </c>
      <c r="J483">
        <v>4</v>
      </c>
      <c r="K483" s="2">
        <v>1637.24</v>
      </c>
      <c r="L483">
        <v>20</v>
      </c>
      <c r="M483" s="2">
        <v>5239.17</v>
      </c>
      <c r="N483" s="2">
        <v>3018.64</v>
      </c>
      <c r="O483" s="2">
        <v>2220.5300000000002</v>
      </c>
      <c r="P483" t="s">
        <v>27</v>
      </c>
      <c r="Q483" t="s">
        <v>49</v>
      </c>
      <c r="R483" t="str">
        <f>TEXT(Table1[[#This Row],[Order Date]],"mmmm")</f>
        <v>January</v>
      </c>
      <c r="S483">
        <f>YEAR(Table1[[#This Row],[Order Date]])</f>
        <v>2026</v>
      </c>
    </row>
    <row r="484" spans="1:19" x14ac:dyDescent="0.3">
      <c r="A484" t="s">
        <v>1018</v>
      </c>
      <c r="B484" s="1">
        <v>46024</v>
      </c>
      <c r="C484" t="s">
        <v>35</v>
      </c>
      <c r="D484" t="s">
        <v>59</v>
      </c>
      <c r="E484" t="s">
        <v>120</v>
      </c>
      <c r="F484" t="s">
        <v>23</v>
      </c>
      <c r="G484" t="s">
        <v>24</v>
      </c>
      <c r="H484" t="s">
        <v>32</v>
      </c>
      <c r="I484" t="s">
        <v>1019</v>
      </c>
      <c r="J484">
        <v>8</v>
      </c>
      <c r="K484" s="2">
        <v>1875.46</v>
      </c>
      <c r="L484">
        <v>20</v>
      </c>
      <c r="M484" s="2">
        <v>12002.94</v>
      </c>
      <c r="N484" s="2">
        <v>7351.02</v>
      </c>
      <c r="O484" s="2">
        <v>4651.92</v>
      </c>
      <c r="P484" t="s">
        <v>48</v>
      </c>
      <c r="Q484" t="s">
        <v>42</v>
      </c>
      <c r="R484" t="str">
        <f>TEXT(Table1[[#This Row],[Order Date]],"mmmm")</f>
        <v>January</v>
      </c>
      <c r="S484">
        <f>YEAR(Table1[[#This Row],[Order Date]])</f>
        <v>2026</v>
      </c>
    </row>
    <row r="485" spans="1:19" x14ac:dyDescent="0.3">
      <c r="A485" t="s">
        <v>1020</v>
      </c>
      <c r="B485" s="1">
        <v>46058</v>
      </c>
      <c r="C485" t="s">
        <v>20</v>
      </c>
      <c r="D485" t="s">
        <v>55</v>
      </c>
      <c r="E485" t="s">
        <v>22</v>
      </c>
      <c r="F485" t="s">
        <v>37</v>
      </c>
      <c r="G485" t="s">
        <v>24</v>
      </c>
      <c r="H485" t="s">
        <v>32</v>
      </c>
      <c r="I485" t="s">
        <v>969</v>
      </c>
      <c r="J485">
        <v>12</v>
      </c>
      <c r="K485" s="2">
        <v>4900.76</v>
      </c>
      <c r="L485">
        <v>20</v>
      </c>
      <c r="M485" s="2">
        <v>47047.3</v>
      </c>
      <c r="N485" s="2">
        <v>37638.11</v>
      </c>
      <c r="O485" s="2">
        <v>9409.19</v>
      </c>
      <c r="P485" t="s">
        <v>41</v>
      </c>
      <c r="Q485" t="s">
        <v>42</v>
      </c>
      <c r="R485" t="str">
        <f>TEXT(Table1[[#This Row],[Order Date]],"mmmm")</f>
        <v>February</v>
      </c>
      <c r="S485">
        <f>YEAR(Table1[[#This Row],[Order Date]])</f>
        <v>2026</v>
      </c>
    </row>
    <row r="486" spans="1:19" x14ac:dyDescent="0.3">
      <c r="A486" t="s">
        <v>1021</v>
      </c>
      <c r="B486" s="1">
        <v>45719</v>
      </c>
      <c r="C486" t="s">
        <v>86</v>
      </c>
      <c r="D486" t="s">
        <v>87</v>
      </c>
      <c r="E486" t="s">
        <v>51</v>
      </c>
      <c r="F486" t="s">
        <v>37</v>
      </c>
      <c r="G486" t="s">
        <v>24</v>
      </c>
      <c r="H486" t="s">
        <v>25</v>
      </c>
      <c r="I486" t="s">
        <v>1022</v>
      </c>
      <c r="J486">
        <v>1</v>
      </c>
      <c r="K486" s="2">
        <v>330.52</v>
      </c>
      <c r="L486">
        <v>0</v>
      </c>
      <c r="M486" s="2">
        <v>330.52</v>
      </c>
      <c r="N486" s="2">
        <v>254.74</v>
      </c>
      <c r="O486" s="2">
        <v>75.78</v>
      </c>
      <c r="P486" t="s">
        <v>48</v>
      </c>
      <c r="Q486" t="s">
        <v>49</v>
      </c>
      <c r="R486" t="str">
        <f>TEXT(Table1[[#This Row],[Order Date]],"mmmm")</f>
        <v>March</v>
      </c>
      <c r="S486">
        <f>YEAR(Table1[[#This Row],[Order Date]])</f>
        <v>2025</v>
      </c>
    </row>
    <row r="487" spans="1:19" x14ac:dyDescent="0.3">
      <c r="A487" t="s">
        <v>1023</v>
      </c>
      <c r="B487" s="1">
        <v>46129</v>
      </c>
      <c r="C487" t="s">
        <v>70</v>
      </c>
      <c r="D487" t="s">
        <v>75</v>
      </c>
      <c r="E487" t="s">
        <v>51</v>
      </c>
      <c r="F487" t="s">
        <v>37</v>
      </c>
      <c r="G487" t="s">
        <v>24</v>
      </c>
      <c r="H487" t="s">
        <v>32</v>
      </c>
      <c r="I487" t="s">
        <v>1024</v>
      </c>
      <c r="J487">
        <v>12</v>
      </c>
      <c r="K487" s="2">
        <v>4048.84</v>
      </c>
      <c r="L487">
        <v>5</v>
      </c>
      <c r="M487" s="2">
        <v>46156.78</v>
      </c>
      <c r="N487" s="2">
        <v>32111.48</v>
      </c>
      <c r="O487" s="2">
        <v>14045.3</v>
      </c>
      <c r="P487" t="s">
        <v>27</v>
      </c>
      <c r="Q487" t="s">
        <v>28</v>
      </c>
      <c r="R487" t="str">
        <f>TEXT(Table1[[#This Row],[Order Date]],"mmmm")</f>
        <v>April</v>
      </c>
      <c r="S487">
        <f>YEAR(Table1[[#This Row],[Order Date]])</f>
        <v>2026</v>
      </c>
    </row>
    <row r="488" spans="1:19" x14ac:dyDescent="0.3">
      <c r="A488" t="s">
        <v>1025</v>
      </c>
      <c r="B488" s="1">
        <v>45760</v>
      </c>
      <c r="C488" t="s">
        <v>86</v>
      </c>
      <c r="D488" t="s">
        <v>87</v>
      </c>
      <c r="E488" t="s">
        <v>66</v>
      </c>
      <c r="F488" t="s">
        <v>31</v>
      </c>
      <c r="G488" t="s">
        <v>24</v>
      </c>
      <c r="H488" t="s">
        <v>32</v>
      </c>
      <c r="I488" t="s">
        <v>1026</v>
      </c>
      <c r="J488">
        <v>8</v>
      </c>
      <c r="K488" s="2">
        <v>2976.71</v>
      </c>
      <c r="L488">
        <v>20</v>
      </c>
      <c r="M488" s="2">
        <v>19050.939999999999</v>
      </c>
      <c r="N488" s="2">
        <v>14893.71</v>
      </c>
      <c r="O488" s="2">
        <v>4157.2299999999996</v>
      </c>
      <c r="P488" t="s">
        <v>48</v>
      </c>
      <c r="Q488" t="s">
        <v>28</v>
      </c>
      <c r="R488" t="str">
        <f>TEXT(Table1[[#This Row],[Order Date]],"mmmm")</f>
        <v>April</v>
      </c>
      <c r="S488">
        <f>YEAR(Table1[[#This Row],[Order Date]])</f>
        <v>2025</v>
      </c>
    </row>
    <row r="489" spans="1:19" x14ac:dyDescent="0.3">
      <c r="A489" t="s">
        <v>1027</v>
      </c>
      <c r="B489" s="1">
        <v>46029</v>
      </c>
      <c r="C489" t="s">
        <v>35</v>
      </c>
      <c r="D489" t="s">
        <v>59</v>
      </c>
      <c r="E489" t="s">
        <v>51</v>
      </c>
      <c r="F489" t="s">
        <v>23</v>
      </c>
      <c r="G489" t="s">
        <v>24</v>
      </c>
      <c r="H489" t="s">
        <v>171</v>
      </c>
      <c r="I489" t="s">
        <v>1028</v>
      </c>
      <c r="J489">
        <v>10</v>
      </c>
      <c r="K489" s="2">
        <v>4855.1000000000004</v>
      </c>
      <c r="L489">
        <v>20</v>
      </c>
      <c r="M489" s="2">
        <v>38840.800000000003</v>
      </c>
      <c r="N489" s="2">
        <v>30376.36</v>
      </c>
      <c r="O489" s="2">
        <v>8464.44</v>
      </c>
      <c r="P489" t="s">
        <v>27</v>
      </c>
      <c r="Q489" t="s">
        <v>28</v>
      </c>
      <c r="R489" t="str">
        <f>TEXT(Table1[[#This Row],[Order Date]],"mmmm")</f>
        <v>January</v>
      </c>
      <c r="S489">
        <f>YEAR(Table1[[#This Row],[Order Date]])</f>
        <v>2026</v>
      </c>
    </row>
    <row r="490" spans="1:19" x14ac:dyDescent="0.3">
      <c r="A490" t="s">
        <v>1029</v>
      </c>
      <c r="B490" s="1">
        <v>46125</v>
      </c>
      <c r="C490" t="s">
        <v>70</v>
      </c>
      <c r="D490" t="s">
        <v>75</v>
      </c>
      <c r="E490" t="s">
        <v>66</v>
      </c>
      <c r="F490" t="s">
        <v>23</v>
      </c>
      <c r="G490" t="s">
        <v>45</v>
      </c>
      <c r="H490" t="s">
        <v>123</v>
      </c>
      <c r="I490" t="s">
        <v>1030</v>
      </c>
      <c r="J490">
        <v>1</v>
      </c>
      <c r="K490" s="2">
        <v>4366.71</v>
      </c>
      <c r="L490">
        <v>0</v>
      </c>
      <c r="M490" s="2">
        <v>4366.71</v>
      </c>
      <c r="N490" s="2">
        <v>2638.36</v>
      </c>
      <c r="O490" s="2">
        <v>1728.35</v>
      </c>
      <c r="P490" t="s">
        <v>41</v>
      </c>
      <c r="Q490" t="s">
        <v>49</v>
      </c>
      <c r="R490" t="str">
        <f>TEXT(Table1[[#This Row],[Order Date]],"mmmm")</f>
        <v>April</v>
      </c>
      <c r="S490">
        <f>YEAR(Table1[[#This Row],[Order Date]])</f>
        <v>2026</v>
      </c>
    </row>
    <row r="491" spans="1:19" x14ac:dyDescent="0.3">
      <c r="A491" t="s">
        <v>1031</v>
      </c>
      <c r="B491" s="1">
        <v>46016</v>
      </c>
      <c r="C491" t="s">
        <v>20</v>
      </c>
      <c r="D491" t="s">
        <v>21</v>
      </c>
      <c r="E491" t="s">
        <v>30</v>
      </c>
      <c r="F491" t="s">
        <v>31</v>
      </c>
      <c r="G491" t="s">
        <v>45</v>
      </c>
      <c r="H491" t="s">
        <v>123</v>
      </c>
      <c r="I491" t="s">
        <v>1032</v>
      </c>
      <c r="J491">
        <v>11</v>
      </c>
      <c r="K491" s="2">
        <v>2596.33</v>
      </c>
      <c r="L491">
        <v>15</v>
      </c>
      <c r="M491" s="2">
        <v>24275.69</v>
      </c>
      <c r="N491" s="2">
        <v>19410.099999999999</v>
      </c>
      <c r="O491" s="2">
        <v>4865.59</v>
      </c>
      <c r="P491" t="s">
        <v>27</v>
      </c>
      <c r="Q491" t="s">
        <v>28</v>
      </c>
      <c r="R491" t="str">
        <f>TEXT(Table1[[#This Row],[Order Date]],"mmmm")</f>
        <v>December</v>
      </c>
      <c r="S491">
        <f>YEAR(Table1[[#This Row],[Order Date]])</f>
        <v>2025</v>
      </c>
    </row>
    <row r="492" spans="1:19" x14ac:dyDescent="0.3">
      <c r="A492" t="s">
        <v>1033</v>
      </c>
      <c r="B492" s="1">
        <v>45796</v>
      </c>
      <c r="C492" t="s">
        <v>70</v>
      </c>
      <c r="D492" t="s">
        <v>75</v>
      </c>
      <c r="E492" t="s">
        <v>113</v>
      </c>
      <c r="F492" t="s">
        <v>31</v>
      </c>
      <c r="G492" t="s">
        <v>38</v>
      </c>
      <c r="H492" t="s">
        <v>39</v>
      </c>
      <c r="I492" t="s">
        <v>1034</v>
      </c>
      <c r="J492">
        <v>11</v>
      </c>
      <c r="K492" s="2">
        <v>3115.47</v>
      </c>
      <c r="L492">
        <v>0</v>
      </c>
      <c r="M492" s="2">
        <v>34270.17</v>
      </c>
      <c r="N492" s="2">
        <v>25273.06</v>
      </c>
      <c r="O492" s="2">
        <v>8997.11</v>
      </c>
      <c r="P492" t="s">
        <v>48</v>
      </c>
      <c r="Q492" t="s">
        <v>49</v>
      </c>
      <c r="R492" t="str">
        <f>TEXT(Table1[[#This Row],[Order Date]],"mmmm")</f>
        <v>May</v>
      </c>
      <c r="S492">
        <f>YEAR(Table1[[#This Row],[Order Date]])</f>
        <v>2025</v>
      </c>
    </row>
    <row r="493" spans="1:19" x14ac:dyDescent="0.3">
      <c r="A493" t="s">
        <v>1035</v>
      </c>
      <c r="B493" s="1">
        <v>45883</v>
      </c>
      <c r="C493" t="s">
        <v>70</v>
      </c>
      <c r="D493" t="s">
        <v>71</v>
      </c>
      <c r="E493" t="s">
        <v>113</v>
      </c>
      <c r="F493" t="s">
        <v>31</v>
      </c>
      <c r="G493" t="s">
        <v>38</v>
      </c>
      <c r="H493" t="s">
        <v>106</v>
      </c>
      <c r="I493" t="s">
        <v>1036</v>
      </c>
      <c r="J493">
        <v>11</v>
      </c>
      <c r="K493" s="2">
        <v>332.21</v>
      </c>
      <c r="L493">
        <v>5</v>
      </c>
      <c r="M493" s="2">
        <v>3471.59</v>
      </c>
      <c r="N493" s="2">
        <v>2178.27</v>
      </c>
      <c r="O493" s="2">
        <v>1293.32</v>
      </c>
      <c r="P493" t="s">
        <v>48</v>
      </c>
      <c r="Q493" t="s">
        <v>28</v>
      </c>
      <c r="R493" t="str">
        <f>TEXT(Table1[[#This Row],[Order Date]],"mmmm")</f>
        <v>August</v>
      </c>
      <c r="S493">
        <f>YEAR(Table1[[#This Row],[Order Date]])</f>
        <v>2025</v>
      </c>
    </row>
    <row r="494" spans="1:19" x14ac:dyDescent="0.3">
      <c r="A494" t="s">
        <v>1037</v>
      </c>
      <c r="B494" s="1">
        <v>46060</v>
      </c>
      <c r="C494" t="s">
        <v>35</v>
      </c>
      <c r="D494" t="s">
        <v>36</v>
      </c>
      <c r="E494" t="s">
        <v>44</v>
      </c>
      <c r="F494" t="s">
        <v>37</v>
      </c>
      <c r="G494" t="s">
        <v>45</v>
      </c>
      <c r="H494" t="s">
        <v>67</v>
      </c>
      <c r="I494" t="s">
        <v>1038</v>
      </c>
      <c r="J494">
        <v>1</v>
      </c>
      <c r="K494" s="2">
        <v>3348.96</v>
      </c>
      <c r="L494">
        <v>15</v>
      </c>
      <c r="M494" s="2">
        <v>2846.62</v>
      </c>
      <c r="N494" s="2">
        <v>2002.44</v>
      </c>
      <c r="O494" s="2">
        <v>844.18</v>
      </c>
      <c r="P494" t="s">
        <v>48</v>
      </c>
      <c r="Q494" t="s">
        <v>49</v>
      </c>
      <c r="R494" t="str">
        <f>TEXT(Table1[[#This Row],[Order Date]],"mmmm")</f>
        <v>February</v>
      </c>
      <c r="S494">
        <f>YEAR(Table1[[#This Row],[Order Date]])</f>
        <v>2026</v>
      </c>
    </row>
    <row r="495" spans="1:19" x14ac:dyDescent="0.3">
      <c r="A495" t="s">
        <v>1039</v>
      </c>
      <c r="B495" s="1">
        <v>46065</v>
      </c>
      <c r="C495" t="s">
        <v>86</v>
      </c>
      <c r="D495" t="s">
        <v>87</v>
      </c>
      <c r="E495" t="s">
        <v>51</v>
      </c>
      <c r="F495" t="s">
        <v>31</v>
      </c>
      <c r="G495" t="s">
        <v>38</v>
      </c>
      <c r="H495" t="s">
        <v>106</v>
      </c>
      <c r="I495" t="s">
        <v>1040</v>
      </c>
      <c r="J495">
        <v>6</v>
      </c>
      <c r="K495" s="2">
        <v>329.3</v>
      </c>
      <c r="L495">
        <v>10</v>
      </c>
      <c r="M495" s="2">
        <v>1778.22</v>
      </c>
      <c r="N495" s="2">
        <v>1239.04</v>
      </c>
      <c r="O495" s="2">
        <v>539.17999999999995</v>
      </c>
      <c r="P495" t="s">
        <v>41</v>
      </c>
      <c r="Q495" t="s">
        <v>61</v>
      </c>
      <c r="R495" t="str">
        <f>TEXT(Table1[[#This Row],[Order Date]],"mmmm")</f>
        <v>February</v>
      </c>
      <c r="S495">
        <f>YEAR(Table1[[#This Row],[Order Date]])</f>
        <v>2026</v>
      </c>
    </row>
    <row r="496" spans="1:19" x14ac:dyDescent="0.3">
      <c r="A496" t="s">
        <v>1041</v>
      </c>
      <c r="B496" s="1">
        <v>45771</v>
      </c>
      <c r="C496" t="s">
        <v>86</v>
      </c>
      <c r="D496" t="s">
        <v>90</v>
      </c>
      <c r="E496" t="s">
        <v>120</v>
      </c>
      <c r="F496" t="s">
        <v>31</v>
      </c>
      <c r="G496" t="s">
        <v>45</v>
      </c>
      <c r="H496" t="s">
        <v>52</v>
      </c>
      <c r="I496" t="s">
        <v>1042</v>
      </c>
      <c r="J496">
        <v>14</v>
      </c>
      <c r="K496" s="2">
        <v>3968.35</v>
      </c>
      <c r="L496">
        <v>10</v>
      </c>
      <c r="M496" s="2">
        <v>50001.21</v>
      </c>
      <c r="N496" s="2">
        <v>37636.99</v>
      </c>
      <c r="O496" s="2">
        <v>12364.22</v>
      </c>
      <c r="P496" t="s">
        <v>27</v>
      </c>
      <c r="Q496" t="s">
        <v>28</v>
      </c>
      <c r="R496" t="str">
        <f>TEXT(Table1[[#This Row],[Order Date]],"mmmm")</f>
        <v>April</v>
      </c>
      <c r="S496">
        <f>YEAR(Table1[[#This Row],[Order Date]])</f>
        <v>2025</v>
      </c>
    </row>
    <row r="497" spans="1:19" x14ac:dyDescent="0.3">
      <c r="A497" t="s">
        <v>1043</v>
      </c>
      <c r="B497" s="1">
        <v>45909</v>
      </c>
      <c r="C497" t="s">
        <v>35</v>
      </c>
      <c r="D497" t="s">
        <v>59</v>
      </c>
      <c r="E497" t="s">
        <v>44</v>
      </c>
      <c r="F497" t="s">
        <v>23</v>
      </c>
      <c r="G497" t="s">
        <v>38</v>
      </c>
      <c r="H497" t="s">
        <v>63</v>
      </c>
      <c r="I497" t="s">
        <v>1044</v>
      </c>
      <c r="J497">
        <v>2</v>
      </c>
      <c r="K497" s="2">
        <v>4675.66</v>
      </c>
      <c r="L497">
        <v>20</v>
      </c>
      <c r="M497" s="2">
        <v>7481.06</v>
      </c>
      <c r="N497" s="2">
        <v>5665.66</v>
      </c>
      <c r="O497" s="2">
        <v>1815.4</v>
      </c>
      <c r="P497" t="s">
        <v>27</v>
      </c>
      <c r="Q497" t="s">
        <v>42</v>
      </c>
      <c r="R497" t="str">
        <f>TEXT(Table1[[#This Row],[Order Date]],"mmmm")</f>
        <v>September</v>
      </c>
      <c r="S497">
        <f>YEAR(Table1[[#This Row],[Order Date]])</f>
        <v>2025</v>
      </c>
    </row>
    <row r="498" spans="1:19" x14ac:dyDescent="0.3">
      <c r="A498" t="s">
        <v>1045</v>
      </c>
      <c r="B498" s="1">
        <v>46004</v>
      </c>
      <c r="C498" t="s">
        <v>86</v>
      </c>
      <c r="D498" t="s">
        <v>87</v>
      </c>
      <c r="E498" t="s">
        <v>51</v>
      </c>
      <c r="F498" t="s">
        <v>31</v>
      </c>
      <c r="G498" t="s">
        <v>24</v>
      </c>
      <c r="H498" t="s">
        <v>32</v>
      </c>
      <c r="I498" t="s">
        <v>1046</v>
      </c>
      <c r="J498">
        <v>13</v>
      </c>
      <c r="K498" s="2">
        <v>1472.84</v>
      </c>
      <c r="L498">
        <v>15</v>
      </c>
      <c r="M498" s="2">
        <v>16274.88</v>
      </c>
      <c r="N498" s="2">
        <v>10383.68</v>
      </c>
      <c r="O498" s="2">
        <v>5891.2</v>
      </c>
      <c r="P498" t="s">
        <v>41</v>
      </c>
      <c r="Q498" t="s">
        <v>49</v>
      </c>
      <c r="R498" t="str">
        <f>TEXT(Table1[[#This Row],[Order Date]],"mmmm")</f>
        <v>December</v>
      </c>
      <c r="S498">
        <f>YEAR(Table1[[#This Row],[Order Date]])</f>
        <v>2025</v>
      </c>
    </row>
    <row r="499" spans="1:19" x14ac:dyDescent="0.3">
      <c r="A499" t="s">
        <v>1047</v>
      </c>
      <c r="B499" s="1">
        <v>45697</v>
      </c>
      <c r="C499" t="s">
        <v>35</v>
      </c>
      <c r="D499" t="s">
        <v>36</v>
      </c>
      <c r="E499" t="s">
        <v>51</v>
      </c>
      <c r="F499" t="s">
        <v>23</v>
      </c>
      <c r="G499" t="s">
        <v>45</v>
      </c>
      <c r="H499" t="s">
        <v>52</v>
      </c>
      <c r="I499" t="s">
        <v>1048</v>
      </c>
      <c r="J499">
        <v>15</v>
      </c>
      <c r="K499" s="2">
        <v>726.59</v>
      </c>
      <c r="L499">
        <v>20</v>
      </c>
      <c r="M499" s="2">
        <v>8719.08</v>
      </c>
      <c r="N499" s="2">
        <v>6190.14</v>
      </c>
      <c r="O499" s="2">
        <v>2528.94</v>
      </c>
      <c r="P499" t="s">
        <v>27</v>
      </c>
      <c r="Q499" t="s">
        <v>28</v>
      </c>
      <c r="R499" t="str">
        <f>TEXT(Table1[[#This Row],[Order Date]],"mmmm")</f>
        <v>February</v>
      </c>
      <c r="S499">
        <f>YEAR(Table1[[#This Row],[Order Date]])</f>
        <v>2025</v>
      </c>
    </row>
    <row r="500" spans="1:19" x14ac:dyDescent="0.3">
      <c r="A500" t="s">
        <v>1049</v>
      </c>
      <c r="B500" s="1">
        <v>46079</v>
      </c>
      <c r="C500" t="s">
        <v>35</v>
      </c>
      <c r="D500" t="s">
        <v>36</v>
      </c>
      <c r="E500" t="s">
        <v>170</v>
      </c>
      <c r="F500" t="s">
        <v>23</v>
      </c>
      <c r="G500" t="s">
        <v>24</v>
      </c>
      <c r="H500" t="s">
        <v>25</v>
      </c>
      <c r="I500" t="s">
        <v>1050</v>
      </c>
      <c r="J500">
        <v>3</v>
      </c>
      <c r="K500" s="2">
        <v>3391.59</v>
      </c>
      <c r="L500">
        <v>15</v>
      </c>
      <c r="M500" s="2">
        <v>8648.5499999999993</v>
      </c>
      <c r="N500" s="2">
        <v>6797.13</v>
      </c>
      <c r="O500" s="2">
        <v>1851.42</v>
      </c>
      <c r="P500" t="s">
        <v>48</v>
      </c>
      <c r="Q500" t="s">
        <v>42</v>
      </c>
      <c r="R500" t="str">
        <f>TEXT(Table1[[#This Row],[Order Date]],"mmmm")</f>
        <v>February</v>
      </c>
      <c r="S500">
        <f>YEAR(Table1[[#This Row],[Order Date]])</f>
        <v>2026</v>
      </c>
    </row>
    <row r="501" spans="1:19" x14ac:dyDescent="0.3">
      <c r="A501" t="s">
        <v>1051</v>
      </c>
      <c r="B501" s="1">
        <v>45719</v>
      </c>
      <c r="C501" t="s">
        <v>20</v>
      </c>
      <c r="D501" t="s">
        <v>21</v>
      </c>
      <c r="E501" t="s">
        <v>51</v>
      </c>
      <c r="F501" t="s">
        <v>23</v>
      </c>
      <c r="G501" t="s">
        <v>45</v>
      </c>
      <c r="H501" t="s">
        <v>159</v>
      </c>
      <c r="I501" t="s">
        <v>1052</v>
      </c>
      <c r="J501">
        <v>1</v>
      </c>
      <c r="K501" s="2">
        <v>4377.57</v>
      </c>
      <c r="L501">
        <v>0</v>
      </c>
      <c r="M501" s="2">
        <v>4377.57</v>
      </c>
      <c r="N501" s="2">
        <v>3196.03</v>
      </c>
      <c r="O501" s="2">
        <v>1181.54</v>
      </c>
      <c r="P501" t="s">
        <v>27</v>
      </c>
      <c r="Q501" t="s">
        <v>49</v>
      </c>
      <c r="R501" t="str">
        <f>TEXT(Table1[[#This Row],[Order Date]],"mmmm")</f>
        <v>March</v>
      </c>
      <c r="S501">
        <f>YEAR(Table1[[#This Row],[Order Date]])</f>
        <v>2025</v>
      </c>
    </row>
    <row r="502" spans="1:19" x14ac:dyDescent="0.3">
      <c r="A502" t="s">
        <v>1053</v>
      </c>
      <c r="B502" s="1">
        <v>46105</v>
      </c>
      <c r="C502" t="s">
        <v>70</v>
      </c>
      <c r="D502" t="s">
        <v>75</v>
      </c>
      <c r="E502" t="s">
        <v>113</v>
      </c>
      <c r="F502" t="s">
        <v>37</v>
      </c>
      <c r="G502" t="s">
        <v>38</v>
      </c>
      <c r="H502" t="s">
        <v>72</v>
      </c>
      <c r="I502" t="s">
        <v>1054</v>
      </c>
      <c r="J502">
        <v>13</v>
      </c>
      <c r="K502" s="2">
        <v>2459.94</v>
      </c>
      <c r="L502">
        <v>0</v>
      </c>
      <c r="M502" s="2">
        <v>31979.22</v>
      </c>
      <c r="N502" s="2">
        <v>20948.060000000001</v>
      </c>
      <c r="O502" s="2">
        <v>11031.16</v>
      </c>
      <c r="P502" t="s">
        <v>41</v>
      </c>
      <c r="Q502" t="s">
        <v>28</v>
      </c>
      <c r="R502" t="str">
        <f>TEXT(Table1[[#This Row],[Order Date]],"mmmm")</f>
        <v>March</v>
      </c>
      <c r="S502">
        <f>YEAR(Table1[[#This Row],[Order Date]])</f>
        <v>2026</v>
      </c>
    </row>
    <row r="503" spans="1:19" x14ac:dyDescent="0.3">
      <c r="A503" t="s">
        <v>1055</v>
      </c>
      <c r="B503" s="1">
        <v>45662</v>
      </c>
      <c r="C503" t="s">
        <v>20</v>
      </c>
      <c r="D503" t="s">
        <v>21</v>
      </c>
      <c r="E503" t="s">
        <v>44</v>
      </c>
      <c r="F503" t="s">
        <v>23</v>
      </c>
      <c r="G503" t="s">
        <v>24</v>
      </c>
      <c r="H503" t="s">
        <v>56</v>
      </c>
      <c r="I503" t="s">
        <v>1056</v>
      </c>
      <c r="J503">
        <v>9</v>
      </c>
      <c r="K503" s="2">
        <v>4191.16</v>
      </c>
      <c r="L503">
        <v>0</v>
      </c>
      <c r="M503" s="2">
        <v>37720.44</v>
      </c>
      <c r="N503" s="2">
        <v>27300.12</v>
      </c>
      <c r="O503" s="2">
        <v>10420.32</v>
      </c>
      <c r="P503" t="s">
        <v>41</v>
      </c>
      <c r="Q503" t="s">
        <v>49</v>
      </c>
      <c r="R503" t="str">
        <f>TEXT(Table1[[#This Row],[Order Date]],"mmmm")</f>
        <v>January</v>
      </c>
      <c r="S503">
        <f>YEAR(Table1[[#This Row],[Order Date]])</f>
        <v>2025</v>
      </c>
    </row>
    <row r="504" spans="1:19" x14ac:dyDescent="0.3">
      <c r="A504" t="s">
        <v>1057</v>
      </c>
      <c r="B504" s="1">
        <v>45769</v>
      </c>
      <c r="C504" t="s">
        <v>35</v>
      </c>
      <c r="D504" t="s">
        <v>36</v>
      </c>
      <c r="E504" t="s">
        <v>120</v>
      </c>
      <c r="F504" t="s">
        <v>37</v>
      </c>
      <c r="G504" t="s">
        <v>38</v>
      </c>
      <c r="H504" t="s">
        <v>106</v>
      </c>
      <c r="I504" t="s">
        <v>1058</v>
      </c>
      <c r="J504">
        <v>7</v>
      </c>
      <c r="K504" s="2">
        <v>4390.59</v>
      </c>
      <c r="L504">
        <v>5</v>
      </c>
      <c r="M504" s="2">
        <v>29197.42</v>
      </c>
      <c r="N504" s="2">
        <v>19896.82</v>
      </c>
      <c r="O504" s="2">
        <v>9300.6</v>
      </c>
      <c r="P504" t="s">
        <v>48</v>
      </c>
      <c r="Q504" t="s">
        <v>28</v>
      </c>
      <c r="R504" t="str">
        <f>TEXT(Table1[[#This Row],[Order Date]],"mmmm")</f>
        <v>April</v>
      </c>
      <c r="S504">
        <f>YEAR(Table1[[#This Row],[Order Date]])</f>
        <v>2025</v>
      </c>
    </row>
    <row r="505" spans="1:19" x14ac:dyDescent="0.3">
      <c r="A505" t="s">
        <v>1059</v>
      </c>
      <c r="B505" s="1">
        <v>46073</v>
      </c>
      <c r="C505" t="s">
        <v>20</v>
      </c>
      <c r="D505" t="s">
        <v>55</v>
      </c>
      <c r="E505" t="s">
        <v>170</v>
      </c>
      <c r="F505" t="s">
        <v>23</v>
      </c>
      <c r="G505" t="s">
        <v>45</v>
      </c>
      <c r="H505" t="s">
        <v>52</v>
      </c>
      <c r="I505" t="s">
        <v>1060</v>
      </c>
      <c r="J505">
        <v>7</v>
      </c>
      <c r="K505" s="2">
        <v>2977.62</v>
      </c>
      <c r="L505">
        <v>15</v>
      </c>
      <c r="M505" s="2">
        <v>17716.84</v>
      </c>
      <c r="N505" s="2">
        <v>13466.86</v>
      </c>
      <c r="O505" s="2">
        <v>4249.9799999999996</v>
      </c>
      <c r="P505" t="s">
        <v>41</v>
      </c>
      <c r="Q505" t="s">
        <v>49</v>
      </c>
      <c r="R505" t="str">
        <f>TEXT(Table1[[#This Row],[Order Date]],"mmmm")</f>
        <v>February</v>
      </c>
      <c r="S505">
        <f>YEAR(Table1[[#This Row],[Order Date]])</f>
        <v>2026</v>
      </c>
    </row>
    <row r="506" spans="1:19" x14ac:dyDescent="0.3">
      <c r="A506" t="s">
        <v>1061</v>
      </c>
      <c r="B506" s="1">
        <v>46093</v>
      </c>
      <c r="C506" t="s">
        <v>20</v>
      </c>
      <c r="D506" t="s">
        <v>55</v>
      </c>
      <c r="E506" t="s">
        <v>66</v>
      </c>
      <c r="F506" t="s">
        <v>31</v>
      </c>
      <c r="G506" t="s">
        <v>45</v>
      </c>
      <c r="H506" t="s">
        <v>159</v>
      </c>
      <c r="I506" t="s">
        <v>1062</v>
      </c>
      <c r="J506">
        <v>2</v>
      </c>
      <c r="K506" s="2">
        <v>2162.0700000000002</v>
      </c>
      <c r="L506">
        <v>15</v>
      </c>
      <c r="M506" s="2">
        <v>3675.52</v>
      </c>
      <c r="N506" s="2">
        <v>2416.6</v>
      </c>
      <c r="O506" s="2">
        <v>1258.92</v>
      </c>
      <c r="P506" t="s">
        <v>48</v>
      </c>
      <c r="Q506" t="s">
        <v>42</v>
      </c>
      <c r="R506" t="str">
        <f>TEXT(Table1[[#This Row],[Order Date]],"mmmm")</f>
        <v>March</v>
      </c>
      <c r="S506">
        <f>YEAR(Table1[[#This Row],[Order Date]])</f>
        <v>2026</v>
      </c>
    </row>
    <row r="507" spans="1:19" x14ac:dyDescent="0.3">
      <c r="A507" t="s">
        <v>1063</v>
      </c>
      <c r="B507" s="1">
        <v>45940</v>
      </c>
      <c r="C507" t="s">
        <v>70</v>
      </c>
      <c r="D507" t="s">
        <v>75</v>
      </c>
      <c r="E507" t="s">
        <v>44</v>
      </c>
      <c r="F507" t="s">
        <v>23</v>
      </c>
      <c r="G507" t="s">
        <v>45</v>
      </c>
      <c r="H507" t="s">
        <v>52</v>
      </c>
      <c r="I507" t="s">
        <v>1064</v>
      </c>
      <c r="J507">
        <v>5</v>
      </c>
      <c r="K507" s="2">
        <v>593.47</v>
      </c>
      <c r="L507">
        <v>20</v>
      </c>
      <c r="M507" s="2">
        <v>2373.88</v>
      </c>
      <c r="N507" s="2">
        <v>1523.38</v>
      </c>
      <c r="O507" s="2">
        <v>850.5</v>
      </c>
      <c r="P507" t="s">
        <v>41</v>
      </c>
      <c r="Q507" t="s">
        <v>28</v>
      </c>
      <c r="R507" t="str">
        <f>TEXT(Table1[[#This Row],[Order Date]],"mmmm")</f>
        <v>October</v>
      </c>
      <c r="S507">
        <f>YEAR(Table1[[#This Row],[Order Date]])</f>
        <v>2025</v>
      </c>
    </row>
    <row r="508" spans="1:19" x14ac:dyDescent="0.3">
      <c r="A508" t="s">
        <v>1065</v>
      </c>
      <c r="B508" s="1">
        <v>46162</v>
      </c>
      <c r="C508" t="s">
        <v>86</v>
      </c>
      <c r="D508" t="s">
        <v>87</v>
      </c>
      <c r="E508" t="s">
        <v>30</v>
      </c>
      <c r="F508" t="s">
        <v>37</v>
      </c>
      <c r="G508" t="s">
        <v>45</v>
      </c>
      <c r="H508" t="s">
        <v>52</v>
      </c>
      <c r="I508" t="s">
        <v>1066</v>
      </c>
      <c r="J508">
        <v>3</v>
      </c>
      <c r="K508" s="2">
        <v>3120.5</v>
      </c>
      <c r="L508">
        <v>5</v>
      </c>
      <c r="M508" s="2">
        <v>8893.42</v>
      </c>
      <c r="N508" s="2">
        <v>5801.61</v>
      </c>
      <c r="O508" s="2">
        <v>3091.81</v>
      </c>
      <c r="P508" t="s">
        <v>27</v>
      </c>
      <c r="Q508" t="s">
        <v>28</v>
      </c>
      <c r="R508" t="str">
        <f>TEXT(Table1[[#This Row],[Order Date]],"mmmm")</f>
        <v>May</v>
      </c>
      <c r="S508">
        <f>YEAR(Table1[[#This Row],[Order Date]])</f>
        <v>2026</v>
      </c>
    </row>
    <row r="509" spans="1:19" x14ac:dyDescent="0.3">
      <c r="A509" t="s">
        <v>1067</v>
      </c>
      <c r="B509" s="1">
        <v>45680</v>
      </c>
      <c r="C509" t="s">
        <v>86</v>
      </c>
      <c r="D509" t="s">
        <v>90</v>
      </c>
      <c r="E509" t="s">
        <v>51</v>
      </c>
      <c r="F509" t="s">
        <v>31</v>
      </c>
      <c r="G509" t="s">
        <v>38</v>
      </c>
      <c r="H509" t="s">
        <v>106</v>
      </c>
      <c r="I509" t="s">
        <v>1068</v>
      </c>
      <c r="J509">
        <v>4</v>
      </c>
      <c r="K509" s="2">
        <v>4819.82</v>
      </c>
      <c r="L509">
        <v>20</v>
      </c>
      <c r="M509" s="2">
        <v>15423.42</v>
      </c>
      <c r="N509" s="2">
        <v>8716.2199999999993</v>
      </c>
      <c r="O509" s="2">
        <v>6707.2</v>
      </c>
      <c r="P509" t="s">
        <v>27</v>
      </c>
      <c r="Q509" t="s">
        <v>42</v>
      </c>
      <c r="R509" t="str">
        <f>TEXT(Table1[[#This Row],[Order Date]],"mmmm")</f>
        <v>January</v>
      </c>
      <c r="S509">
        <f>YEAR(Table1[[#This Row],[Order Date]])</f>
        <v>2025</v>
      </c>
    </row>
    <row r="510" spans="1:19" x14ac:dyDescent="0.3">
      <c r="A510" t="s">
        <v>1069</v>
      </c>
      <c r="B510" s="1">
        <v>46006</v>
      </c>
      <c r="C510" t="s">
        <v>35</v>
      </c>
      <c r="D510" t="s">
        <v>59</v>
      </c>
      <c r="E510" t="s">
        <v>44</v>
      </c>
      <c r="F510" t="s">
        <v>23</v>
      </c>
      <c r="G510" t="s">
        <v>24</v>
      </c>
      <c r="H510" t="s">
        <v>171</v>
      </c>
      <c r="I510" t="s">
        <v>1070</v>
      </c>
      <c r="J510">
        <v>11</v>
      </c>
      <c r="K510" s="2">
        <v>663.69</v>
      </c>
      <c r="L510">
        <v>0</v>
      </c>
      <c r="M510" s="2">
        <v>7300.59</v>
      </c>
      <c r="N510" s="2">
        <v>4015.62</v>
      </c>
      <c r="O510" s="2">
        <v>3284.97</v>
      </c>
      <c r="P510" t="s">
        <v>41</v>
      </c>
      <c r="Q510" t="s">
        <v>42</v>
      </c>
      <c r="R510" t="str">
        <f>TEXT(Table1[[#This Row],[Order Date]],"mmmm")</f>
        <v>December</v>
      </c>
      <c r="S510">
        <f>YEAR(Table1[[#This Row],[Order Date]])</f>
        <v>2025</v>
      </c>
    </row>
    <row r="511" spans="1:19" x14ac:dyDescent="0.3">
      <c r="A511" t="s">
        <v>1071</v>
      </c>
      <c r="B511" s="1">
        <v>46005</v>
      </c>
      <c r="C511" t="s">
        <v>35</v>
      </c>
      <c r="D511" t="s">
        <v>59</v>
      </c>
      <c r="E511" t="s">
        <v>44</v>
      </c>
      <c r="F511" t="s">
        <v>23</v>
      </c>
      <c r="G511" t="s">
        <v>24</v>
      </c>
      <c r="H511" t="s">
        <v>25</v>
      </c>
      <c r="I511" t="s">
        <v>1072</v>
      </c>
      <c r="J511">
        <v>1</v>
      </c>
      <c r="K511" s="2">
        <v>2695.22</v>
      </c>
      <c r="L511">
        <v>0</v>
      </c>
      <c r="M511" s="2">
        <v>2695.22</v>
      </c>
      <c r="N511" s="2">
        <v>1581.35</v>
      </c>
      <c r="O511" s="2">
        <v>1113.8699999999999</v>
      </c>
      <c r="P511" t="s">
        <v>41</v>
      </c>
      <c r="Q511" t="s">
        <v>61</v>
      </c>
      <c r="R511" t="str">
        <f>TEXT(Table1[[#This Row],[Order Date]],"mmmm")</f>
        <v>December</v>
      </c>
      <c r="S511">
        <f>YEAR(Table1[[#This Row],[Order Date]])</f>
        <v>2025</v>
      </c>
    </row>
    <row r="512" spans="1:19" x14ac:dyDescent="0.3">
      <c r="A512" t="s">
        <v>1073</v>
      </c>
      <c r="B512" s="1">
        <v>46081</v>
      </c>
      <c r="C512" t="s">
        <v>35</v>
      </c>
      <c r="D512" t="s">
        <v>36</v>
      </c>
      <c r="E512" t="s">
        <v>51</v>
      </c>
      <c r="F512" t="s">
        <v>23</v>
      </c>
      <c r="G512" t="s">
        <v>24</v>
      </c>
      <c r="H512" t="s">
        <v>32</v>
      </c>
      <c r="I512" t="s">
        <v>1074</v>
      </c>
      <c r="J512">
        <v>8</v>
      </c>
      <c r="K512" s="2">
        <v>4921.0200000000004</v>
      </c>
      <c r="L512">
        <v>0</v>
      </c>
      <c r="M512" s="2">
        <v>39368.160000000003</v>
      </c>
      <c r="N512" s="2">
        <v>21769.61</v>
      </c>
      <c r="O512" s="2">
        <v>17598.55</v>
      </c>
      <c r="P512" t="s">
        <v>48</v>
      </c>
      <c r="Q512" t="s">
        <v>28</v>
      </c>
      <c r="R512" t="str">
        <f>TEXT(Table1[[#This Row],[Order Date]],"mmmm")</f>
        <v>February</v>
      </c>
      <c r="S512">
        <f>YEAR(Table1[[#This Row],[Order Date]])</f>
        <v>2026</v>
      </c>
    </row>
    <row r="513" spans="1:19" x14ac:dyDescent="0.3">
      <c r="A513" t="s">
        <v>1075</v>
      </c>
      <c r="B513" s="1">
        <v>46124</v>
      </c>
      <c r="C513" t="s">
        <v>86</v>
      </c>
      <c r="D513" t="s">
        <v>90</v>
      </c>
      <c r="E513" t="s">
        <v>170</v>
      </c>
      <c r="F513" t="s">
        <v>31</v>
      </c>
      <c r="G513" t="s">
        <v>24</v>
      </c>
      <c r="H513" t="s">
        <v>25</v>
      </c>
      <c r="I513" t="s">
        <v>1076</v>
      </c>
      <c r="J513">
        <v>10</v>
      </c>
      <c r="K513" s="2">
        <v>4186.7700000000004</v>
      </c>
      <c r="L513">
        <v>0</v>
      </c>
      <c r="M513" s="2">
        <v>41867.699999999997</v>
      </c>
      <c r="N513" s="2">
        <v>32985.949999999997</v>
      </c>
      <c r="O513" s="2">
        <v>8881.75</v>
      </c>
      <c r="P513" t="s">
        <v>41</v>
      </c>
      <c r="Q513" t="s">
        <v>28</v>
      </c>
      <c r="R513" t="str">
        <f>TEXT(Table1[[#This Row],[Order Date]],"mmmm")</f>
        <v>April</v>
      </c>
      <c r="S513">
        <f>YEAR(Table1[[#This Row],[Order Date]])</f>
        <v>2026</v>
      </c>
    </row>
    <row r="514" spans="1:19" x14ac:dyDescent="0.3">
      <c r="A514" t="s">
        <v>1077</v>
      </c>
      <c r="B514" s="1">
        <v>45964</v>
      </c>
      <c r="C514" t="s">
        <v>86</v>
      </c>
      <c r="D514" t="s">
        <v>90</v>
      </c>
      <c r="E514" t="s">
        <v>170</v>
      </c>
      <c r="F514" t="s">
        <v>37</v>
      </c>
      <c r="G514" t="s">
        <v>38</v>
      </c>
      <c r="H514" t="s">
        <v>106</v>
      </c>
      <c r="I514" t="s">
        <v>561</v>
      </c>
      <c r="J514">
        <v>5</v>
      </c>
      <c r="K514" s="2">
        <v>1494.98</v>
      </c>
      <c r="L514">
        <v>20</v>
      </c>
      <c r="M514" s="2">
        <v>5979.92</v>
      </c>
      <c r="N514" s="2">
        <v>3881.45</v>
      </c>
      <c r="O514" s="2">
        <v>2098.4699999999998</v>
      </c>
      <c r="P514" t="s">
        <v>27</v>
      </c>
      <c r="Q514" t="s">
        <v>28</v>
      </c>
      <c r="R514" t="str">
        <f>TEXT(Table1[[#This Row],[Order Date]],"mmmm")</f>
        <v>November</v>
      </c>
      <c r="S514">
        <f>YEAR(Table1[[#This Row],[Order Date]])</f>
        <v>2025</v>
      </c>
    </row>
    <row r="515" spans="1:19" x14ac:dyDescent="0.3">
      <c r="A515" t="s">
        <v>1078</v>
      </c>
      <c r="B515" s="1">
        <v>46156</v>
      </c>
      <c r="C515" t="s">
        <v>70</v>
      </c>
      <c r="D515" t="s">
        <v>71</v>
      </c>
      <c r="E515" t="s">
        <v>22</v>
      </c>
      <c r="F515" t="s">
        <v>23</v>
      </c>
      <c r="G515" t="s">
        <v>38</v>
      </c>
      <c r="H515" t="s">
        <v>39</v>
      </c>
      <c r="I515" t="s">
        <v>1079</v>
      </c>
      <c r="J515">
        <v>3</v>
      </c>
      <c r="K515" s="2">
        <v>1054.0899999999999</v>
      </c>
      <c r="L515">
        <v>20</v>
      </c>
      <c r="M515" s="2">
        <v>2529.8200000000002</v>
      </c>
      <c r="N515" s="2">
        <v>1831.83</v>
      </c>
      <c r="O515" s="2">
        <v>697.99</v>
      </c>
      <c r="P515" t="s">
        <v>41</v>
      </c>
      <c r="Q515" t="s">
        <v>28</v>
      </c>
      <c r="R515" t="str">
        <f>TEXT(Table1[[#This Row],[Order Date]],"mmmm")</f>
        <v>May</v>
      </c>
      <c r="S515">
        <f>YEAR(Table1[[#This Row],[Order Date]])</f>
        <v>2026</v>
      </c>
    </row>
    <row r="516" spans="1:19" x14ac:dyDescent="0.3">
      <c r="A516" t="s">
        <v>1080</v>
      </c>
      <c r="B516" s="1">
        <v>45715</v>
      </c>
      <c r="C516" t="s">
        <v>20</v>
      </c>
      <c r="D516" t="s">
        <v>21</v>
      </c>
      <c r="E516" t="s">
        <v>66</v>
      </c>
      <c r="F516" t="s">
        <v>31</v>
      </c>
      <c r="G516" t="s">
        <v>24</v>
      </c>
      <c r="H516" t="s">
        <v>171</v>
      </c>
      <c r="I516" t="s">
        <v>1081</v>
      </c>
      <c r="J516">
        <v>12</v>
      </c>
      <c r="K516" s="2">
        <v>376.24</v>
      </c>
      <c r="L516">
        <v>0</v>
      </c>
      <c r="M516" s="2">
        <v>4514.88</v>
      </c>
      <c r="N516" s="2">
        <v>3517.56</v>
      </c>
      <c r="O516" s="2">
        <v>997.32</v>
      </c>
      <c r="P516" t="s">
        <v>48</v>
      </c>
      <c r="Q516" t="s">
        <v>49</v>
      </c>
      <c r="R516" t="str">
        <f>TEXT(Table1[[#This Row],[Order Date]],"mmmm")</f>
        <v>February</v>
      </c>
      <c r="S516">
        <f>YEAR(Table1[[#This Row],[Order Date]])</f>
        <v>2025</v>
      </c>
    </row>
    <row r="517" spans="1:19" x14ac:dyDescent="0.3">
      <c r="A517" t="s">
        <v>1082</v>
      </c>
      <c r="B517" s="1">
        <v>46098</v>
      </c>
      <c r="C517" t="s">
        <v>35</v>
      </c>
      <c r="D517" t="s">
        <v>59</v>
      </c>
      <c r="E517" t="s">
        <v>66</v>
      </c>
      <c r="F517" t="s">
        <v>37</v>
      </c>
      <c r="G517" t="s">
        <v>24</v>
      </c>
      <c r="H517" t="s">
        <v>134</v>
      </c>
      <c r="I517" t="s">
        <v>1083</v>
      </c>
      <c r="J517">
        <v>12</v>
      </c>
      <c r="K517" s="2">
        <v>1440.45</v>
      </c>
      <c r="L517">
        <v>20</v>
      </c>
      <c r="M517" s="2">
        <v>13828.32</v>
      </c>
      <c r="N517" s="2">
        <v>7910.99</v>
      </c>
      <c r="O517" s="2">
        <v>5917.33</v>
      </c>
      <c r="P517" t="s">
        <v>48</v>
      </c>
      <c r="Q517" t="s">
        <v>49</v>
      </c>
      <c r="R517" t="str">
        <f>TEXT(Table1[[#This Row],[Order Date]],"mmmm")</f>
        <v>March</v>
      </c>
      <c r="S517">
        <f>YEAR(Table1[[#This Row],[Order Date]])</f>
        <v>2026</v>
      </c>
    </row>
    <row r="518" spans="1:19" x14ac:dyDescent="0.3">
      <c r="A518" t="s">
        <v>1084</v>
      </c>
      <c r="B518" s="1">
        <v>45767</v>
      </c>
      <c r="C518" t="s">
        <v>35</v>
      </c>
      <c r="D518" t="s">
        <v>59</v>
      </c>
      <c r="E518" t="s">
        <v>51</v>
      </c>
      <c r="F518" t="s">
        <v>23</v>
      </c>
      <c r="G518" t="s">
        <v>38</v>
      </c>
      <c r="H518" t="s">
        <v>63</v>
      </c>
      <c r="I518" t="s">
        <v>1085</v>
      </c>
      <c r="J518">
        <v>14</v>
      </c>
      <c r="K518" s="2">
        <v>370.02</v>
      </c>
      <c r="L518">
        <v>0</v>
      </c>
      <c r="M518" s="2">
        <v>5180.28</v>
      </c>
      <c r="N518" s="2">
        <v>2909.05</v>
      </c>
      <c r="O518" s="2">
        <v>2271.23</v>
      </c>
      <c r="P518" t="s">
        <v>27</v>
      </c>
      <c r="Q518" t="s">
        <v>61</v>
      </c>
      <c r="R518" t="str">
        <f>TEXT(Table1[[#This Row],[Order Date]],"mmmm")</f>
        <v>April</v>
      </c>
      <c r="S518">
        <f>YEAR(Table1[[#This Row],[Order Date]])</f>
        <v>2025</v>
      </c>
    </row>
    <row r="519" spans="1:19" x14ac:dyDescent="0.3">
      <c r="A519" t="s">
        <v>1086</v>
      </c>
      <c r="B519" s="1">
        <v>45755</v>
      </c>
      <c r="C519" t="s">
        <v>35</v>
      </c>
      <c r="D519" t="s">
        <v>36</v>
      </c>
      <c r="E519" t="s">
        <v>66</v>
      </c>
      <c r="F519" t="s">
        <v>31</v>
      </c>
      <c r="G519" t="s">
        <v>45</v>
      </c>
      <c r="H519" t="s">
        <v>123</v>
      </c>
      <c r="I519" t="s">
        <v>1087</v>
      </c>
      <c r="J519">
        <v>8</v>
      </c>
      <c r="K519" s="2">
        <v>1817.22</v>
      </c>
      <c r="L519">
        <v>20</v>
      </c>
      <c r="M519" s="2">
        <v>11630.21</v>
      </c>
      <c r="N519" s="2">
        <v>8694.68</v>
      </c>
      <c r="O519" s="2">
        <v>2935.53</v>
      </c>
      <c r="P519" t="s">
        <v>27</v>
      </c>
      <c r="Q519" t="s">
        <v>61</v>
      </c>
      <c r="R519" t="str">
        <f>TEXT(Table1[[#This Row],[Order Date]],"mmmm")</f>
        <v>April</v>
      </c>
      <c r="S519">
        <f>YEAR(Table1[[#This Row],[Order Date]])</f>
        <v>2025</v>
      </c>
    </row>
    <row r="520" spans="1:19" x14ac:dyDescent="0.3">
      <c r="A520" t="s">
        <v>1088</v>
      </c>
      <c r="B520" s="1">
        <v>46001</v>
      </c>
      <c r="C520" t="s">
        <v>86</v>
      </c>
      <c r="D520" t="s">
        <v>90</v>
      </c>
      <c r="E520" t="s">
        <v>22</v>
      </c>
      <c r="F520" t="s">
        <v>23</v>
      </c>
      <c r="G520" t="s">
        <v>38</v>
      </c>
      <c r="H520" t="s">
        <v>63</v>
      </c>
      <c r="I520" t="s">
        <v>1089</v>
      </c>
      <c r="J520">
        <v>2</v>
      </c>
      <c r="K520" s="2">
        <v>2746.65</v>
      </c>
      <c r="L520">
        <v>15</v>
      </c>
      <c r="M520" s="2">
        <v>4669.3100000000004</v>
      </c>
      <c r="N520" s="2">
        <v>3629.4</v>
      </c>
      <c r="O520" s="2">
        <v>1039.9100000000001</v>
      </c>
      <c r="P520" t="s">
        <v>27</v>
      </c>
      <c r="Q520" t="s">
        <v>49</v>
      </c>
      <c r="R520" t="str">
        <f>TEXT(Table1[[#This Row],[Order Date]],"mmmm")</f>
        <v>December</v>
      </c>
      <c r="S520">
        <f>YEAR(Table1[[#This Row],[Order Date]])</f>
        <v>2025</v>
      </c>
    </row>
    <row r="521" spans="1:19" x14ac:dyDescent="0.3">
      <c r="A521" t="s">
        <v>1090</v>
      </c>
      <c r="B521" s="1">
        <v>45849</v>
      </c>
      <c r="C521" t="s">
        <v>70</v>
      </c>
      <c r="D521" t="s">
        <v>71</v>
      </c>
      <c r="E521" t="s">
        <v>30</v>
      </c>
      <c r="F521" t="s">
        <v>37</v>
      </c>
      <c r="G521" t="s">
        <v>24</v>
      </c>
      <c r="H521" t="s">
        <v>171</v>
      </c>
      <c r="I521" t="s">
        <v>1091</v>
      </c>
      <c r="J521">
        <v>8</v>
      </c>
      <c r="K521" s="2">
        <v>2983.82</v>
      </c>
      <c r="L521">
        <v>20</v>
      </c>
      <c r="M521" s="2">
        <v>19096.45</v>
      </c>
      <c r="N521" s="2">
        <v>15006.67</v>
      </c>
      <c r="O521" s="2">
        <v>4089.78</v>
      </c>
      <c r="P521" t="s">
        <v>27</v>
      </c>
      <c r="Q521" t="s">
        <v>61</v>
      </c>
      <c r="R521" t="str">
        <f>TEXT(Table1[[#This Row],[Order Date]],"mmmm")</f>
        <v>July</v>
      </c>
      <c r="S521">
        <f>YEAR(Table1[[#This Row],[Order Date]])</f>
        <v>2025</v>
      </c>
    </row>
    <row r="522" spans="1:19" x14ac:dyDescent="0.3">
      <c r="A522" t="s">
        <v>1092</v>
      </c>
      <c r="B522" s="1">
        <v>46009</v>
      </c>
      <c r="C522" t="s">
        <v>20</v>
      </c>
      <c r="D522" t="s">
        <v>55</v>
      </c>
      <c r="E522" t="s">
        <v>66</v>
      </c>
      <c r="F522" t="s">
        <v>37</v>
      </c>
      <c r="G522" t="s">
        <v>45</v>
      </c>
      <c r="H522" t="s">
        <v>67</v>
      </c>
      <c r="I522" t="s">
        <v>1093</v>
      </c>
      <c r="J522">
        <v>14</v>
      </c>
      <c r="K522" s="2">
        <v>602.59</v>
      </c>
      <c r="L522">
        <v>15</v>
      </c>
      <c r="M522" s="2">
        <v>7170.82</v>
      </c>
      <c r="N522" s="2">
        <v>4065.63</v>
      </c>
      <c r="O522" s="2">
        <v>3105.19</v>
      </c>
      <c r="P522" t="s">
        <v>27</v>
      </c>
      <c r="Q522" t="s">
        <v>61</v>
      </c>
      <c r="R522" t="str">
        <f>TEXT(Table1[[#This Row],[Order Date]],"mmmm")</f>
        <v>December</v>
      </c>
      <c r="S522">
        <f>YEAR(Table1[[#This Row],[Order Date]])</f>
        <v>2025</v>
      </c>
    </row>
    <row r="523" spans="1:19" x14ac:dyDescent="0.3">
      <c r="A523" t="s">
        <v>1094</v>
      </c>
      <c r="B523" s="1">
        <v>45763</v>
      </c>
      <c r="C523" t="s">
        <v>86</v>
      </c>
      <c r="D523" t="s">
        <v>87</v>
      </c>
      <c r="E523" t="s">
        <v>51</v>
      </c>
      <c r="F523" t="s">
        <v>37</v>
      </c>
      <c r="G523" t="s">
        <v>45</v>
      </c>
      <c r="H523" t="s">
        <v>52</v>
      </c>
      <c r="I523" t="s">
        <v>1095</v>
      </c>
      <c r="J523">
        <v>6</v>
      </c>
      <c r="K523" s="2">
        <v>4499.67</v>
      </c>
      <c r="L523">
        <v>10</v>
      </c>
      <c r="M523" s="2">
        <v>24298.22</v>
      </c>
      <c r="N523" s="2">
        <v>19798.64</v>
      </c>
      <c r="O523" s="2">
        <v>4499.58</v>
      </c>
      <c r="P523" t="s">
        <v>41</v>
      </c>
      <c r="Q523" t="s">
        <v>42</v>
      </c>
      <c r="R523" t="str">
        <f>TEXT(Table1[[#This Row],[Order Date]],"mmmm")</f>
        <v>April</v>
      </c>
      <c r="S523">
        <f>YEAR(Table1[[#This Row],[Order Date]])</f>
        <v>2025</v>
      </c>
    </row>
    <row r="524" spans="1:19" x14ac:dyDescent="0.3">
      <c r="A524" t="s">
        <v>1096</v>
      </c>
      <c r="B524" s="1">
        <v>45903</v>
      </c>
      <c r="C524" t="s">
        <v>86</v>
      </c>
      <c r="D524" t="s">
        <v>87</v>
      </c>
      <c r="E524" t="s">
        <v>170</v>
      </c>
      <c r="F524" t="s">
        <v>37</v>
      </c>
      <c r="G524" t="s">
        <v>45</v>
      </c>
      <c r="H524" t="s">
        <v>123</v>
      </c>
      <c r="I524" t="s">
        <v>1097</v>
      </c>
      <c r="J524">
        <v>11</v>
      </c>
      <c r="K524" s="2">
        <v>1801.26</v>
      </c>
      <c r="L524">
        <v>0</v>
      </c>
      <c r="M524" s="2">
        <v>19813.86</v>
      </c>
      <c r="N524" s="2">
        <v>13708.89</v>
      </c>
      <c r="O524" s="2">
        <v>6104.97</v>
      </c>
      <c r="P524" t="s">
        <v>48</v>
      </c>
      <c r="Q524" t="s">
        <v>61</v>
      </c>
      <c r="R524" t="str">
        <f>TEXT(Table1[[#This Row],[Order Date]],"mmmm")</f>
        <v>September</v>
      </c>
      <c r="S524">
        <f>YEAR(Table1[[#This Row],[Order Date]])</f>
        <v>2025</v>
      </c>
    </row>
    <row r="525" spans="1:19" x14ac:dyDescent="0.3">
      <c r="A525" t="s">
        <v>1098</v>
      </c>
      <c r="B525" s="1">
        <v>45921</v>
      </c>
      <c r="C525" t="s">
        <v>35</v>
      </c>
      <c r="D525" t="s">
        <v>36</v>
      </c>
      <c r="E525" t="s">
        <v>113</v>
      </c>
      <c r="F525" t="s">
        <v>37</v>
      </c>
      <c r="G525" t="s">
        <v>24</v>
      </c>
      <c r="H525" t="s">
        <v>171</v>
      </c>
      <c r="I525" t="s">
        <v>1099</v>
      </c>
      <c r="J525">
        <v>4</v>
      </c>
      <c r="K525" s="2">
        <v>1939.54</v>
      </c>
      <c r="L525">
        <v>15</v>
      </c>
      <c r="M525" s="2">
        <v>6594.44</v>
      </c>
      <c r="N525" s="2">
        <v>3980.17</v>
      </c>
      <c r="O525" s="2">
        <v>2614.27</v>
      </c>
      <c r="P525" t="s">
        <v>27</v>
      </c>
      <c r="Q525" t="s">
        <v>49</v>
      </c>
      <c r="R525" t="str">
        <f>TEXT(Table1[[#This Row],[Order Date]],"mmmm")</f>
        <v>September</v>
      </c>
      <c r="S525">
        <f>YEAR(Table1[[#This Row],[Order Date]])</f>
        <v>2025</v>
      </c>
    </row>
    <row r="526" spans="1:19" x14ac:dyDescent="0.3">
      <c r="A526" t="s">
        <v>1100</v>
      </c>
      <c r="B526" s="1">
        <v>45985</v>
      </c>
      <c r="C526" t="s">
        <v>20</v>
      </c>
      <c r="D526" t="s">
        <v>55</v>
      </c>
      <c r="E526" t="s">
        <v>30</v>
      </c>
      <c r="F526" t="s">
        <v>37</v>
      </c>
      <c r="G526" t="s">
        <v>38</v>
      </c>
      <c r="H526" t="s">
        <v>63</v>
      </c>
      <c r="I526" t="s">
        <v>1101</v>
      </c>
      <c r="J526">
        <v>15</v>
      </c>
      <c r="K526" s="2">
        <v>277.14</v>
      </c>
      <c r="L526">
        <v>5</v>
      </c>
      <c r="M526" s="2">
        <v>3949.24</v>
      </c>
      <c r="N526" s="2">
        <v>3176.76</v>
      </c>
      <c r="O526" s="2">
        <v>772.48</v>
      </c>
      <c r="P526" t="s">
        <v>48</v>
      </c>
      <c r="Q526" t="s">
        <v>42</v>
      </c>
      <c r="R526" t="str">
        <f>TEXT(Table1[[#This Row],[Order Date]],"mmmm")</f>
        <v>November</v>
      </c>
      <c r="S526">
        <f>YEAR(Table1[[#This Row],[Order Date]])</f>
        <v>2025</v>
      </c>
    </row>
    <row r="527" spans="1:19" x14ac:dyDescent="0.3">
      <c r="A527" t="s">
        <v>1102</v>
      </c>
      <c r="B527" s="1">
        <v>45833</v>
      </c>
      <c r="C527" t="s">
        <v>35</v>
      </c>
      <c r="D527" t="s">
        <v>59</v>
      </c>
      <c r="E527" t="s">
        <v>120</v>
      </c>
      <c r="F527" t="s">
        <v>23</v>
      </c>
      <c r="G527" t="s">
        <v>38</v>
      </c>
      <c r="H527" t="s">
        <v>63</v>
      </c>
      <c r="I527" t="s">
        <v>1103</v>
      </c>
      <c r="J527">
        <v>14</v>
      </c>
      <c r="K527" s="2">
        <v>1384.63</v>
      </c>
      <c r="L527">
        <v>20</v>
      </c>
      <c r="M527" s="2">
        <v>15507.86</v>
      </c>
      <c r="N527" s="2">
        <v>9878</v>
      </c>
      <c r="O527" s="2">
        <v>5629.86</v>
      </c>
      <c r="P527" t="s">
        <v>41</v>
      </c>
      <c r="Q527" t="s">
        <v>42</v>
      </c>
      <c r="R527" t="str">
        <f>TEXT(Table1[[#This Row],[Order Date]],"mmmm")</f>
        <v>June</v>
      </c>
      <c r="S527">
        <f>YEAR(Table1[[#This Row],[Order Date]])</f>
        <v>2025</v>
      </c>
    </row>
    <row r="528" spans="1:19" x14ac:dyDescent="0.3">
      <c r="A528" t="s">
        <v>1104</v>
      </c>
      <c r="B528" s="1">
        <v>45882</v>
      </c>
      <c r="C528" t="s">
        <v>86</v>
      </c>
      <c r="D528" t="s">
        <v>90</v>
      </c>
      <c r="E528" t="s">
        <v>30</v>
      </c>
      <c r="F528" t="s">
        <v>31</v>
      </c>
      <c r="G528" t="s">
        <v>45</v>
      </c>
      <c r="H528" t="s">
        <v>67</v>
      </c>
      <c r="I528" t="s">
        <v>1105</v>
      </c>
      <c r="J528">
        <v>10</v>
      </c>
      <c r="K528" s="2">
        <v>1250.6300000000001</v>
      </c>
      <c r="L528">
        <v>20</v>
      </c>
      <c r="M528" s="2">
        <v>10005.040000000001</v>
      </c>
      <c r="N528" s="2">
        <v>7134.09</v>
      </c>
      <c r="O528" s="2">
        <v>2870.95</v>
      </c>
      <c r="P528" t="s">
        <v>48</v>
      </c>
      <c r="Q528" t="s">
        <v>61</v>
      </c>
      <c r="R528" t="str">
        <f>TEXT(Table1[[#This Row],[Order Date]],"mmmm")</f>
        <v>August</v>
      </c>
      <c r="S528">
        <f>YEAR(Table1[[#This Row],[Order Date]])</f>
        <v>2025</v>
      </c>
    </row>
    <row r="529" spans="1:19" x14ac:dyDescent="0.3">
      <c r="A529" t="s">
        <v>1106</v>
      </c>
      <c r="B529" s="1">
        <v>46072</v>
      </c>
      <c r="C529" t="s">
        <v>70</v>
      </c>
      <c r="D529" t="s">
        <v>75</v>
      </c>
      <c r="E529" t="s">
        <v>44</v>
      </c>
      <c r="F529" t="s">
        <v>23</v>
      </c>
      <c r="G529" t="s">
        <v>45</v>
      </c>
      <c r="H529" t="s">
        <v>159</v>
      </c>
      <c r="I529" t="s">
        <v>1107</v>
      </c>
      <c r="J529">
        <v>9</v>
      </c>
      <c r="K529" s="2">
        <v>2233.1999999999998</v>
      </c>
      <c r="L529">
        <v>15</v>
      </c>
      <c r="M529" s="2">
        <v>17083.98</v>
      </c>
      <c r="N529" s="2">
        <v>11966.36</v>
      </c>
      <c r="O529" s="2">
        <v>5117.62</v>
      </c>
      <c r="P529" t="s">
        <v>27</v>
      </c>
      <c r="Q529" t="s">
        <v>61</v>
      </c>
      <c r="R529" t="str">
        <f>TEXT(Table1[[#This Row],[Order Date]],"mmmm")</f>
        <v>February</v>
      </c>
      <c r="S529">
        <f>YEAR(Table1[[#This Row],[Order Date]])</f>
        <v>2026</v>
      </c>
    </row>
    <row r="530" spans="1:19" x14ac:dyDescent="0.3">
      <c r="A530" t="s">
        <v>1108</v>
      </c>
      <c r="B530" s="1">
        <v>46143</v>
      </c>
      <c r="C530" t="s">
        <v>70</v>
      </c>
      <c r="D530" t="s">
        <v>75</v>
      </c>
      <c r="E530" t="s">
        <v>44</v>
      </c>
      <c r="F530" t="s">
        <v>37</v>
      </c>
      <c r="G530" t="s">
        <v>24</v>
      </c>
      <c r="H530" t="s">
        <v>25</v>
      </c>
      <c r="I530" t="s">
        <v>1109</v>
      </c>
      <c r="J530">
        <v>5</v>
      </c>
      <c r="K530" s="2">
        <v>319.8</v>
      </c>
      <c r="L530">
        <v>15</v>
      </c>
      <c r="M530" s="2">
        <v>1359.15</v>
      </c>
      <c r="N530" s="2">
        <v>775.82</v>
      </c>
      <c r="O530" s="2">
        <v>583.33000000000004</v>
      </c>
      <c r="P530" t="s">
        <v>41</v>
      </c>
      <c r="Q530" t="s">
        <v>28</v>
      </c>
      <c r="R530" t="str">
        <f>TEXT(Table1[[#This Row],[Order Date]],"mmmm")</f>
        <v>May</v>
      </c>
      <c r="S530">
        <f>YEAR(Table1[[#This Row],[Order Date]])</f>
        <v>2026</v>
      </c>
    </row>
    <row r="531" spans="1:19" x14ac:dyDescent="0.3">
      <c r="A531" t="s">
        <v>1110</v>
      </c>
      <c r="B531" s="1">
        <v>45959</v>
      </c>
      <c r="C531" t="s">
        <v>35</v>
      </c>
      <c r="D531" t="s">
        <v>36</v>
      </c>
      <c r="E531" t="s">
        <v>44</v>
      </c>
      <c r="F531" t="s">
        <v>23</v>
      </c>
      <c r="G531" t="s">
        <v>45</v>
      </c>
      <c r="H531" t="s">
        <v>67</v>
      </c>
      <c r="I531" t="s">
        <v>1111</v>
      </c>
      <c r="J531">
        <v>14</v>
      </c>
      <c r="K531" s="2">
        <v>1421.4</v>
      </c>
      <c r="L531">
        <v>10</v>
      </c>
      <c r="M531" s="2">
        <v>17909.64</v>
      </c>
      <c r="N531" s="2">
        <v>11894.67</v>
      </c>
      <c r="O531" s="2">
        <v>6014.97</v>
      </c>
      <c r="P531" t="s">
        <v>48</v>
      </c>
      <c r="Q531" t="s">
        <v>49</v>
      </c>
      <c r="R531" t="str">
        <f>TEXT(Table1[[#This Row],[Order Date]],"mmmm")</f>
        <v>October</v>
      </c>
      <c r="S531">
        <f>YEAR(Table1[[#This Row],[Order Date]])</f>
        <v>2025</v>
      </c>
    </row>
    <row r="532" spans="1:19" x14ac:dyDescent="0.3">
      <c r="A532" t="s">
        <v>1112</v>
      </c>
      <c r="B532" s="1">
        <v>46038</v>
      </c>
      <c r="C532" t="s">
        <v>86</v>
      </c>
      <c r="D532" t="s">
        <v>87</v>
      </c>
      <c r="E532" t="s">
        <v>51</v>
      </c>
      <c r="F532" t="s">
        <v>31</v>
      </c>
      <c r="G532" t="s">
        <v>24</v>
      </c>
      <c r="H532" t="s">
        <v>171</v>
      </c>
      <c r="I532" t="s">
        <v>1113</v>
      </c>
      <c r="J532">
        <v>13</v>
      </c>
      <c r="K532" s="2">
        <v>2601.71</v>
      </c>
      <c r="L532">
        <v>10</v>
      </c>
      <c r="M532" s="2">
        <v>30440.01</v>
      </c>
      <c r="N532" s="2">
        <v>23215.57</v>
      </c>
      <c r="O532" s="2">
        <v>7224.44</v>
      </c>
      <c r="P532" t="s">
        <v>41</v>
      </c>
      <c r="Q532" t="s">
        <v>61</v>
      </c>
      <c r="R532" t="str">
        <f>TEXT(Table1[[#This Row],[Order Date]],"mmmm")</f>
        <v>January</v>
      </c>
      <c r="S532">
        <f>YEAR(Table1[[#This Row],[Order Date]])</f>
        <v>2026</v>
      </c>
    </row>
    <row r="533" spans="1:19" x14ac:dyDescent="0.3">
      <c r="A533" t="s">
        <v>1114</v>
      </c>
      <c r="B533" s="1">
        <v>46189</v>
      </c>
      <c r="C533" t="s">
        <v>35</v>
      </c>
      <c r="D533" t="s">
        <v>59</v>
      </c>
      <c r="E533" t="s">
        <v>113</v>
      </c>
      <c r="F533" t="s">
        <v>23</v>
      </c>
      <c r="G533" t="s">
        <v>24</v>
      </c>
      <c r="H533" t="s">
        <v>56</v>
      </c>
      <c r="I533" t="s">
        <v>1115</v>
      </c>
      <c r="J533">
        <v>1</v>
      </c>
      <c r="K533" s="2">
        <v>3839.89</v>
      </c>
      <c r="L533">
        <v>5</v>
      </c>
      <c r="M533" s="2">
        <v>3647.9</v>
      </c>
      <c r="N533" s="2">
        <v>2008.47</v>
      </c>
      <c r="O533" s="2">
        <v>1639.43</v>
      </c>
      <c r="P533" t="s">
        <v>48</v>
      </c>
      <c r="Q533" t="s">
        <v>49</v>
      </c>
      <c r="R533" t="str">
        <f>TEXT(Table1[[#This Row],[Order Date]],"mmmm")</f>
        <v>June</v>
      </c>
      <c r="S533">
        <f>YEAR(Table1[[#This Row],[Order Date]])</f>
        <v>2026</v>
      </c>
    </row>
    <row r="534" spans="1:19" x14ac:dyDescent="0.3">
      <c r="A534" t="s">
        <v>1116</v>
      </c>
      <c r="B534" s="1">
        <v>45888</v>
      </c>
      <c r="C534" t="s">
        <v>86</v>
      </c>
      <c r="D534" t="s">
        <v>90</v>
      </c>
      <c r="E534" t="s">
        <v>170</v>
      </c>
      <c r="F534" t="s">
        <v>31</v>
      </c>
      <c r="G534" t="s">
        <v>38</v>
      </c>
      <c r="H534" t="s">
        <v>63</v>
      </c>
      <c r="I534" t="s">
        <v>1117</v>
      </c>
      <c r="J534">
        <v>7</v>
      </c>
      <c r="K534" s="2">
        <v>686.88</v>
      </c>
      <c r="L534">
        <v>5</v>
      </c>
      <c r="M534" s="2">
        <v>4567.75</v>
      </c>
      <c r="N534" s="2">
        <v>2821.73</v>
      </c>
      <c r="O534" s="2">
        <v>1746.02</v>
      </c>
      <c r="P534" t="s">
        <v>48</v>
      </c>
      <c r="Q534" t="s">
        <v>61</v>
      </c>
      <c r="R534" t="str">
        <f>TEXT(Table1[[#This Row],[Order Date]],"mmmm")</f>
        <v>August</v>
      </c>
      <c r="S534">
        <f>YEAR(Table1[[#This Row],[Order Date]])</f>
        <v>2025</v>
      </c>
    </row>
    <row r="535" spans="1:19" x14ac:dyDescent="0.3">
      <c r="A535" t="s">
        <v>1118</v>
      </c>
      <c r="B535" s="1">
        <v>45953</v>
      </c>
      <c r="C535" t="s">
        <v>20</v>
      </c>
      <c r="D535" t="s">
        <v>55</v>
      </c>
      <c r="E535" t="s">
        <v>22</v>
      </c>
      <c r="F535" t="s">
        <v>23</v>
      </c>
      <c r="G535" t="s">
        <v>45</v>
      </c>
      <c r="H535" t="s">
        <v>46</v>
      </c>
      <c r="I535" t="s">
        <v>1119</v>
      </c>
      <c r="J535">
        <v>6</v>
      </c>
      <c r="K535" s="2">
        <v>4273.1899999999996</v>
      </c>
      <c r="L535">
        <v>15</v>
      </c>
      <c r="M535" s="2">
        <v>21793.27</v>
      </c>
      <c r="N535" s="2">
        <v>13437.89</v>
      </c>
      <c r="O535" s="2">
        <v>8355.3799999999992</v>
      </c>
      <c r="P535" t="s">
        <v>41</v>
      </c>
      <c r="Q535" t="s">
        <v>28</v>
      </c>
      <c r="R535" t="str">
        <f>TEXT(Table1[[#This Row],[Order Date]],"mmmm")</f>
        <v>October</v>
      </c>
      <c r="S535">
        <f>YEAR(Table1[[#This Row],[Order Date]])</f>
        <v>2025</v>
      </c>
    </row>
    <row r="536" spans="1:19" x14ac:dyDescent="0.3">
      <c r="A536" t="s">
        <v>1120</v>
      </c>
      <c r="B536" s="1">
        <v>45764</v>
      </c>
      <c r="C536" t="s">
        <v>70</v>
      </c>
      <c r="D536" t="s">
        <v>75</v>
      </c>
      <c r="E536" t="s">
        <v>113</v>
      </c>
      <c r="F536" t="s">
        <v>37</v>
      </c>
      <c r="G536" t="s">
        <v>38</v>
      </c>
      <c r="H536" t="s">
        <v>63</v>
      </c>
      <c r="I536" t="s">
        <v>1121</v>
      </c>
      <c r="J536">
        <v>3</v>
      </c>
      <c r="K536" s="2">
        <v>1587.88</v>
      </c>
      <c r="L536">
        <v>20</v>
      </c>
      <c r="M536" s="2">
        <v>3810.91</v>
      </c>
      <c r="N536" s="2">
        <v>2723.57</v>
      </c>
      <c r="O536" s="2">
        <v>1087.3399999999999</v>
      </c>
      <c r="P536" t="s">
        <v>48</v>
      </c>
      <c r="Q536" t="s">
        <v>28</v>
      </c>
      <c r="R536" t="str">
        <f>TEXT(Table1[[#This Row],[Order Date]],"mmmm")</f>
        <v>April</v>
      </c>
      <c r="S536">
        <f>YEAR(Table1[[#This Row],[Order Date]])</f>
        <v>2025</v>
      </c>
    </row>
    <row r="537" spans="1:19" x14ac:dyDescent="0.3">
      <c r="A537" t="s">
        <v>1122</v>
      </c>
      <c r="B537" s="1">
        <v>45665</v>
      </c>
      <c r="C537" t="s">
        <v>70</v>
      </c>
      <c r="D537" t="s">
        <v>71</v>
      </c>
      <c r="E537" t="s">
        <v>120</v>
      </c>
      <c r="F537" t="s">
        <v>23</v>
      </c>
      <c r="G537" t="s">
        <v>45</v>
      </c>
      <c r="H537" t="s">
        <v>52</v>
      </c>
      <c r="I537" t="s">
        <v>1123</v>
      </c>
      <c r="J537">
        <v>12</v>
      </c>
      <c r="K537" s="2">
        <v>1048.71</v>
      </c>
      <c r="L537">
        <v>10</v>
      </c>
      <c r="M537" s="2">
        <v>11326.07</v>
      </c>
      <c r="N537" s="2">
        <v>9219.19</v>
      </c>
      <c r="O537" s="2">
        <v>2106.88</v>
      </c>
      <c r="P537" t="s">
        <v>48</v>
      </c>
      <c r="Q537" t="s">
        <v>42</v>
      </c>
      <c r="R537" t="str">
        <f>TEXT(Table1[[#This Row],[Order Date]],"mmmm")</f>
        <v>January</v>
      </c>
      <c r="S537">
        <f>YEAR(Table1[[#This Row],[Order Date]])</f>
        <v>2025</v>
      </c>
    </row>
    <row r="538" spans="1:19" x14ac:dyDescent="0.3">
      <c r="A538" t="s">
        <v>1124</v>
      </c>
      <c r="B538" s="1">
        <v>45667</v>
      </c>
      <c r="C538" t="s">
        <v>20</v>
      </c>
      <c r="D538" t="s">
        <v>21</v>
      </c>
      <c r="E538" t="s">
        <v>170</v>
      </c>
      <c r="F538" t="s">
        <v>23</v>
      </c>
      <c r="G538" t="s">
        <v>24</v>
      </c>
      <c r="H538" t="s">
        <v>32</v>
      </c>
      <c r="I538" t="s">
        <v>1125</v>
      </c>
      <c r="J538">
        <v>14</v>
      </c>
      <c r="K538" s="2">
        <v>2287.9499999999998</v>
      </c>
      <c r="L538">
        <v>0</v>
      </c>
      <c r="M538" s="2">
        <v>32031.3</v>
      </c>
      <c r="N538" s="2">
        <v>26108.53</v>
      </c>
      <c r="O538" s="2">
        <v>5922.77</v>
      </c>
      <c r="P538" t="s">
        <v>27</v>
      </c>
      <c r="Q538" t="s">
        <v>28</v>
      </c>
      <c r="R538" t="str">
        <f>TEXT(Table1[[#This Row],[Order Date]],"mmmm")</f>
        <v>January</v>
      </c>
      <c r="S538">
        <f>YEAR(Table1[[#This Row],[Order Date]])</f>
        <v>2025</v>
      </c>
    </row>
    <row r="539" spans="1:19" x14ac:dyDescent="0.3">
      <c r="A539" t="s">
        <v>1126</v>
      </c>
      <c r="B539" s="1">
        <v>45893</v>
      </c>
      <c r="C539" t="s">
        <v>35</v>
      </c>
      <c r="D539" t="s">
        <v>36</v>
      </c>
      <c r="E539" t="s">
        <v>22</v>
      </c>
      <c r="F539" t="s">
        <v>23</v>
      </c>
      <c r="G539" t="s">
        <v>45</v>
      </c>
      <c r="H539" t="s">
        <v>46</v>
      </c>
      <c r="I539" t="s">
        <v>1127</v>
      </c>
      <c r="J539">
        <v>10</v>
      </c>
      <c r="K539" s="2">
        <v>3261.08</v>
      </c>
      <c r="L539">
        <v>0</v>
      </c>
      <c r="M539" s="2">
        <v>32610.799999999999</v>
      </c>
      <c r="N539" s="2">
        <v>23546.35</v>
      </c>
      <c r="O539" s="2">
        <v>9064.4500000000007</v>
      </c>
      <c r="P539" t="s">
        <v>41</v>
      </c>
      <c r="Q539" t="s">
        <v>42</v>
      </c>
      <c r="R539" t="str">
        <f>TEXT(Table1[[#This Row],[Order Date]],"mmmm")</f>
        <v>August</v>
      </c>
      <c r="S539">
        <f>YEAR(Table1[[#This Row],[Order Date]])</f>
        <v>2025</v>
      </c>
    </row>
    <row r="540" spans="1:19" x14ac:dyDescent="0.3">
      <c r="A540" t="s">
        <v>1128</v>
      </c>
      <c r="B540" s="1">
        <v>45677</v>
      </c>
      <c r="C540" t="s">
        <v>20</v>
      </c>
      <c r="D540" t="s">
        <v>21</v>
      </c>
      <c r="E540" t="s">
        <v>120</v>
      </c>
      <c r="F540" t="s">
        <v>37</v>
      </c>
      <c r="G540" t="s">
        <v>24</v>
      </c>
      <c r="H540" t="s">
        <v>171</v>
      </c>
      <c r="I540" t="s">
        <v>1129</v>
      </c>
      <c r="J540">
        <v>2</v>
      </c>
      <c r="K540" s="2">
        <v>1526.1</v>
      </c>
      <c r="L540">
        <v>0</v>
      </c>
      <c r="M540" s="2">
        <v>3052.2</v>
      </c>
      <c r="N540" s="2">
        <v>1864.46</v>
      </c>
      <c r="O540" s="2">
        <v>1187.74</v>
      </c>
      <c r="P540" t="s">
        <v>27</v>
      </c>
      <c r="Q540" t="s">
        <v>61</v>
      </c>
      <c r="R540" t="str">
        <f>TEXT(Table1[[#This Row],[Order Date]],"mmmm")</f>
        <v>January</v>
      </c>
      <c r="S540">
        <f>YEAR(Table1[[#This Row],[Order Date]])</f>
        <v>2025</v>
      </c>
    </row>
    <row r="541" spans="1:19" x14ac:dyDescent="0.3">
      <c r="A541" t="s">
        <v>1130</v>
      </c>
      <c r="B541" s="1">
        <v>45976</v>
      </c>
      <c r="C541" t="s">
        <v>35</v>
      </c>
      <c r="D541" t="s">
        <v>36</v>
      </c>
      <c r="E541" t="s">
        <v>170</v>
      </c>
      <c r="F541" t="s">
        <v>31</v>
      </c>
      <c r="G541" t="s">
        <v>45</v>
      </c>
      <c r="H541" t="s">
        <v>159</v>
      </c>
      <c r="I541" t="s">
        <v>1131</v>
      </c>
      <c r="J541">
        <v>6</v>
      </c>
      <c r="K541" s="2">
        <v>2447.25</v>
      </c>
      <c r="L541">
        <v>10</v>
      </c>
      <c r="M541" s="2">
        <v>13215.15</v>
      </c>
      <c r="N541" s="2">
        <v>8458.56</v>
      </c>
      <c r="O541" s="2">
        <v>4756.59</v>
      </c>
      <c r="P541" t="s">
        <v>41</v>
      </c>
      <c r="Q541" t="s">
        <v>28</v>
      </c>
      <c r="R541" t="str">
        <f>TEXT(Table1[[#This Row],[Order Date]],"mmmm")</f>
        <v>November</v>
      </c>
      <c r="S541">
        <f>YEAR(Table1[[#This Row],[Order Date]])</f>
        <v>2025</v>
      </c>
    </row>
    <row r="542" spans="1:19" x14ac:dyDescent="0.3">
      <c r="A542" t="s">
        <v>1132</v>
      </c>
      <c r="B542" s="1">
        <v>45751</v>
      </c>
      <c r="C542" t="s">
        <v>70</v>
      </c>
      <c r="D542" t="s">
        <v>75</v>
      </c>
      <c r="E542" t="s">
        <v>120</v>
      </c>
      <c r="F542" t="s">
        <v>23</v>
      </c>
      <c r="G542" t="s">
        <v>24</v>
      </c>
      <c r="H542" t="s">
        <v>134</v>
      </c>
      <c r="I542" t="s">
        <v>1133</v>
      </c>
      <c r="J542">
        <v>10</v>
      </c>
      <c r="K542" s="2">
        <v>2725.49</v>
      </c>
      <c r="L542">
        <v>0</v>
      </c>
      <c r="M542" s="2">
        <v>27254.9</v>
      </c>
      <c r="N542" s="2">
        <v>17455.55</v>
      </c>
      <c r="O542" s="2">
        <v>9799.35</v>
      </c>
      <c r="P542" t="s">
        <v>27</v>
      </c>
      <c r="Q542" t="s">
        <v>42</v>
      </c>
      <c r="R542" t="str">
        <f>TEXT(Table1[[#This Row],[Order Date]],"mmmm")</f>
        <v>April</v>
      </c>
      <c r="S542">
        <f>YEAR(Table1[[#This Row],[Order Date]])</f>
        <v>2025</v>
      </c>
    </row>
    <row r="543" spans="1:19" x14ac:dyDescent="0.3">
      <c r="A543" t="s">
        <v>1134</v>
      </c>
      <c r="B543" s="1">
        <v>45976</v>
      </c>
      <c r="C543" t="s">
        <v>86</v>
      </c>
      <c r="D543" t="s">
        <v>87</v>
      </c>
      <c r="E543" t="s">
        <v>66</v>
      </c>
      <c r="F543" t="s">
        <v>23</v>
      </c>
      <c r="G543" t="s">
        <v>38</v>
      </c>
      <c r="H543" t="s">
        <v>72</v>
      </c>
      <c r="I543" t="s">
        <v>1135</v>
      </c>
      <c r="J543">
        <v>8</v>
      </c>
      <c r="K543" s="2">
        <v>3650.86</v>
      </c>
      <c r="L543">
        <v>15</v>
      </c>
      <c r="M543" s="2">
        <v>24825.85</v>
      </c>
      <c r="N543" s="2">
        <v>19017.86</v>
      </c>
      <c r="O543" s="2">
        <v>5807.99</v>
      </c>
      <c r="P543" t="s">
        <v>41</v>
      </c>
      <c r="Q543" t="s">
        <v>28</v>
      </c>
      <c r="R543" t="str">
        <f>TEXT(Table1[[#This Row],[Order Date]],"mmmm")</f>
        <v>November</v>
      </c>
      <c r="S543">
        <f>YEAR(Table1[[#This Row],[Order Date]])</f>
        <v>2025</v>
      </c>
    </row>
    <row r="544" spans="1:19" x14ac:dyDescent="0.3">
      <c r="A544" t="s">
        <v>1136</v>
      </c>
      <c r="B544" s="1">
        <v>46022</v>
      </c>
      <c r="C544" t="s">
        <v>70</v>
      </c>
      <c r="D544" t="s">
        <v>71</v>
      </c>
      <c r="E544" t="s">
        <v>44</v>
      </c>
      <c r="F544" t="s">
        <v>23</v>
      </c>
      <c r="G544" t="s">
        <v>38</v>
      </c>
      <c r="H544" t="s">
        <v>91</v>
      </c>
      <c r="I544" t="s">
        <v>1137</v>
      </c>
      <c r="J544">
        <v>15</v>
      </c>
      <c r="K544" s="2">
        <v>1564.11</v>
      </c>
      <c r="L544">
        <v>0</v>
      </c>
      <c r="M544" s="2">
        <v>23461.65</v>
      </c>
      <c r="N544" s="2">
        <v>13881.79</v>
      </c>
      <c r="O544" s="2">
        <v>9579.86</v>
      </c>
      <c r="P544" t="s">
        <v>27</v>
      </c>
      <c r="Q544" t="s">
        <v>61</v>
      </c>
      <c r="R544" t="str">
        <f>TEXT(Table1[[#This Row],[Order Date]],"mmmm")</f>
        <v>December</v>
      </c>
      <c r="S544">
        <f>YEAR(Table1[[#This Row],[Order Date]])</f>
        <v>2025</v>
      </c>
    </row>
    <row r="545" spans="1:19" x14ac:dyDescent="0.3">
      <c r="A545" t="s">
        <v>1138</v>
      </c>
      <c r="B545" s="1">
        <v>45933</v>
      </c>
      <c r="C545" t="s">
        <v>86</v>
      </c>
      <c r="D545" t="s">
        <v>87</v>
      </c>
      <c r="E545" t="s">
        <v>51</v>
      </c>
      <c r="F545" t="s">
        <v>31</v>
      </c>
      <c r="G545" t="s">
        <v>24</v>
      </c>
      <c r="H545" t="s">
        <v>25</v>
      </c>
      <c r="I545" t="s">
        <v>1139</v>
      </c>
      <c r="J545">
        <v>10</v>
      </c>
      <c r="K545" s="2">
        <v>517.16</v>
      </c>
      <c r="L545">
        <v>0</v>
      </c>
      <c r="M545" s="2">
        <v>5171.6000000000004</v>
      </c>
      <c r="N545" s="2">
        <v>4138.12</v>
      </c>
      <c r="O545" s="2">
        <v>1033.48</v>
      </c>
      <c r="P545" t="s">
        <v>41</v>
      </c>
      <c r="Q545" t="s">
        <v>49</v>
      </c>
      <c r="R545" t="str">
        <f>TEXT(Table1[[#This Row],[Order Date]],"mmmm")</f>
        <v>October</v>
      </c>
      <c r="S545">
        <f>YEAR(Table1[[#This Row],[Order Date]])</f>
        <v>2025</v>
      </c>
    </row>
    <row r="546" spans="1:19" x14ac:dyDescent="0.3">
      <c r="A546" t="s">
        <v>1140</v>
      </c>
      <c r="B546" s="1">
        <v>45859</v>
      </c>
      <c r="C546" t="s">
        <v>70</v>
      </c>
      <c r="D546" t="s">
        <v>75</v>
      </c>
      <c r="E546" t="s">
        <v>44</v>
      </c>
      <c r="F546" t="s">
        <v>37</v>
      </c>
      <c r="G546" t="s">
        <v>45</v>
      </c>
      <c r="H546" t="s">
        <v>67</v>
      </c>
      <c r="I546" t="s">
        <v>1141</v>
      </c>
      <c r="J546">
        <v>8</v>
      </c>
      <c r="K546" s="2">
        <v>2817.15</v>
      </c>
      <c r="L546">
        <v>20</v>
      </c>
      <c r="M546" s="2">
        <v>18029.759999999998</v>
      </c>
      <c r="N546" s="2">
        <v>11285.77</v>
      </c>
      <c r="O546" s="2">
        <v>6743.99</v>
      </c>
      <c r="P546" t="s">
        <v>27</v>
      </c>
      <c r="Q546" t="s">
        <v>61</v>
      </c>
      <c r="R546" t="str">
        <f>TEXT(Table1[[#This Row],[Order Date]],"mmmm")</f>
        <v>July</v>
      </c>
      <c r="S546">
        <f>YEAR(Table1[[#This Row],[Order Date]])</f>
        <v>2025</v>
      </c>
    </row>
    <row r="547" spans="1:19" x14ac:dyDescent="0.3">
      <c r="A547" t="s">
        <v>1142</v>
      </c>
      <c r="B547" s="1">
        <v>45695</v>
      </c>
      <c r="C547" t="s">
        <v>70</v>
      </c>
      <c r="D547" t="s">
        <v>75</v>
      </c>
      <c r="E547" t="s">
        <v>120</v>
      </c>
      <c r="F547" t="s">
        <v>31</v>
      </c>
      <c r="G547" t="s">
        <v>45</v>
      </c>
      <c r="H547" t="s">
        <v>67</v>
      </c>
      <c r="I547" t="s">
        <v>1143</v>
      </c>
      <c r="J547">
        <v>12</v>
      </c>
      <c r="K547" s="2">
        <v>310.95</v>
      </c>
      <c r="L547">
        <v>15</v>
      </c>
      <c r="M547" s="2">
        <v>3171.69</v>
      </c>
      <c r="N547" s="2">
        <v>2390.88</v>
      </c>
      <c r="O547" s="2">
        <v>780.81</v>
      </c>
      <c r="P547" t="s">
        <v>27</v>
      </c>
      <c r="Q547" t="s">
        <v>28</v>
      </c>
      <c r="R547" t="str">
        <f>TEXT(Table1[[#This Row],[Order Date]],"mmmm")</f>
        <v>February</v>
      </c>
      <c r="S547">
        <f>YEAR(Table1[[#This Row],[Order Date]])</f>
        <v>2025</v>
      </c>
    </row>
    <row r="548" spans="1:19" x14ac:dyDescent="0.3">
      <c r="A548" t="s">
        <v>1144</v>
      </c>
      <c r="B548" s="1">
        <v>45708</v>
      </c>
      <c r="C548" t="s">
        <v>86</v>
      </c>
      <c r="D548" t="s">
        <v>87</v>
      </c>
      <c r="E548" t="s">
        <v>44</v>
      </c>
      <c r="F548" t="s">
        <v>23</v>
      </c>
      <c r="G548" t="s">
        <v>38</v>
      </c>
      <c r="H548" t="s">
        <v>91</v>
      </c>
      <c r="I548" t="s">
        <v>1145</v>
      </c>
      <c r="J548">
        <v>8</v>
      </c>
      <c r="K548" s="2">
        <v>4616.58</v>
      </c>
      <c r="L548">
        <v>0</v>
      </c>
      <c r="M548" s="2">
        <v>36932.639999999999</v>
      </c>
      <c r="N548" s="2">
        <v>21904.93</v>
      </c>
      <c r="O548" s="2">
        <v>15027.71</v>
      </c>
      <c r="P548" t="s">
        <v>48</v>
      </c>
      <c r="Q548" t="s">
        <v>49</v>
      </c>
      <c r="R548" t="str">
        <f>TEXT(Table1[[#This Row],[Order Date]],"mmmm")</f>
        <v>February</v>
      </c>
      <c r="S548">
        <f>YEAR(Table1[[#This Row],[Order Date]])</f>
        <v>2025</v>
      </c>
    </row>
    <row r="549" spans="1:19" x14ac:dyDescent="0.3">
      <c r="A549" t="s">
        <v>1146</v>
      </c>
      <c r="B549" s="1">
        <v>45681</v>
      </c>
      <c r="C549" t="s">
        <v>86</v>
      </c>
      <c r="D549" t="s">
        <v>87</v>
      </c>
      <c r="E549" t="s">
        <v>113</v>
      </c>
      <c r="F549" t="s">
        <v>23</v>
      </c>
      <c r="G549" t="s">
        <v>24</v>
      </c>
      <c r="H549" t="s">
        <v>56</v>
      </c>
      <c r="I549" t="s">
        <v>1147</v>
      </c>
      <c r="J549">
        <v>5</v>
      </c>
      <c r="K549" s="2">
        <v>4546.04</v>
      </c>
      <c r="L549">
        <v>20</v>
      </c>
      <c r="M549" s="2">
        <v>18184.16</v>
      </c>
      <c r="N549" s="2">
        <v>10159.209999999999</v>
      </c>
      <c r="O549" s="2">
        <v>8024.95</v>
      </c>
      <c r="P549" t="s">
        <v>48</v>
      </c>
      <c r="Q549" t="s">
        <v>42</v>
      </c>
      <c r="R549" t="str">
        <f>TEXT(Table1[[#This Row],[Order Date]],"mmmm")</f>
        <v>January</v>
      </c>
      <c r="S549">
        <f>YEAR(Table1[[#This Row],[Order Date]])</f>
        <v>2025</v>
      </c>
    </row>
    <row r="550" spans="1:19" x14ac:dyDescent="0.3">
      <c r="A550" t="s">
        <v>1148</v>
      </c>
      <c r="B550" s="1">
        <v>45753</v>
      </c>
      <c r="C550" t="s">
        <v>20</v>
      </c>
      <c r="D550" t="s">
        <v>55</v>
      </c>
      <c r="E550" t="s">
        <v>30</v>
      </c>
      <c r="F550" t="s">
        <v>23</v>
      </c>
      <c r="G550" t="s">
        <v>45</v>
      </c>
      <c r="H550" t="s">
        <v>123</v>
      </c>
      <c r="I550" t="s">
        <v>1149</v>
      </c>
      <c r="J550">
        <v>4</v>
      </c>
      <c r="K550" s="2">
        <v>2496.6999999999998</v>
      </c>
      <c r="L550">
        <v>10</v>
      </c>
      <c r="M550" s="2">
        <v>8988.1200000000008</v>
      </c>
      <c r="N550" s="2">
        <v>5220.8500000000004</v>
      </c>
      <c r="O550" s="2">
        <v>3767.27</v>
      </c>
      <c r="P550" t="s">
        <v>48</v>
      </c>
      <c r="Q550" t="s">
        <v>42</v>
      </c>
      <c r="R550" t="str">
        <f>TEXT(Table1[[#This Row],[Order Date]],"mmmm")</f>
        <v>April</v>
      </c>
      <c r="S550">
        <f>YEAR(Table1[[#This Row],[Order Date]])</f>
        <v>2025</v>
      </c>
    </row>
    <row r="551" spans="1:19" x14ac:dyDescent="0.3">
      <c r="A551" t="s">
        <v>1150</v>
      </c>
      <c r="B551" s="1">
        <v>45736</v>
      </c>
      <c r="C551" t="s">
        <v>70</v>
      </c>
      <c r="D551" t="s">
        <v>71</v>
      </c>
      <c r="E551" t="s">
        <v>170</v>
      </c>
      <c r="F551" t="s">
        <v>23</v>
      </c>
      <c r="G551" t="s">
        <v>45</v>
      </c>
      <c r="H551" t="s">
        <v>67</v>
      </c>
      <c r="I551" t="s">
        <v>1151</v>
      </c>
      <c r="J551">
        <v>4</v>
      </c>
      <c r="K551" s="2">
        <v>3057.92</v>
      </c>
      <c r="L551">
        <v>5</v>
      </c>
      <c r="M551" s="2">
        <v>11620.1</v>
      </c>
      <c r="N551" s="2">
        <v>6462.33</v>
      </c>
      <c r="O551" s="2">
        <v>5157.7700000000004</v>
      </c>
      <c r="P551" t="s">
        <v>41</v>
      </c>
      <c r="Q551" t="s">
        <v>28</v>
      </c>
      <c r="R551" t="str">
        <f>TEXT(Table1[[#This Row],[Order Date]],"mmmm")</f>
        <v>March</v>
      </c>
      <c r="S551">
        <f>YEAR(Table1[[#This Row],[Order Date]])</f>
        <v>2025</v>
      </c>
    </row>
    <row r="552" spans="1:19" x14ac:dyDescent="0.3">
      <c r="A552" t="s">
        <v>1152</v>
      </c>
      <c r="B552" s="1">
        <v>45948</v>
      </c>
      <c r="C552" t="s">
        <v>35</v>
      </c>
      <c r="D552" t="s">
        <v>59</v>
      </c>
      <c r="E552" t="s">
        <v>51</v>
      </c>
      <c r="F552" t="s">
        <v>23</v>
      </c>
      <c r="G552" t="s">
        <v>38</v>
      </c>
      <c r="H552" t="s">
        <v>39</v>
      </c>
      <c r="I552" t="s">
        <v>1153</v>
      </c>
      <c r="J552">
        <v>5</v>
      </c>
      <c r="K552" s="2">
        <v>3620.19</v>
      </c>
      <c r="L552">
        <v>10</v>
      </c>
      <c r="M552" s="2">
        <v>16290.86</v>
      </c>
      <c r="N552" s="2">
        <v>9264.18</v>
      </c>
      <c r="O552" s="2">
        <v>7026.68</v>
      </c>
      <c r="P552" t="s">
        <v>48</v>
      </c>
      <c r="Q552" t="s">
        <v>61</v>
      </c>
      <c r="R552" t="str">
        <f>TEXT(Table1[[#This Row],[Order Date]],"mmmm")</f>
        <v>October</v>
      </c>
      <c r="S552">
        <f>YEAR(Table1[[#This Row],[Order Date]])</f>
        <v>2025</v>
      </c>
    </row>
    <row r="553" spans="1:19" x14ac:dyDescent="0.3">
      <c r="A553" t="s">
        <v>1154</v>
      </c>
      <c r="B553" s="1">
        <v>46186</v>
      </c>
      <c r="C553" t="s">
        <v>35</v>
      </c>
      <c r="D553" t="s">
        <v>59</v>
      </c>
      <c r="E553" t="s">
        <v>22</v>
      </c>
      <c r="F553" t="s">
        <v>37</v>
      </c>
      <c r="G553" t="s">
        <v>38</v>
      </c>
      <c r="H553" t="s">
        <v>91</v>
      </c>
      <c r="I553" t="s">
        <v>1155</v>
      </c>
      <c r="J553">
        <v>4</v>
      </c>
      <c r="K553" s="2">
        <v>1909.95</v>
      </c>
      <c r="L553">
        <v>10</v>
      </c>
      <c r="M553" s="2">
        <v>6875.82</v>
      </c>
      <c r="N553" s="2">
        <v>5233.3100000000004</v>
      </c>
      <c r="O553" s="2">
        <v>1642.51</v>
      </c>
      <c r="P553" t="s">
        <v>48</v>
      </c>
      <c r="Q553" t="s">
        <v>42</v>
      </c>
      <c r="R553" t="str">
        <f>TEXT(Table1[[#This Row],[Order Date]],"mmmm")</f>
        <v>June</v>
      </c>
      <c r="S553">
        <f>YEAR(Table1[[#This Row],[Order Date]])</f>
        <v>2026</v>
      </c>
    </row>
    <row r="554" spans="1:19" x14ac:dyDescent="0.3">
      <c r="A554" t="s">
        <v>1156</v>
      </c>
      <c r="B554" s="1">
        <v>45986</v>
      </c>
      <c r="C554" t="s">
        <v>86</v>
      </c>
      <c r="D554" t="s">
        <v>87</v>
      </c>
      <c r="E554" t="s">
        <v>170</v>
      </c>
      <c r="F554" t="s">
        <v>37</v>
      </c>
      <c r="G554" t="s">
        <v>45</v>
      </c>
      <c r="H554" t="s">
        <v>123</v>
      </c>
      <c r="I554" t="s">
        <v>1157</v>
      </c>
      <c r="J554">
        <v>15</v>
      </c>
      <c r="K554" s="2">
        <v>2091.11</v>
      </c>
      <c r="L554">
        <v>20</v>
      </c>
      <c r="M554" s="2">
        <v>25093.32</v>
      </c>
      <c r="N554" s="2">
        <v>18770.009999999998</v>
      </c>
      <c r="O554" s="2">
        <v>6323.31</v>
      </c>
      <c r="P554" t="s">
        <v>48</v>
      </c>
      <c r="Q554" t="s">
        <v>61</v>
      </c>
      <c r="R554" t="str">
        <f>TEXT(Table1[[#This Row],[Order Date]],"mmmm")</f>
        <v>November</v>
      </c>
      <c r="S554">
        <f>YEAR(Table1[[#This Row],[Order Date]])</f>
        <v>2025</v>
      </c>
    </row>
    <row r="555" spans="1:19" x14ac:dyDescent="0.3">
      <c r="A555" t="s">
        <v>1158</v>
      </c>
      <c r="B555" s="1">
        <v>45729</v>
      </c>
      <c r="C555" t="s">
        <v>86</v>
      </c>
      <c r="D555" t="s">
        <v>87</v>
      </c>
      <c r="E555" t="s">
        <v>113</v>
      </c>
      <c r="F555" t="s">
        <v>31</v>
      </c>
      <c r="G555" t="s">
        <v>38</v>
      </c>
      <c r="H555" t="s">
        <v>39</v>
      </c>
      <c r="I555" t="s">
        <v>1159</v>
      </c>
      <c r="J555">
        <v>4</v>
      </c>
      <c r="K555" s="2">
        <v>3277.44</v>
      </c>
      <c r="L555">
        <v>5</v>
      </c>
      <c r="M555" s="2">
        <v>12454.27</v>
      </c>
      <c r="N555" s="2">
        <v>8496.83</v>
      </c>
      <c r="O555" s="2">
        <v>3957.44</v>
      </c>
      <c r="P555" t="s">
        <v>48</v>
      </c>
      <c r="Q555" t="s">
        <v>28</v>
      </c>
      <c r="R555" t="str">
        <f>TEXT(Table1[[#This Row],[Order Date]],"mmmm")</f>
        <v>March</v>
      </c>
      <c r="S555">
        <f>YEAR(Table1[[#This Row],[Order Date]])</f>
        <v>2025</v>
      </c>
    </row>
    <row r="556" spans="1:19" x14ac:dyDescent="0.3">
      <c r="A556" t="s">
        <v>1160</v>
      </c>
      <c r="B556" s="1">
        <v>45825</v>
      </c>
      <c r="C556" t="s">
        <v>20</v>
      </c>
      <c r="D556" t="s">
        <v>21</v>
      </c>
      <c r="E556" t="s">
        <v>66</v>
      </c>
      <c r="F556" t="s">
        <v>37</v>
      </c>
      <c r="G556" t="s">
        <v>38</v>
      </c>
      <c r="H556" t="s">
        <v>72</v>
      </c>
      <c r="I556" t="s">
        <v>1161</v>
      </c>
      <c r="J556">
        <v>8</v>
      </c>
      <c r="K556" s="2">
        <v>1018.18</v>
      </c>
      <c r="L556">
        <v>15</v>
      </c>
      <c r="M556" s="2">
        <v>6923.62</v>
      </c>
      <c r="N556" s="2">
        <v>4793.6000000000004</v>
      </c>
      <c r="O556" s="2">
        <v>2130.02</v>
      </c>
      <c r="P556" t="s">
        <v>27</v>
      </c>
      <c r="Q556" t="s">
        <v>42</v>
      </c>
      <c r="R556" t="str">
        <f>TEXT(Table1[[#This Row],[Order Date]],"mmmm")</f>
        <v>June</v>
      </c>
      <c r="S556">
        <f>YEAR(Table1[[#This Row],[Order Date]])</f>
        <v>2025</v>
      </c>
    </row>
    <row r="557" spans="1:19" x14ac:dyDescent="0.3">
      <c r="A557" t="s">
        <v>1162</v>
      </c>
      <c r="B557" s="1">
        <v>45817</v>
      </c>
      <c r="C557" t="s">
        <v>86</v>
      </c>
      <c r="D557" t="s">
        <v>90</v>
      </c>
      <c r="E557" t="s">
        <v>66</v>
      </c>
      <c r="F557" t="s">
        <v>31</v>
      </c>
      <c r="G557" t="s">
        <v>24</v>
      </c>
      <c r="H557" t="s">
        <v>25</v>
      </c>
      <c r="I557" t="s">
        <v>1163</v>
      </c>
      <c r="J557">
        <v>12</v>
      </c>
      <c r="K557" s="2">
        <v>2809.73</v>
      </c>
      <c r="L557">
        <v>10</v>
      </c>
      <c r="M557" s="2">
        <v>30345.08</v>
      </c>
      <c r="N557" s="2">
        <v>18680.72</v>
      </c>
      <c r="O557" s="2">
        <v>11664.36</v>
      </c>
      <c r="P557" t="s">
        <v>41</v>
      </c>
      <c r="Q557" t="s">
        <v>42</v>
      </c>
      <c r="R557" t="str">
        <f>TEXT(Table1[[#This Row],[Order Date]],"mmmm")</f>
        <v>June</v>
      </c>
      <c r="S557">
        <f>YEAR(Table1[[#This Row],[Order Date]])</f>
        <v>2025</v>
      </c>
    </row>
    <row r="558" spans="1:19" x14ac:dyDescent="0.3">
      <c r="A558" t="s">
        <v>1164</v>
      </c>
      <c r="B558" s="1">
        <v>46017</v>
      </c>
      <c r="C558" t="s">
        <v>86</v>
      </c>
      <c r="D558" t="s">
        <v>87</v>
      </c>
      <c r="E558" t="s">
        <v>170</v>
      </c>
      <c r="F558" t="s">
        <v>37</v>
      </c>
      <c r="G558" t="s">
        <v>38</v>
      </c>
      <c r="H558" t="s">
        <v>106</v>
      </c>
      <c r="I558" t="s">
        <v>1165</v>
      </c>
      <c r="J558">
        <v>13</v>
      </c>
      <c r="K558" s="2">
        <v>3905.35</v>
      </c>
      <c r="L558">
        <v>0</v>
      </c>
      <c r="M558" s="2">
        <v>50769.55</v>
      </c>
      <c r="N558" s="2">
        <v>29547.43</v>
      </c>
      <c r="O558" s="2">
        <v>21222.12</v>
      </c>
      <c r="P558" t="s">
        <v>41</v>
      </c>
      <c r="Q558" t="s">
        <v>28</v>
      </c>
      <c r="R558" t="str">
        <f>TEXT(Table1[[#This Row],[Order Date]],"mmmm")</f>
        <v>December</v>
      </c>
      <c r="S558">
        <f>YEAR(Table1[[#This Row],[Order Date]])</f>
        <v>2025</v>
      </c>
    </row>
    <row r="559" spans="1:19" x14ac:dyDescent="0.3">
      <c r="A559" t="s">
        <v>1166</v>
      </c>
      <c r="B559" s="1">
        <v>45967</v>
      </c>
      <c r="C559" t="s">
        <v>86</v>
      </c>
      <c r="D559" t="s">
        <v>90</v>
      </c>
      <c r="E559" t="s">
        <v>30</v>
      </c>
      <c r="F559" t="s">
        <v>31</v>
      </c>
      <c r="G559" t="s">
        <v>45</v>
      </c>
      <c r="H559" t="s">
        <v>46</v>
      </c>
      <c r="I559" t="s">
        <v>1167</v>
      </c>
      <c r="J559">
        <v>11</v>
      </c>
      <c r="K559" s="2">
        <v>1490.27</v>
      </c>
      <c r="L559">
        <v>5</v>
      </c>
      <c r="M559" s="2">
        <v>15573.32</v>
      </c>
      <c r="N559" s="2">
        <v>9553.1299999999992</v>
      </c>
      <c r="O559" s="2">
        <v>6020.19</v>
      </c>
      <c r="P559" t="s">
        <v>48</v>
      </c>
      <c r="Q559" t="s">
        <v>49</v>
      </c>
      <c r="R559" t="str">
        <f>TEXT(Table1[[#This Row],[Order Date]],"mmmm")</f>
        <v>November</v>
      </c>
      <c r="S559">
        <f>YEAR(Table1[[#This Row],[Order Date]])</f>
        <v>2025</v>
      </c>
    </row>
    <row r="560" spans="1:19" x14ac:dyDescent="0.3">
      <c r="A560" t="s">
        <v>1168</v>
      </c>
      <c r="B560" s="1">
        <v>46164</v>
      </c>
      <c r="C560" t="s">
        <v>20</v>
      </c>
      <c r="D560" t="s">
        <v>21</v>
      </c>
      <c r="E560" t="s">
        <v>66</v>
      </c>
      <c r="F560" t="s">
        <v>23</v>
      </c>
      <c r="G560" t="s">
        <v>45</v>
      </c>
      <c r="H560" t="s">
        <v>159</v>
      </c>
      <c r="I560" t="s">
        <v>1169</v>
      </c>
      <c r="J560">
        <v>15</v>
      </c>
      <c r="K560" s="2">
        <v>4315.8599999999997</v>
      </c>
      <c r="L560">
        <v>10</v>
      </c>
      <c r="M560" s="2">
        <v>58264.11</v>
      </c>
      <c r="N560" s="2">
        <v>37481.86</v>
      </c>
      <c r="O560" s="2">
        <v>20782.25</v>
      </c>
      <c r="P560" t="s">
        <v>27</v>
      </c>
      <c r="Q560" t="s">
        <v>28</v>
      </c>
      <c r="R560" t="str">
        <f>TEXT(Table1[[#This Row],[Order Date]],"mmmm")</f>
        <v>May</v>
      </c>
      <c r="S560">
        <f>YEAR(Table1[[#This Row],[Order Date]])</f>
        <v>2026</v>
      </c>
    </row>
    <row r="561" spans="1:19" x14ac:dyDescent="0.3">
      <c r="A561" t="s">
        <v>1170</v>
      </c>
      <c r="B561" s="1">
        <v>46003</v>
      </c>
      <c r="C561" t="s">
        <v>20</v>
      </c>
      <c r="D561" t="s">
        <v>21</v>
      </c>
      <c r="E561" t="s">
        <v>22</v>
      </c>
      <c r="F561" t="s">
        <v>31</v>
      </c>
      <c r="G561" t="s">
        <v>38</v>
      </c>
      <c r="H561" t="s">
        <v>72</v>
      </c>
      <c r="I561" t="s">
        <v>1171</v>
      </c>
      <c r="J561">
        <v>1</v>
      </c>
      <c r="K561" s="2">
        <v>3028.46</v>
      </c>
      <c r="L561">
        <v>0</v>
      </c>
      <c r="M561" s="2">
        <v>3028.46</v>
      </c>
      <c r="N561" s="2">
        <v>1679.58</v>
      </c>
      <c r="O561" s="2">
        <v>1348.88</v>
      </c>
      <c r="P561" t="s">
        <v>27</v>
      </c>
      <c r="Q561" t="s">
        <v>28</v>
      </c>
      <c r="R561" t="str">
        <f>TEXT(Table1[[#This Row],[Order Date]],"mmmm")</f>
        <v>December</v>
      </c>
      <c r="S561">
        <f>YEAR(Table1[[#This Row],[Order Date]])</f>
        <v>2025</v>
      </c>
    </row>
    <row r="562" spans="1:19" x14ac:dyDescent="0.3">
      <c r="A562" t="s">
        <v>1172</v>
      </c>
      <c r="B562" s="1">
        <v>45699</v>
      </c>
      <c r="C562" t="s">
        <v>86</v>
      </c>
      <c r="D562" t="s">
        <v>90</v>
      </c>
      <c r="E562" t="s">
        <v>170</v>
      </c>
      <c r="F562" t="s">
        <v>23</v>
      </c>
      <c r="G562" t="s">
        <v>45</v>
      </c>
      <c r="H562" t="s">
        <v>46</v>
      </c>
      <c r="I562" t="s">
        <v>1173</v>
      </c>
      <c r="J562">
        <v>11</v>
      </c>
      <c r="K562" s="2">
        <v>2211.58</v>
      </c>
      <c r="L562">
        <v>20</v>
      </c>
      <c r="M562" s="2">
        <v>19461.900000000001</v>
      </c>
      <c r="N562" s="2">
        <v>14721.47</v>
      </c>
      <c r="O562" s="2">
        <v>4740.43</v>
      </c>
      <c r="P562" t="s">
        <v>27</v>
      </c>
      <c r="Q562" t="s">
        <v>42</v>
      </c>
      <c r="R562" t="str">
        <f>TEXT(Table1[[#This Row],[Order Date]],"mmmm")</f>
        <v>February</v>
      </c>
      <c r="S562">
        <f>YEAR(Table1[[#This Row],[Order Date]])</f>
        <v>2025</v>
      </c>
    </row>
    <row r="563" spans="1:19" x14ac:dyDescent="0.3">
      <c r="A563" t="s">
        <v>1174</v>
      </c>
      <c r="B563" s="1">
        <v>46026</v>
      </c>
      <c r="C563" t="s">
        <v>70</v>
      </c>
      <c r="D563" t="s">
        <v>71</v>
      </c>
      <c r="E563" t="s">
        <v>66</v>
      </c>
      <c r="F563" t="s">
        <v>23</v>
      </c>
      <c r="G563" t="s">
        <v>24</v>
      </c>
      <c r="H563" t="s">
        <v>32</v>
      </c>
      <c r="I563" t="s">
        <v>1175</v>
      </c>
      <c r="J563">
        <v>5</v>
      </c>
      <c r="K563" s="2">
        <v>1723.27</v>
      </c>
      <c r="L563">
        <v>15</v>
      </c>
      <c r="M563" s="2">
        <v>7323.9</v>
      </c>
      <c r="N563" s="2">
        <v>4311.29</v>
      </c>
      <c r="O563" s="2">
        <v>3012.61</v>
      </c>
      <c r="P563" t="s">
        <v>48</v>
      </c>
      <c r="Q563" t="s">
        <v>28</v>
      </c>
      <c r="R563" t="str">
        <f>TEXT(Table1[[#This Row],[Order Date]],"mmmm")</f>
        <v>January</v>
      </c>
      <c r="S563">
        <f>YEAR(Table1[[#This Row],[Order Date]])</f>
        <v>2026</v>
      </c>
    </row>
    <row r="564" spans="1:19" x14ac:dyDescent="0.3">
      <c r="A564" t="s">
        <v>1176</v>
      </c>
      <c r="B564" s="1">
        <v>45885</v>
      </c>
      <c r="C564" t="s">
        <v>35</v>
      </c>
      <c r="D564" t="s">
        <v>36</v>
      </c>
      <c r="E564" t="s">
        <v>66</v>
      </c>
      <c r="F564" t="s">
        <v>37</v>
      </c>
      <c r="G564" t="s">
        <v>38</v>
      </c>
      <c r="H564" t="s">
        <v>63</v>
      </c>
      <c r="I564" t="s">
        <v>1177</v>
      </c>
      <c r="J564">
        <v>3</v>
      </c>
      <c r="K564" s="2">
        <v>1375.02</v>
      </c>
      <c r="L564">
        <v>20</v>
      </c>
      <c r="M564" s="2">
        <v>3300.05</v>
      </c>
      <c r="N564" s="2">
        <v>2553.9699999999998</v>
      </c>
      <c r="O564" s="2">
        <v>746.08</v>
      </c>
      <c r="P564" t="s">
        <v>41</v>
      </c>
      <c r="Q564" t="s">
        <v>49</v>
      </c>
      <c r="R564" t="str">
        <f>TEXT(Table1[[#This Row],[Order Date]],"mmmm")</f>
        <v>August</v>
      </c>
      <c r="S564">
        <f>YEAR(Table1[[#This Row],[Order Date]])</f>
        <v>2025</v>
      </c>
    </row>
    <row r="565" spans="1:19" x14ac:dyDescent="0.3">
      <c r="A565" t="s">
        <v>1178</v>
      </c>
      <c r="B565" s="1">
        <v>46101</v>
      </c>
      <c r="C565" t="s">
        <v>70</v>
      </c>
      <c r="D565" t="s">
        <v>75</v>
      </c>
      <c r="E565" t="s">
        <v>113</v>
      </c>
      <c r="F565" t="s">
        <v>31</v>
      </c>
      <c r="G565" t="s">
        <v>45</v>
      </c>
      <c r="H565" t="s">
        <v>67</v>
      </c>
      <c r="I565" t="s">
        <v>1179</v>
      </c>
      <c r="J565">
        <v>3</v>
      </c>
      <c r="K565" s="2">
        <v>4699.3500000000004</v>
      </c>
      <c r="L565">
        <v>15</v>
      </c>
      <c r="M565" s="2">
        <v>11983.34</v>
      </c>
      <c r="N565" s="2">
        <v>7477.64</v>
      </c>
      <c r="O565" s="2">
        <v>4505.7</v>
      </c>
      <c r="P565" t="s">
        <v>27</v>
      </c>
      <c r="Q565" t="s">
        <v>49</v>
      </c>
      <c r="R565" t="str">
        <f>TEXT(Table1[[#This Row],[Order Date]],"mmmm")</f>
        <v>March</v>
      </c>
      <c r="S565">
        <f>YEAR(Table1[[#This Row],[Order Date]])</f>
        <v>2026</v>
      </c>
    </row>
    <row r="566" spans="1:19" x14ac:dyDescent="0.3">
      <c r="A566" t="s">
        <v>1180</v>
      </c>
      <c r="B566" s="1">
        <v>45776</v>
      </c>
      <c r="C566" t="s">
        <v>20</v>
      </c>
      <c r="D566" t="s">
        <v>21</v>
      </c>
      <c r="E566" t="s">
        <v>170</v>
      </c>
      <c r="F566" t="s">
        <v>31</v>
      </c>
      <c r="G566" t="s">
        <v>38</v>
      </c>
      <c r="H566" t="s">
        <v>63</v>
      </c>
      <c r="I566" t="s">
        <v>1181</v>
      </c>
      <c r="J566">
        <v>6</v>
      </c>
      <c r="K566" s="2">
        <v>519.87</v>
      </c>
      <c r="L566">
        <v>20</v>
      </c>
      <c r="M566" s="2">
        <v>2495.38</v>
      </c>
      <c r="N566" s="2">
        <v>1998.98</v>
      </c>
      <c r="O566" s="2">
        <v>496.4</v>
      </c>
      <c r="P566" t="s">
        <v>48</v>
      </c>
      <c r="Q566" t="s">
        <v>49</v>
      </c>
      <c r="R566" t="str">
        <f>TEXT(Table1[[#This Row],[Order Date]],"mmmm")</f>
        <v>April</v>
      </c>
      <c r="S566">
        <f>YEAR(Table1[[#This Row],[Order Date]])</f>
        <v>2025</v>
      </c>
    </row>
    <row r="567" spans="1:19" x14ac:dyDescent="0.3">
      <c r="A567" t="s">
        <v>1182</v>
      </c>
      <c r="B567" s="1">
        <v>46203</v>
      </c>
      <c r="C567" t="s">
        <v>35</v>
      </c>
      <c r="D567" t="s">
        <v>59</v>
      </c>
      <c r="E567" t="s">
        <v>22</v>
      </c>
      <c r="F567" t="s">
        <v>23</v>
      </c>
      <c r="G567" t="s">
        <v>24</v>
      </c>
      <c r="H567" t="s">
        <v>171</v>
      </c>
      <c r="I567" t="s">
        <v>1183</v>
      </c>
      <c r="J567">
        <v>9</v>
      </c>
      <c r="K567" s="2">
        <v>3551.77</v>
      </c>
      <c r="L567">
        <v>15</v>
      </c>
      <c r="M567" s="2">
        <v>27171.040000000001</v>
      </c>
      <c r="N567" s="2">
        <v>21956.16</v>
      </c>
      <c r="O567" s="2">
        <v>5214.88</v>
      </c>
      <c r="P567" t="s">
        <v>41</v>
      </c>
      <c r="Q567" t="s">
        <v>42</v>
      </c>
      <c r="R567" t="str">
        <f>TEXT(Table1[[#This Row],[Order Date]],"mmmm")</f>
        <v>June</v>
      </c>
      <c r="S567">
        <f>YEAR(Table1[[#This Row],[Order Date]])</f>
        <v>2026</v>
      </c>
    </row>
    <row r="568" spans="1:19" x14ac:dyDescent="0.3">
      <c r="A568" t="s">
        <v>1184</v>
      </c>
      <c r="B568" s="1">
        <v>45844</v>
      </c>
      <c r="C568" t="s">
        <v>70</v>
      </c>
      <c r="D568" t="s">
        <v>71</v>
      </c>
      <c r="E568" t="s">
        <v>51</v>
      </c>
      <c r="F568" t="s">
        <v>31</v>
      </c>
      <c r="G568" t="s">
        <v>24</v>
      </c>
      <c r="H568" t="s">
        <v>56</v>
      </c>
      <c r="I568" t="s">
        <v>1185</v>
      </c>
      <c r="J568">
        <v>7</v>
      </c>
      <c r="K568" s="2">
        <v>2588.41</v>
      </c>
      <c r="L568">
        <v>15</v>
      </c>
      <c r="M568" s="2">
        <v>15401.04</v>
      </c>
      <c r="N568" s="2">
        <v>12068.67</v>
      </c>
      <c r="O568" s="2">
        <v>3332.37</v>
      </c>
      <c r="P568" t="s">
        <v>48</v>
      </c>
      <c r="Q568" t="s">
        <v>49</v>
      </c>
      <c r="R568" t="str">
        <f>TEXT(Table1[[#This Row],[Order Date]],"mmmm")</f>
        <v>July</v>
      </c>
      <c r="S568">
        <f>YEAR(Table1[[#This Row],[Order Date]])</f>
        <v>2025</v>
      </c>
    </row>
    <row r="569" spans="1:19" x14ac:dyDescent="0.3">
      <c r="A569" t="s">
        <v>1186</v>
      </c>
      <c r="B569" s="1">
        <v>46040</v>
      </c>
      <c r="C569" t="s">
        <v>20</v>
      </c>
      <c r="D569" t="s">
        <v>55</v>
      </c>
      <c r="E569" t="s">
        <v>113</v>
      </c>
      <c r="F569" t="s">
        <v>37</v>
      </c>
      <c r="G569" t="s">
        <v>24</v>
      </c>
      <c r="H569" t="s">
        <v>171</v>
      </c>
      <c r="I569" t="s">
        <v>1187</v>
      </c>
      <c r="J569">
        <v>8</v>
      </c>
      <c r="K569" s="2">
        <v>3612.76</v>
      </c>
      <c r="L569">
        <v>15</v>
      </c>
      <c r="M569" s="2">
        <v>24566.77</v>
      </c>
      <c r="N569" s="2">
        <v>15657.97</v>
      </c>
      <c r="O569" s="2">
        <v>8908.7999999999993</v>
      </c>
      <c r="P569" t="s">
        <v>41</v>
      </c>
      <c r="Q569" t="s">
        <v>61</v>
      </c>
      <c r="R569" t="str">
        <f>TEXT(Table1[[#This Row],[Order Date]],"mmmm")</f>
        <v>January</v>
      </c>
      <c r="S569">
        <f>YEAR(Table1[[#This Row],[Order Date]])</f>
        <v>2026</v>
      </c>
    </row>
    <row r="570" spans="1:19" x14ac:dyDescent="0.3">
      <c r="A570" t="s">
        <v>1188</v>
      </c>
      <c r="B570" s="1">
        <v>45958</v>
      </c>
      <c r="C570" t="s">
        <v>20</v>
      </c>
      <c r="D570" t="s">
        <v>21</v>
      </c>
      <c r="E570" t="s">
        <v>51</v>
      </c>
      <c r="F570" t="s">
        <v>23</v>
      </c>
      <c r="G570" t="s">
        <v>38</v>
      </c>
      <c r="H570" t="s">
        <v>72</v>
      </c>
      <c r="I570" t="s">
        <v>1189</v>
      </c>
      <c r="J570">
        <v>4</v>
      </c>
      <c r="K570" s="2">
        <v>822.78</v>
      </c>
      <c r="L570">
        <v>20</v>
      </c>
      <c r="M570" s="2">
        <v>2632.9</v>
      </c>
      <c r="N570" s="2">
        <v>1525.58</v>
      </c>
      <c r="O570" s="2">
        <v>1107.32</v>
      </c>
      <c r="P570" t="s">
        <v>41</v>
      </c>
      <c r="Q570" t="s">
        <v>61</v>
      </c>
      <c r="R570" t="str">
        <f>TEXT(Table1[[#This Row],[Order Date]],"mmmm")</f>
        <v>October</v>
      </c>
      <c r="S570">
        <f>YEAR(Table1[[#This Row],[Order Date]])</f>
        <v>2025</v>
      </c>
    </row>
    <row r="571" spans="1:19" x14ac:dyDescent="0.3">
      <c r="A571" t="s">
        <v>1190</v>
      </c>
      <c r="B571" s="1">
        <v>45902</v>
      </c>
      <c r="C571" t="s">
        <v>86</v>
      </c>
      <c r="D571" t="s">
        <v>87</v>
      </c>
      <c r="E571" t="s">
        <v>66</v>
      </c>
      <c r="F571" t="s">
        <v>37</v>
      </c>
      <c r="G571" t="s">
        <v>24</v>
      </c>
      <c r="H571" t="s">
        <v>134</v>
      </c>
      <c r="I571" t="s">
        <v>1191</v>
      </c>
      <c r="J571">
        <v>8</v>
      </c>
      <c r="K571" s="2">
        <v>4742.8</v>
      </c>
      <c r="L571">
        <v>15</v>
      </c>
      <c r="M571" s="2">
        <v>32251.040000000001</v>
      </c>
      <c r="N571" s="2">
        <v>24546.97</v>
      </c>
      <c r="O571" s="2">
        <v>7704.07</v>
      </c>
      <c r="P571" t="s">
        <v>48</v>
      </c>
      <c r="Q571" t="s">
        <v>28</v>
      </c>
      <c r="R571" t="str">
        <f>TEXT(Table1[[#This Row],[Order Date]],"mmmm")</f>
        <v>September</v>
      </c>
      <c r="S571">
        <f>YEAR(Table1[[#This Row],[Order Date]])</f>
        <v>2025</v>
      </c>
    </row>
    <row r="572" spans="1:19" x14ac:dyDescent="0.3">
      <c r="A572" t="s">
        <v>1192</v>
      </c>
      <c r="B572" s="1">
        <v>46022</v>
      </c>
      <c r="C572" t="s">
        <v>70</v>
      </c>
      <c r="D572" t="s">
        <v>71</v>
      </c>
      <c r="E572" t="s">
        <v>66</v>
      </c>
      <c r="F572" t="s">
        <v>23</v>
      </c>
      <c r="G572" t="s">
        <v>38</v>
      </c>
      <c r="H572" t="s">
        <v>106</v>
      </c>
      <c r="I572" t="s">
        <v>1193</v>
      </c>
      <c r="J572">
        <v>12</v>
      </c>
      <c r="K572" s="2">
        <v>3477.69</v>
      </c>
      <c r="L572">
        <v>15</v>
      </c>
      <c r="M572" s="2">
        <v>35472.44</v>
      </c>
      <c r="N572" s="2">
        <v>20973.11</v>
      </c>
      <c r="O572" s="2">
        <v>14499.33</v>
      </c>
      <c r="P572" t="s">
        <v>41</v>
      </c>
      <c r="Q572" t="s">
        <v>42</v>
      </c>
      <c r="R572" t="str">
        <f>TEXT(Table1[[#This Row],[Order Date]],"mmmm")</f>
        <v>December</v>
      </c>
      <c r="S572">
        <f>YEAR(Table1[[#This Row],[Order Date]])</f>
        <v>2025</v>
      </c>
    </row>
    <row r="573" spans="1:19" x14ac:dyDescent="0.3">
      <c r="A573" t="s">
        <v>1194</v>
      </c>
      <c r="B573" s="1">
        <v>46096</v>
      </c>
      <c r="C573" t="s">
        <v>35</v>
      </c>
      <c r="D573" t="s">
        <v>36</v>
      </c>
      <c r="E573" t="s">
        <v>30</v>
      </c>
      <c r="F573" t="s">
        <v>37</v>
      </c>
      <c r="G573" t="s">
        <v>38</v>
      </c>
      <c r="H573" t="s">
        <v>72</v>
      </c>
      <c r="I573" t="s">
        <v>1195</v>
      </c>
      <c r="J573">
        <v>13</v>
      </c>
      <c r="K573" s="2">
        <v>4276.16</v>
      </c>
      <c r="L573">
        <v>20</v>
      </c>
      <c r="M573" s="2">
        <v>44472.06</v>
      </c>
      <c r="N573" s="2">
        <v>31372.05</v>
      </c>
      <c r="O573" s="2">
        <v>13100.01</v>
      </c>
      <c r="P573" t="s">
        <v>48</v>
      </c>
      <c r="Q573" t="s">
        <v>49</v>
      </c>
      <c r="R573" t="str">
        <f>TEXT(Table1[[#This Row],[Order Date]],"mmmm")</f>
        <v>March</v>
      </c>
      <c r="S573">
        <f>YEAR(Table1[[#This Row],[Order Date]])</f>
        <v>2026</v>
      </c>
    </row>
    <row r="574" spans="1:19" x14ac:dyDescent="0.3">
      <c r="A574" t="s">
        <v>1196</v>
      </c>
      <c r="B574" s="1">
        <v>45939</v>
      </c>
      <c r="C574" t="s">
        <v>70</v>
      </c>
      <c r="D574" t="s">
        <v>71</v>
      </c>
      <c r="E574" t="s">
        <v>22</v>
      </c>
      <c r="F574" t="s">
        <v>37</v>
      </c>
      <c r="G574" t="s">
        <v>45</v>
      </c>
      <c r="H574" t="s">
        <v>159</v>
      </c>
      <c r="I574" t="s">
        <v>1197</v>
      </c>
      <c r="J574">
        <v>3</v>
      </c>
      <c r="K574" s="2">
        <v>4160.55</v>
      </c>
      <c r="L574">
        <v>20</v>
      </c>
      <c r="M574" s="2">
        <v>9985.32</v>
      </c>
      <c r="N574" s="2">
        <v>7455.24</v>
      </c>
      <c r="O574" s="2">
        <v>2530.08</v>
      </c>
      <c r="P574" t="s">
        <v>41</v>
      </c>
      <c r="Q574" t="s">
        <v>61</v>
      </c>
      <c r="R574" t="str">
        <f>TEXT(Table1[[#This Row],[Order Date]],"mmmm")</f>
        <v>October</v>
      </c>
      <c r="S574">
        <f>YEAR(Table1[[#This Row],[Order Date]])</f>
        <v>2025</v>
      </c>
    </row>
    <row r="575" spans="1:19" x14ac:dyDescent="0.3">
      <c r="A575" t="s">
        <v>1198</v>
      </c>
      <c r="B575" s="1">
        <v>46096</v>
      </c>
      <c r="C575" t="s">
        <v>86</v>
      </c>
      <c r="D575" t="s">
        <v>87</v>
      </c>
      <c r="E575" t="s">
        <v>44</v>
      </c>
      <c r="F575" t="s">
        <v>23</v>
      </c>
      <c r="G575" t="s">
        <v>38</v>
      </c>
      <c r="H575" t="s">
        <v>63</v>
      </c>
      <c r="I575" t="s">
        <v>82</v>
      </c>
      <c r="J575">
        <v>1</v>
      </c>
      <c r="K575" s="2">
        <v>3693.58</v>
      </c>
      <c r="L575">
        <v>10</v>
      </c>
      <c r="M575" s="2">
        <v>3324.22</v>
      </c>
      <c r="N575" s="2">
        <v>2051.77</v>
      </c>
      <c r="O575" s="2">
        <v>1272.45</v>
      </c>
      <c r="P575" t="s">
        <v>48</v>
      </c>
      <c r="Q575" t="s">
        <v>49</v>
      </c>
      <c r="R575" t="str">
        <f>TEXT(Table1[[#This Row],[Order Date]],"mmmm")</f>
        <v>March</v>
      </c>
      <c r="S575">
        <f>YEAR(Table1[[#This Row],[Order Date]])</f>
        <v>2026</v>
      </c>
    </row>
    <row r="576" spans="1:19" x14ac:dyDescent="0.3">
      <c r="A576" t="s">
        <v>1199</v>
      </c>
      <c r="B576" s="1">
        <v>46131</v>
      </c>
      <c r="C576" t="s">
        <v>20</v>
      </c>
      <c r="D576" t="s">
        <v>55</v>
      </c>
      <c r="E576" t="s">
        <v>22</v>
      </c>
      <c r="F576" t="s">
        <v>23</v>
      </c>
      <c r="G576" t="s">
        <v>38</v>
      </c>
      <c r="H576" t="s">
        <v>91</v>
      </c>
      <c r="I576" t="s">
        <v>1200</v>
      </c>
      <c r="J576">
        <v>15</v>
      </c>
      <c r="K576" s="2">
        <v>3251.79</v>
      </c>
      <c r="L576">
        <v>10</v>
      </c>
      <c r="M576" s="2">
        <v>43899.17</v>
      </c>
      <c r="N576" s="2">
        <v>27292.06</v>
      </c>
      <c r="O576" s="2">
        <v>16607.11</v>
      </c>
      <c r="P576" t="s">
        <v>27</v>
      </c>
      <c r="Q576" t="s">
        <v>28</v>
      </c>
      <c r="R576" t="str">
        <f>TEXT(Table1[[#This Row],[Order Date]],"mmmm")</f>
        <v>April</v>
      </c>
      <c r="S576">
        <f>YEAR(Table1[[#This Row],[Order Date]])</f>
        <v>2026</v>
      </c>
    </row>
    <row r="577" spans="1:19" x14ac:dyDescent="0.3">
      <c r="A577" t="s">
        <v>1201</v>
      </c>
      <c r="B577" s="1">
        <v>46178</v>
      </c>
      <c r="C577" t="s">
        <v>86</v>
      </c>
      <c r="D577" t="s">
        <v>90</v>
      </c>
      <c r="E577" t="s">
        <v>51</v>
      </c>
      <c r="F577" t="s">
        <v>23</v>
      </c>
      <c r="G577" t="s">
        <v>45</v>
      </c>
      <c r="H577" t="s">
        <v>67</v>
      </c>
      <c r="I577" t="s">
        <v>1202</v>
      </c>
      <c r="J577">
        <v>3</v>
      </c>
      <c r="K577" s="2">
        <v>1886.34</v>
      </c>
      <c r="L577">
        <v>20</v>
      </c>
      <c r="M577" s="2">
        <v>4527.22</v>
      </c>
      <c r="N577" s="2">
        <v>3094.79</v>
      </c>
      <c r="O577" s="2">
        <v>1432.43</v>
      </c>
      <c r="P577" t="s">
        <v>48</v>
      </c>
      <c r="Q577" t="s">
        <v>61</v>
      </c>
      <c r="R577" t="str">
        <f>TEXT(Table1[[#This Row],[Order Date]],"mmmm")</f>
        <v>June</v>
      </c>
      <c r="S577">
        <f>YEAR(Table1[[#This Row],[Order Date]])</f>
        <v>2026</v>
      </c>
    </row>
    <row r="578" spans="1:19" x14ac:dyDescent="0.3">
      <c r="A578" t="s">
        <v>1203</v>
      </c>
      <c r="B578" s="1">
        <v>45914</v>
      </c>
      <c r="C578" t="s">
        <v>86</v>
      </c>
      <c r="D578" t="s">
        <v>90</v>
      </c>
      <c r="E578" t="s">
        <v>113</v>
      </c>
      <c r="F578" t="s">
        <v>23</v>
      </c>
      <c r="G578" t="s">
        <v>24</v>
      </c>
      <c r="H578" t="s">
        <v>25</v>
      </c>
      <c r="I578" t="s">
        <v>1204</v>
      </c>
      <c r="J578">
        <v>10</v>
      </c>
      <c r="K578" s="2">
        <v>4066.21</v>
      </c>
      <c r="L578">
        <v>0</v>
      </c>
      <c r="M578" s="2">
        <v>40662.1</v>
      </c>
      <c r="N578" s="2">
        <v>22712.83</v>
      </c>
      <c r="O578" s="2">
        <v>17949.27</v>
      </c>
      <c r="P578" t="s">
        <v>48</v>
      </c>
      <c r="Q578" t="s">
        <v>42</v>
      </c>
      <c r="R578" t="str">
        <f>TEXT(Table1[[#This Row],[Order Date]],"mmmm")</f>
        <v>September</v>
      </c>
      <c r="S578">
        <f>YEAR(Table1[[#This Row],[Order Date]])</f>
        <v>2025</v>
      </c>
    </row>
    <row r="579" spans="1:19" x14ac:dyDescent="0.3">
      <c r="A579" t="s">
        <v>1205</v>
      </c>
      <c r="B579" s="1">
        <v>45658</v>
      </c>
      <c r="C579" t="s">
        <v>86</v>
      </c>
      <c r="D579" t="s">
        <v>87</v>
      </c>
      <c r="E579" t="s">
        <v>113</v>
      </c>
      <c r="F579" t="s">
        <v>23</v>
      </c>
      <c r="G579" t="s">
        <v>45</v>
      </c>
      <c r="H579" t="s">
        <v>67</v>
      </c>
      <c r="I579" t="s">
        <v>1206</v>
      </c>
      <c r="J579">
        <v>15</v>
      </c>
      <c r="K579" s="2">
        <v>2482.91</v>
      </c>
      <c r="L579">
        <v>15</v>
      </c>
      <c r="M579" s="2">
        <v>31657.1</v>
      </c>
      <c r="N579" s="2">
        <v>20666.169999999998</v>
      </c>
      <c r="O579" s="2">
        <v>10990.93</v>
      </c>
      <c r="P579" t="s">
        <v>48</v>
      </c>
      <c r="Q579" t="s">
        <v>49</v>
      </c>
      <c r="R579" t="str">
        <f>TEXT(Table1[[#This Row],[Order Date]],"mmmm")</f>
        <v>January</v>
      </c>
      <c r="S579">
        <f>YEAR(Table1[[#This Row],[Order Date]])</f>
        <v>2025</v>
      </c>
    </row>
    <row r="580" spans="1:19" x14ac:dyDescent="0.3">
      <c r="A580" t="s">
        <v>1207</v>
      </c>
      <c r="B580" s="1">
        <v>46004</v>
      </c>
      <c r="C580" t="s">
        <v>70</v>
      </c>
      <c r="D580" t="s">
        <v>75</v>
      </c>
      <c r="E580" t="s">
        <v>30</v>
      </c>
      <c r="F580" t="s">
        <v>31</v>
      </c>
      <c r="G580" t="s">
        <v>24</v>
      </c>
      <c r="H580" t="s">
        <v>171</v>
      </c>
      <c r="I580" t="s">
        <v>1208</v>
      </c>
      <c r="J580">
        <v>5</v>
      </c>
      <c r="K580" s="2">
        <v>371.74</v>
      </c>
      <c r="L580">
        <v>5</v>
      </c>
      <c r="M580" s="2">
        <v>1765.76</v>
      </c>
      <c r="N580" s="2">
        <v>1084.56</v>
      </c>
      <c r="O580" s="2">
        <v>681.2</v>
      </c>
      <c r="P580" t="s">
        <v>41</v>
      </c>
      <c r="Q580" t="s">
        <v>28</v>
      </c>
      <c r="R580" t="str">
        <f>TEXT(Table1[[#This Row],[Order Date]],"mmmm")</f>
        <v>December</v>
      </c>
      <c r="S580">
        <f>YEAR(Table1[[#This Row],[Order Date]])</f>
        <v>2025</v>
      </c>
    </row>
    <row r="581" spans="1:19" x14ac:dyDescent="0.3">
      <c r="A581" t="s">
        <v>1209</v>
      </c>
      <c r="B581" s="1">
        <v>45794</v>
      </c>
      <c r="C581" t="s">
        <v>86</v>
      </c>
      <c r="D581" t="s">
        <v>90</v>
      </c>
      <c r="E581" t="s">
        <v>44</v>
      </c>
      <c r="F581" t="s">
        <v>23</v>
      </c>
      <c r="G581" t="s">
        <v>24</v>
      </c>
      <c r="H581" t="s">
        <v>171</v>
      </c>
      <c r="I581" t="s">
        <v>1210</v>
      </c>
      <c r="J581">
        <v>7</v>
      </c>
      <c r="K581" s="2">
        <v>407.62</v>
      </c>
      <c r="L581">
        <v>5</v>
      </c>
      <c r="M581" s="2">
        <v>2710.67</v>
      </c>
      <c r="N581" s="2">
        <v>1615</v>
      </c>
      <c r="O581" s="2">
        <v>1095.67</v>
      </c>
      <c r="P581" t="s">
        <v>48</v>
      </c>
      <c r="Q581" t="s">
        <v>61</v>
      </c>
      <c r="R581" t="str">
        <f>TEXT(Table1[[#This Row],[Order Date]],"mmmm")</f>
        <v>May</v>
      </c>
      <c r="S581">
        <f>YEAR(Table1[[#This Row],[Order Date]])</f>
        <v>2025</v>
      </c>
    </row>
    <row r="582" spans="1:19" x14ac:dyDescent="0.3">
      <c r="A582" t="s">
        <v>1211</v>
      </c>
      <c r="B582" s="1">
        <v>45856</v>
      </c>
      <c r="C582" t="s">
        <v>86</v>
      </c>
      <c r="D582" t="s">
        <v>90</v>
      </c>
      <c r="E582" t="s">
        <v>66</v>
      </c>
      <c r="F582" t="s">
        <v>31</v>
      </c>
      <c r="G582" t="s">
        <v>38</v>
      </c>
      <c r="H582" t="s">
        <v>72</v>
      </c>
      <c r="I582" t="s">
        <v>1212</v>
      </c>
      <c r="J582">
        <v>6</v>
      </c>
      <c r="K582" s="2">
        <v>3808</v>
      </c>
      <c r="L582">
        <v>15</v>
      </c>
      <c r="M582" s="2">
        <v>19420.8</v>
      </c>
      <c r="N582" s="2">
        <v>11004.32</v>
      </c>
      <c r="O582" s="2">
        <v>8416.48</v>
      </c>
      <c r="P582" t="s">
        <v>48</v>
      </c>
      <c r="Q582" t="s">
        <v>49</v>
      </c>
      <c r="R582" t="str">
        <f>TEXT(Table1[[#This Row],[Order Date]],"mmmm")</f>
        <v>July</v>
      </c>
      <c r="S582">
        <f>YEAR(Table1[[#This Row],[Order Date]])</f>
        <v>2025</v>
      </c>
    </row>
    <row r="583" spans="1:19" x14ac:dyDescent="0.3">
      <c r="A583" t="s">
        <v>1213</v>
      </c>
      <c r="B583" s="1">
        <v>45885</v>
      </c>
      <c r="C583" t="s">
        <v>20</v>
      </c>
      <c r="D583" t="s">
        <v>55</v>
      </c>
      <c r="E583" t="s">
        <v>30</v>
      </c>
      <c r="F583" t="s">
        <v>31</v>
      </c>
      <c r="G583" t="s">
        <v>38</v>
      </c>
      <c r="H583" t="s">
        <v>106</v>
      </c>
      <c r="I583" t="s">
        <v>1214</v>
      </c>
      <c r="J583">
        <v>4</v>
      </c>
      <c r="K583" s="2">
        <v>1275.0899999999999</v>
      </c>
      <c r="L583">
        <v>5</v>
      </c>
      <c r="M583" s="2">
        <v>4845.34</v>
      </c>
      <c r="N583" s="2">
        <v>3538.89</v>
      </c>
      <c r="O583" s="2">
        <v>1306.45</v>
      </c>
      <c r="P583" t="s">
        <v>27</v>
      </c>
      <c r="Q583" t="s">
        <v>49</v>
      </c>
      <c r="R583" t="str">
        <f>TEXT(Table1[[#This Row],[Order Date]],"mmmm")</f>
        <v>August</v>
      </c>
      <c r="S583">
        <f>YEAR(Table1[[#This Row],[Order Date]])</f>
        <v>2025</v>
      </c>
    </row>
    <row r="584" spans="1:19" x14ac:dyDescent="0.3">
      <c r="A584" t="s">
        <v>1215</v>
      </c>
      <c r="B584" s="1">
        <v>45894</v>
      </c>
      <c r="C584" t="s">
        <v>35</v>
      </c>
      <c r="D584" t="s">
        <v>59</v>
      </c>
      <c r="E584" t="s">
        <v>22</v>
      </c>
      <c r="F584" t="s">
        <v>23</v>
      </c>
      <c r="G584" t="s">
        <v>45</v>
      </c>
      <c r="H584" t="s">
        <v>123</v>
      </c>
      <c r="I584" t="s">
        <v>1216</v>
      </c>
      <c r="J584">
        <v>3</v>
      </c>
      <c r="K584" s="2">
        <v>1597.7</v>
      </c>
      <c r="L584">
        <v>5</v>
      </c>
      <c r="M584" s="2">
        <v>4553.4399999999996</v>
      </c>
      <c r="N584" s="2">
        <v>2585.77</v>
      </c>
      <c r="O584" s="2">
        <v>1967.67</v>
      </c>
      <c r="P584" t="s">
        <v>48</v>
      </c>
      <c r="Q584" t="s">
        <v>28</v>
      </c>
      <c r="R584" t="str">
        <f>TEXT(Table1[[#This Row],[Order Date]],"mmmm")</f>
        <v>August</v>
      </c>
      <c r="S584">
        <f>YEAR(Table1[[#This Row],[Order Date]])</f>
        <v>2025</v>
      </c>
    </row>
    <row r="585" spans="1:19" x14ac:dyDescent="0.3">
      <c r="A585" t="s">
        <v>1217</v>
      </c>
      <c r="B585" s="1">
        <v>45891</v>
      </c>
      <c r="C585" t="s">
        <v>86</v>
      </c>
      <c r="D585" t="s">
        <v>90</v>
      </c>
      <c r="E585" t="s">
        <v>44</v>
      </c>
      <c r="F585" t="s">
        <v>37</v>
      </c>
      <c r="G585" t="s">
        <v>38</v>
      </c>
      <c r="H585" t="s">
        <v>91</v>
      </c>
      <c r="I585" t="s">
        <v>1218</v>
      </c>
      <c r="J585">
        <v>3</v>
      </c>
      <c r="K585" s="2">
        <v>4034.23</v>
      </c>
      <c r="L585">
        <v>0</v>
      </c>
      <c r="M585" s="2">
        <v>12102.69</v>
      </c>
      <c r="N585" s="2">
        <v>9422.15</v>
      </c>
      <c r="O585" s="2">
        <v>2680.54</v>
      </c>
      <c r="P585" t="s">
        <v>48</v>
      </c>
      <c r="Q585" t="s">
        <v>28</v>
      </c>
      <c r="R585" t="str">
        <f>TEXT(Table1[[#This Row],[Order Date]],"mmmm")</f>
        <v>August</v>
      </c>
      <c r="S585">
        <f>YEAR(Table1[[#This Row],[Order Date]])</f>
        <v>2025</v>
      </c>
    </row>
    <row r="586" spans="1:19" x14ac:dyDescent="0.3">
      <c r="A586" t="s">
        <v>1219</v>
      </c>
      <c r="B586" s="1">
        <v>46009</v>
      </c>
      <c r="C586" t="s">
        <v>20</v>
      </c>
      <c r="D586" t="s">
        <v>55</v>
      </c>
      <c r="E586" t="s">
        <v>66</v>
      </c>
      <c r="F586" t="s">
        <v>31</v>
      </c>
      <c r="G586" t="s">
        <v>38</v>
      </c>
      <c r="H586" t="s">
        <v>106</v>
      </c>
      <c r="I586" t="s">
        <v>1220</v>
      </c>
      <c r="J586">
        <v>7</v>
      </c>
      <c r="K586" s="2">
        <v>1644.52</v>
      </c>
      <c r="L586">
        <v>15</v>
      </c>
      <c r="M586" s="2">
        <v>9784.89</v>
      </c>
      <c r="N586" s="2">
        <v>6898.24</v>
      </c>
      <c r="O586" s="2">
        <v>2886.65</v>
      </c>
      <c r="P586" t="s">
        <v>41</v>
      </c>
      <c r="Q586" t="s">
        <v>61</v>
      </c>
      <c r="R586" t="str">
        <f>TEXT(Table1[[#This Row],[Order Date]],"mmmm")</f>
        <v>December</v>
      </c>
      <c r="S586">
        <f>YEAR(Table1[[#This Row],[Order Date]])</f>
        <v>2025</v>
      </c>
    </row>
    <row r="587" spans="1:19" x14ac:dyDescent="0.3">
      <c r="A587" t="s">
        <v>1221</v>
      </c>
      <c r="B587" s="1">
        <v>46105</v>
      </c>
      <c r="C587" t="s">
        <v>70</v>
      </c>
      <c r="D587" t="s">
        <v>75</v>
      </c>
      <c r="E587" t="s">
        <v>120</v>
      </c>
      <c r="F587" t="s">
        <v>31</v>
      </c>
      <c r="G587" t="s">
        <v>45</v>
      </c>
      <c r="H587" t="s">
        <v>159</v>
      </c>
      <c r="I587" t="s">
        <v>1222</v>
      </c>
      <c r="J587">
        <v>15</v>
      </c>
      <c r="K587" s="2">
        <v>4446.4399999999996</v>
      </c>
      <c r="L587">
        <v>5</v>
      </c>
      <c r="M587" s="2">
        <v>63361.77</v>
      </c>
      <c r="N587" s="2">
        <v>39953.96</v>
      </c>
      <c r="O587" s="2">
        <v>23407.81</v>
      </c>
      <c r="P587" t="s">
        <v>41</v>
      </c>
      <c r="Q587" t="s">
        <v>61</v>
      </c>
      <c r="R587" t="str">
        <f>TEXT(Table1[[#This Row],[Order Date]],"mmmm")</f>
        <v>March</v>
      </c>
      <c r="S587">
        <f>YEAR(Table1[[#This Row],[Order Date]])</f>
        <v>2026</v>
      </c>
    </row>
    <row r="588" spans="1:19" x14ac:dyDescent="0.3">
      <c r="A588" t="s">
        <v>1223</v>
      </c>
      <c r="B588" s="1">
        <v>46169</v>
      </c>
      <c r="C588" t="s">
        <v>35</v>
      </c>
      <c r="D588" t="s">
        <v>59</v>
      </c>
      <c r="E588" t="s">
        <v>44</v>
      </c>
      <c r="F588" t="s">
        <v>37</v>
      </c>
      <c r="G588" t="s">
        <v>24</v>
      </c>
      <c r="H588" t="s">
        <v>32</v>
      </c>
      <c r="I588" t="s">
        <v>1224</v>
      </c>
      <c r="J588">
        <v>13</v>
      </c>
      <c r="K588" s="2">
        <v>4730.75</v>
      </c>
      <c r="L588">
        <v>15</v>
      </c>
      <c r="M588" s="2">
        <v>52274.79</v>
      </c>
      <c r="N588" s="2">
        <v>37583.31</v>
      </c>
      <c r="O588" s="2">
        <v>14691.48</v>
      </c>
      <c r="P588" t="s">
        <v>41</v>
      </c>
      <c r="Q588" t="s">
        <v>49</v>
      </c>
      <c r="R588" t="str">
        <f>TEXT(Table1[[#This Row],[Order Date]],"mmmm")</f>
        <v>May</v>
      </c>
      <c r="S588">
        <f>YEAR(Table1[[#This Row],[Order Date]])</f>
        <v>2026</v>
      </c>
    </row>
    <row r="589" spans="1:19" x14ac:dyDescent="0.3">
      <c r="A589" t="s">
        <v>1225</v>
      </c>
      <c r="B589" s="1">
        <v>46085</v>
      </c>
      <c r="C589" t="s">
        <v>20</v>
      </c>
      <c r="D589" t="s">
        <v>21</v>
      </c>
      <c r="E589" t="s">
        <v>113</v>
      </c>
      <c r="F589" t="s">
        <v>31</v>
      </c>
      <c r="G589" t="s">
        <v>38</v>
      </c>
      <c r="H589" t="s">
        <v>91</v>
      </c>
      <c r="I589" t="s">
        <v>1226</v>
      </c>
      <c r="J589">
        <v>14</v>
      </c>
      <c r="K589" s="2">
        <v>3585.11</v>
      </c>
      <c r="L589">
        <v>10</v>
      </c>
      <c r="M589" s="2">
        <v>45172.39</v>
      </c>
      <c r="N589" s="2">
        <v>34495.5</v>
      </c>
      <c r="O589" s="2">
        <v>10676.89</v>
      </c>
      <c r="P589" t="s">
        <v>48</v>
      </c>
      <c r="Q589" t="s">
        <v>42</v>
      </c>
      <c r="R589" t="str">
        <f>TEXT(Table1[[#This Row],[Order Date]],"mmmm")</f>
        <v>March</v>
      </c>
      <c r="S589">
        <f>YEAR(Table1[[#This Row],[Order Date]])</f>
        <v>2026</v>
      </c>
    </row>
    <row r="590" spans="1:19" x14ac:dyDescent="0.3">
      <c r="A590" t="s">
        <v>1227</v>
      </c>
      <c r="B590" s="1">
        <v>45889</v>
      </c>
      <c r="C590" t="s">
        <v>70</v>
      </c>
      <c r="D590" t="s">
        <v>75</v>
      </c>
      <c r="E590" t="s">
        <v>44</v>
      </c>
      <c r="F590" t="s">
        <v>37</v>
      </c>
      <c r="G590" t="s">
        <v>24</v>
      </c>
      <c r="H590" t="s">
        <v>25</v>
      </c>
      <c r="I590" t="s">
        <v>1228</v>
      </c>
      <c r="J590">
        <v>12</v>
      </c>
      <c r="K590" s="2">
        <v>921.73</v>
      </c>
      <c r="L590">
        <v>0</v>
      </c>
      <c r="M590" s="2">
        <v>11060.76</v>
      </c>
      <c r="N590" s="2">
        <v>8393.98</v>
      </c>
      <c r="O590" s="2">
        <v>2666.78</v>
      </c>
      <c r="P590" t="s">
        <v>48</v>
      </c>
      <c r="Q590" t="s">
        <v>61</v>
      </c>
      <c r="R590" t="str">
        <f>TEXT(Table1[[#This Row],[Order Date]],"mmmm")</f>
        <v>August</v>
      </c>
      <c r="S590">
        <f>YEAR(Table1[[#This Row],[Order Date]])</f>
        <v>2025</v>
      </c>
    </row>
    <row r="591" spans="1:19" x14ac:dyDescent="0.3">
      <c r="A591" t="s">
        <v>1229</v>
      </c>
      <c r="B591" s="1">
        <v>45912</v>
      </c>
      <c r="C591" t="s">
        <v>86</v>
      </c>
      <c r="D591" t="s">
        <v>90</v>
      </c>
      <c r="E591" t="s">
        <v>22</v>
      </c>
      <c r="F591" t="s">
        <v>31</v>
      </c>
      <c r="G591" t="s">
        <v>24</v>
      </c>
      <c r="H591" t="s">
        <v>32</v>
      </c>
      <c r="I591" t="s">
        <v>1230</v>
      </c>
      <c r="J591">
        <v>11</v>
      </c>
      <c r="K591" s="2">
        <v>1578.5</v>
      </c>
      <c r="L591">
        <v>0</v>
      </c>
      <c r="M591" s="2">
        <v>17363.5</v>
      </c>
      <c r="N591" s="2">
        <v>10847.63</v>
      </c>
      <c r="O591" s="2">
        <v>6515.87</v>
      </c>
      <c r="P591" t="s">
        <v>27</v>
      </c>
      <c r="Q591" t="s">
        <v>49</v>
      </c>
      <c r="R591" t="str">
        <f>TEXT(Table1[[#This Row],[Order Date]],"mmmm")</f>
        <v>September</v>
      </c>
      <c r="S591">
        <f>YEAR(Table1[[#This Row],[Order Date]])</f>
        <v>2025</v>
      </c>
    </row>
    <row r="592" spans="1:19" x14ac:dyDescent="0.3">
      <c r="A592" t="s">
        <v>1231</v>
      </c>
      <c r="B592" s="1">
        <v>46086</v>
      </c>
      <c r="C592" t="s">
        <v>86</v>
      </c>
      <c r="D592" t="s">
        <v>90</v>
      </c>
      <c r="E592" t="s">
        <v>66</v>
      </c>
      <c r="F592" t="s">
        <v>37</v>
      </c>
      <c r="G592" t="s">
        <v>24</v>
      </c>
      <c r="H592" t="s">
        <v>56</v>
      </c>
      <c r="I592" t="s">
        <v>1232</v>
      </c>
      <c r="J592">
        <v>15</v>
      </c>
      <c r="K592" s="2">
        <v>1919.77</v>
      </c>
      <c r="L592">
        <v>20</v>
      </c>
      <c r="M592" s="2">
        <v>23037.24</v>
      </c>
      <c r="N592" s="2">
        <v>14868.56</v>
      </c>
      <c r="O592" s="2">
        <v>8168.68</v>
      </c>
      <c r="P592" t="s">
        <v>48</v>
      </c>
      <c r="Q592" t="s">
        <v>42</v>
      </c>
      <c r="R592" t="str">
        <f>TEXT(Table1[[#This Row],[Order Date]],"mmmm")</f>
        <v>March</v>
      </c>
      <c r="S592">
        <f>YEAR(Table1[[#This Row],[Order Date]])</f>
        <v>2026</v>
      </c>
    </row>
    <row r="593" spans="1:19" x14ac:dyDescent="0.3">
      <c r="A593" t="s">
        <v>1233</v>
      </c>
      <c r="B593" s="1">
        <v>46031</v>
      </c>
      <c r="C593" t="s">
        <v>70</v>
      </c>
      <c r="D593" t="s">
        <v>75</v>
      </c>
      <c r="E593" t="s">
        <v>170</v>
      </c>
      <c r="F593" t="s">
        <v>37</v>
      </c>
      <c r="G593" t="s">
        <v>24</v>
      </c>
      <c r="H593" t="s">
        <v>56</v>
      </c>
      <c r="I593" t="s">
        <v>1234</v>
      </c>
      <c r="J593">
        <v>14</v>
      </c>
      <c r="K593" s="2">
        <v>4140.03</v>
      </c>
      <c r="L593">
        <v>10</v>
      </c>
      <c r="M593" s="2">
        <v>52164.38</v>
      </c>
      <c r="N593" s="2">
        <v>40888.69</v>
      </c>
      <c r="O593" s="2">
        <v>11275.69</v>
      </c>
      <c r="P593" t="s">
        <v>27</v>
      </c>
      <c r="Q593" t="s">
        <v>28</v>
      </c>
      <c r="R593" t="str">
        <f>TEXT(Table1[[#This Row],[Order Date]],"mmmm")</f>
        <v>January</v>
      </c>
      <c r="S593">
        <f>YEAR(Table1[[#This Row],[Order Date]])</f>
        <v>2026</v>
      </c>
    </row>
    <row r="594" spans="1:19" x14ac:dyDescent="0.3">
      <c r="A594" t="s">
        <v>1235</v>
      </c>
      <c r="B594" s="1">
        <v>45689</v>
      </c>
      <c r="C594" t="s">
        <v>35</v>
      </c>
      <c r="D594" t="s">
        <v>59</v>
      </c>
      <c r="E594" t="s">
        <v>170</v>
      </c>
      <c r="F594" t="s">
        <v>23</v>
      </c>
      <c r="G594" t="s">
        <v>45</v>
      </c>
      <c r="H594" t="s">
        <v>123</v>
      </c>
      <c r="I594" t="s">
        <v>1236</v>
      </c>
      <c r="J594">
        <v>9</v>
      </c>
      <c r="K594" s="2">
        <v>4982.3100000000004</v>
      </c>
      <c r="L594">
        <v>0</v>
      </c>
      <c r="M594" s="2">
        <v>44840.79</v>
      </c>
      <c r="N594" s="2">
        <v>33591.410000000003</v>
      </c>
      <c r="O594" s="2">
        <v>11249.38</v>
      </c>
      <c r="P594" t="s">
        <v>27</v>
      </c>
      <c r="Q594" t="s">
        <v>49</v>
      </c>
      <c r="R594" t="str">
        <f>TEXT(Table1[[#This Row],[Order Date]],"mmmm")</f>
        <v>February</v>
      </c>
      <c r="S594">
        <f>YEAR(Table1[[#This Row],[Order Date]])</f>
        <v>2025</v>
      </c>
    </row>
    <row r="595" spans="1:19" x14ac:dyDescent="0.3">
      <c r="A595" t="s">
        <v>1237</v>
      </c>
      <c r="B595" s="1">
        <v>46201</v>
      </c>
      <c r="C595" t="s">
        <v>86</v>
      </c>
      <c r="D595" t="s">
        <v>87</v>
      </c>
      <c r="E595" t="s">
        <v>44</v>
      </c>
      <c r="F595" t="s">
        <v>31</v>
      </c>
      <c r="G595" t="s">
        <v>45</v>
      </c>
      <c r="H595" t="s">
        <v>46</v>
      </c>
      <c r="I595" t="s">
        <v>1238</v>
      </c>
      <c r="J595">
        <v>1</v>
      </c>
      <c r="K595" s="2">
        <v>706.01</v>
      </c>
      <c r="L595">
        <v>5</v>
      </c>
      <c r="M595" s="2">
        <v>670.71</v>
      </c>
      <c r="N595" s="2">
        <v>384.53</v>
      </c>
      <c r="O595" s="2">
        <v>286.18</v>
      </c>
      <c r="P595" t="s">
        <v>41</v>
      </c>
      <c r="Q595" t="s">
        <v>42</v>
      </c>
      <c r="R595" t="str">
        <f>TEXT(Table1[[#This Row],[Order Date]],"mmmm")</f>
        <v>June</v>
      </c>
      <c r="S595">
        <f>YEAR(Table1[[#This Row],[Order Date]])</f>
        <v>2026</v>
      </c>
    </row>
    <row r="596" spans="1:19" x14ac:dyDescent="0.3">
      <c r="A596" t="s">
        <v>1239</v>
      </c>
      <c r="B596" s="1">
        <v>45893</v>
      </c>
      <c r="C596" t="s">
        <v>70</v>
      </c>
      <c r="D596" t="s">
        <v>75</v>
      </c>
      <c r="E596" t="s">
        <v>30</v>
      </c>
      <c r="F596" t="s">
        <v>23</v>
      </c>
      <c r="G596" t="s">
        <v>38</v>
      </c>
      <c r="H596" t="s">
        <v>72</v>
      </c>
      <c r="I596" t="s">
        <v>1240</v>
      </c>
      <c r="J596">
        <v>4</v>
      </c>
      <c r="K596" s="2">
        <v>900.4</v>
      </c>
      <c r="L596">
        <v>10</v>
      </c>
      <c r="M596" s="2">
        <v>3241.44</v>
      </c>
      <c r="N596" s="2">
        <v>2232.44</v>
      </c>
      <c r="O596" s="2">
        <v>1009</v>
      </c>
      <c r="P596" t="s">
        <v>48</v>
      </c>
      <c r="Q596" t="s">
        <v>42</v>
      </c>
      <c r="R596" t="str">
        <f>TEXT(Table1[[#This Row],[Order Date]],"mmmm")</f>
        <v>August</v>
      </c>
      <c r="S596">
        <f>YEAR(Table1[[#This Row],[Order Date]])</f>
        <v>2025</v>
      </c>
    </row>
    <row r="597" spans="1:19" x14ac:dyDescent="0.3">
      <c r="A597" t="s">
        <v>1241</v>
      </c>
      <c r="B597" s="1">
        <v>45711</v>
      </c>
      <c r="C597" t="s">
        <v>35</v>
      </c>
      <c r="D597" t="s">
        <v>59</v>
      </c>
      <c r="E597" t="s">
        <v>44</v>
      </c>
      <c r="F597" t="s">
        <v>37</v>
      </c>
      <c r="G597" t="s">
        <v>38</v>
      </c>
      <c r="H597" t="s">
        <v>39</v>
      </c>
      <c r="I597" t="s">
        <v>1242</v>
      </c>
      <c r="J597">
        <v>13</v>
      </c>
      <c r="K597" s="2">
        <v>559.86</v>
      </c>
      <c r="L597">
        <v>0</v>
      </c>
      <c r="M597" s="2">
        <v>7278.18</v>
      </c>
      <c r="N597" s="2">
        <v>4847.4399999999996</v>
      </c>
      <c r="O597" s="2">
        <v>2430.7399999999998</v>
      </c>
      <c r="P597" t="s">
        <v>41</v>
      </c>
      <c r="Q597" t="s">
        <v>42</v>
      </c>
      <c r="R597" t="str">
        <f>TEXT(Table1[[#This Row],[Order Date]],"mmmm")</f>
        <v>February</v>
      </c>
      <c r="S597">
        <f>YEAR(Table1[[#This Row],[Order Date]])</f>
        <v>2025</v>
      </c>
    </row>
    <row r="598" spans="1:19" x14ac:dyDescent="0.3">
      <c r="A598" t="s">
        <v>1243</v>
      </c>
      <c r="B598" s="1">
        <v>46026</v>
      </c>
      <c r="C598" t="s">
        <v>35</v>
      </c>
      <c r="D598" t="s">
        <v>36</v>
      </c>
      <c r="E598" t="s">
        <v>51</v>
      </c>
      <c r="F598" t="s">
        <v>23</v>
      </c>
      <c r="G598" t="s">
        <v>24</v>
      </c>
      <c r="H598" t="s">
        <v>32</v>
      </c>
      <c r="I598" t="s">
        <v>1244</v>
      </c>
      <c r="J598">
        <v>11</v>
      </c>
      <c r="K598" s="2">
        <v>4985.49</v>
      </c>
      <c r="L598">
        <v>20</v>
      </c>
      <c r="M598" s="2">
        <v>43872.31</v>
      </c>
      <c r="N598" s="2">
        <v>29196.73</v>
      </c>
      <c r="O598" s="2">
        <v>14675.58</v>
      </c>
      <c r="P598" t="s">
        <v>27</v>
      </c>
      <c r="Q598" t="s">
        <v>49</v>
      </c>
      <c r="R598" t="str">
        <f>TEXT(Table1[[#This Row],[Order Date]],"mmmm")</f>
        <v>January</v>
      </c>
      <c r="S598">
        <f>YEAR(Table1[[#This Row],[Order Date]])</f>
        <v>2026</v>
      </c>
    </row>
    <row r="599" spans="1:19" x14ac:dyDescent="0.3">
      <c r="A599" t="s">
        <v>1245</v>
      </c>
      <c r="B599" s="1">
        <v>46202</v>
      </c>
      <c r="C599" t="s">
        <v>35</v>
      </c>
      <c r="D599" t="s">
        <v>36</v>
      </c>
      <c r="E599" t="s">
        <v>44</v>
      </c>
      <c r="F599" t="s">
        <v>23</v>
      </c>
      <c r="G599" t="s">
        <v>24</v>
      </c>
      <c r="H599" t="s">
        <v>25</v>
      </c>
      <c r="I599" t="s">
        <v>1246</v>
      </c>
      <c r="J599">
        <v>8</v>
      </c>
      <c r="K599" s="2">
        <v>248.85</v>
      </c>
      <c r="L599">
        <v>0</v>
      </c>
      <c r="M599" s="2">
        <v>1990.8</v>
      </c>
      <c r="N599" s="2">
        <v>1611.61</v>
      </c>
      <c r="O599" s="2">
        <v>379.19</v>
      </c>
      <c r="P599" t="s">
        <v>27</v>
      </c>
      <c r="Q599" t="s">
        <v>49</v>
      </c>
      <c r="R599" t="str">
        <f>TEXT(Table1[[#This Row],[Order Date]],"mmmm")</f>
        <v>June</v>
      </c>
      <c r="S599">
        <f>YEAR(Table1[[#This Row],[Order Date]])</f>
        <v>2026</v>
      </c>
    </row>
    <row r="600" spans="1:19" x14ac:dyDescent="0.3">
      <c r="A600" t="s">
        <v>1247</v>
      </c>
      <c r="B600" s="1">
        <v>45920</v>
      </c>
      <c r="C600" t="s">
        <v>70</v>
      </c>
      <c r="D600" t="s">
        <v>71</v>
      </c>
      <c r="E600" t="s">
        <v>44</v>
      </c>
      <c r="F600" t="s">
        <v>23</v>
      </c>
      <c r="G600" t="s">
        <v>38</v>
      </c>
      <c r="H600" t="s">
        <v>63</v>
      </c>
      <c r="I600" t="s">
        <v>1248</v>
      </c>
      <c r="J600">
        <v>15</v>
      </c>
      <c r="K600" s="2">
        <v>2253.36</v>
      </c>
      <c r="L600">
        <v>5</v>
      </c>
      <c r="M600" s="2">
        <v>32110.38</v>
      </c>
      <c r="N600" s="2">
        <v>24383.53</v>
      </c>
      <c r="O600" s="2">
        <v>7726.85</v>
      </c>
      <c r="P600" t="s">
        <v>41</v>
      </c>
      <c r="Q600" t="s">
        <v>49</v>
      </c>
      <c r="R600" t="str">
        <f>TEXT(Table1[[#This Row],[Order Date]],"mmmm")</f>
        <v>September</v>
      </c>
      <c r="S600">
        <f>YEAR(Table1[[#This Row],[Order Date]])</f>
        <v>2025</v>
      </c>
    </row>
    <row r="601" spans="1:19" x14ac:dyDescent="0.3">
      <c r="A601" t="s">
        <v>1249</v>
      </c>
      <c r="B601" s="1">
        <v>46031</v>
      </c>
      <c r="C601" t="s">
        <v>86</v>
      </c>
      <c r="D601" t="s">
        <v>87</v>
      </c>
      <c r="E601" t="s">
        <v>22</v>
      </c>
      <c r="F601" t="s">
        <v>23</v>
      </c>
      <c r="G601" t="s">
        <v>45</v>
      </c>
      <c r="H601" t="s">
        <v>52</v>
      </c>
      <c r="I601" t="s">
        <v>1250</v>
      </c>
      <c r="J601">
        <v>1</v>
      </c>
      <c r="K601" s="2">
        <v>3955.97</v>
      </c>
      <c r="L601">
        <v>0</v>
      </c>
      <c r="M601" s="2">
        <v>3955.97</v>
      </c>
      <c r="N601" s="2">
        <v>3236.12</v>
      </c>
      <c r="O601" s="2">
        <v>719.85</v>
      </c>
      <c r="P601" t="s">
        <v>27</v>
      </c>
      <c r="Q601" t="s">
        <v>28</v>
      </c>
      <c r="R601" t="str">
        <f>TEXT(Table1[[#This Row],[Order Date]],"mmmm")</f>
        <v>January</v>
      </c>
      <c r="S601">
        <f>YEAR(Table1[[#This Row],[Order Date]])</f>
        <v>2026</v>
      </c>
    </row>
    <row r="602" spans="1:19" x14ac:dyDescent="0.3">
      <c r="A602" t="s">
        <v>1251</v>
      </c>
      <c r="B602" s="1">
        <v>45699</v>
      </c>
      <c r="C602" t="s">
        <v>70</v>
      </c>
      <c r="D602" t="s">
        <v>75</v>
      </c>
      <c r="E602" t="s">
        <v>22</v>
      </c>
      <c r="F602" t="s">
        <v>23</v>
      </c>
      <c r="G602" t="s">
        <v>45</v>
      </c>
      <c r="H602" t="s">
        <v>159</v>
      </c>
      <c r="I602" t="s">
        <v>1252</v>
      </c>
      <c r="J602">
        <v>3</v>
      </c>
      <c r="K602" s="2">
        <v>3239.74</v>
      </c>
      <c r="L602">
        <v>0</v>
      </c>
      <c r="M602" s="2">
        <v>9719.2199999999993</v>
      </c>
      <c r="N602" s="2">
        <v>6310.18</v>
      </c>
      <c r="O602" s="2">
        <v>3409.04</v>
      </c>
      <c r="P602" t="s">
        <v>48</v>
      </c>
      <c r="Q602" t="s">
        <v>49</v>
      </c>
      <c r="R602" t="str">
        <f>TEXT(Table1[[#This Row],[Order Date]],"mmmm")</f>
        <v>February</v>
      </c>
      <c r="S602">
        <f>YEAR(Table1[[#This Row],[Order Date]])</f>
        <v>2025</v>
      </c>
    </row>
    <row r="603" spans="1:19" x14ac:dyDescent="0.3">
      <c r="A603" t="s">
        <v>1253</v>
      </c>
      <c r="B603" s="1">
        <v>45906</v>
      </c>
      <c r="C603" t="s">
        <v>35</v>
      </c>
      <c r="D603" t="s">
        <v>59</v>
      </c>
      <c r="E603" t="s">
        <v>51</v>
      </c>
      <c r="F603" t="s">
        <v>31</v>
      </c>
      <c r="G603" t="s">
        <v>24</v>
      </c>
      <c r="H603" t="s">
        <v>134</v>
      </c>
      <c r="I603" t="s">
        <v>1254</v>
      </c>
      <c r="J603">
        <v>6</v>
      </c>
      <c r="K603" s="2">
        <v>2696.91</v>
      </c>
      <c r="L603">
        <v>20</v>
      </c>
      <c r="M603" s="2">
        <v>12945.17</v>
      </c>
      <c r="N603" s="2">
        <v>7360.9</v>
      </c>
      <c r="O603" s="2">
        <v>5584.27</v>
      </c>
      <c r="P603" t="s">
        <v>41</v>
      </c>
      <c r="Q603" t="s">
        <v>61</v>
      </c>
      <c r="R603" t="str">
        <f>TEXT(Table1[[#This Row],[Order Date]],"mmmm")</f>
        <v>September</v>
      </c>
      <c r="S603">
        <f>YEAR(Table1[[#This Row],[Order Date]])</f>
        <v>2025</v>
      </c>
    </row>
    <row r="604" spans="1:19" x14ac:dyDescent="0.3">
      <c r="A604" t="s">
        <v>1255</v>
      </c>
      <c r="B604" s="1">
        <v>45670</v>
      </c>
      <c r="C604" t="s">
        <v>70</v>
      </c>
      <c r="D604" t="s">
        <v>71</v>
      </c>
      <c r="E604" t="s">
        <v>113</v>
      </c>
      <c r="F604" t="s">
        <v>23</v>
      </c>
      <c r="G604" t="s">
        <v>38</v>
      </c>
      <c r="H604" t="s">
        <v>106</v>
      </c>
      <c r="I604" t="s">
        <v>1256</v>
      </c>
      <c r="J604">
        <v>14</v>
      </c>
      <c r="K604" s="2">
        <v>3288.99</v>
      </c>
      <c r="L604">
        <v>0</v>
      </c>
      <c r="M604" s="2">
        <v>46045.86</v>
      </c>
      <c r="N604" s="2">
        <v>25423.33</v>
      </c>
      <c r="O604" s="2">
        <v>20622.53</v>
      </c>
      <c r="P604" t="s">
        <v>41</v>
      </c>
      <c r="Q604" t="s">
        <v>42</v>
      </c>
      <c r="R604" t="str">
        <f>TEXT(Table1[[#This Row],[Order Date]],"mmmm")</f>
        <v>January</v>
      </c>
      <c r="S604">
        <f>YEAR(Table1[[#This Row],[Order Date]])</f>
        <v>2025</v>
      </c>
    </row>
    <row r="605" spans="1:19" x14ac:dyDescent="0.3">
      <c r="A605" t="s">
        <v>1257</v>
      </c>
      <c r="B605" s="1">
        <v>46140</v>
      </c>
      <c r="C605" t="s">
        <v>35</v>
      </c>
      <c r="D605" t="s">
        <v>36</v>
      </c>
      <c r="E605" t="s">
        <v>113</v>
      </c>
      <c r="F605" t="s">
        <v>31</v>
      </c>
      <c r="G605" t="s">
        <v>38</v>
      </c>
      <c r="H605" t="s">
        <v>106</v>
      </c>
      <c r="I605" t="s">
        <v>1258</v>
      </c>
      <c r="J605">
        <v>15</v>
      </c>
      <c r="K605" s="2">
        <v>4284.8500000000004</v>
      </c>
      <c r="L605">
        <v>20</v>
      </c>
      <c r="M605" s="2">
        <v>51418.2</v>
      </c>
      <c r="N605" s="2">
        <v>30726.21</v>
      </c>
      <c r="O605" s="2">
        <v>20691.990000000002</v>
      </c>
      <c r="P605" t="s">
        <v>41</v>
      </c>
      <c r="Q605" t="s">
        <v>49</v>
      </c>
      <c r="R605" t="str">
        <f>TEXT(Table1[[#This Row],[Order Date]],"mmmm")</f>
        <v>April</v>
      </c>
      <c r="S605">
        <f>YEAR(Table1[[#This Row],[Order Date]])</f>
        <v>2026</v>
      </c>
    </row>
    <row r="606" spans="1:19" x14ac:dyDescent="0.3">
      <c r="A606" t="s">
        <v>1259</v>
      </c>
      <c r="B606" s="1">
        <v>45766</v>
      </c>
      <c r="C606" t="s">
        <v>35</v>
      </c>
      <c r="D606" t="s">
        <v>59</v>
      </c>
      <c r="E606" t="s">
        <v>51</v>
      </c>
      <c r="F606" t="s">
        <v>31</v>
      </c>
      <c r="G606" t="s">
        <v>24</v>
      </c>
      <c r="H606" t="s">
        <v>56</v>
      </c>
      <c r="I606" t="s">
        <v>1260</v>
      </c>
      <c r="J606">
        <v>14</v>
      </c>
      <c r="K606" s="2">
        <v>1270.3499999999999</v>
      </c>
      <c r="L606">
        <v>15</v>
      </c>
      <c r="M606" s="2">
        <v>15117.16</v>
      </c>
      <c r="N606" s="2">
        <v>9886.5300000000007</v>
      </c>
      <c r="O606" s="2">
        <v>5230.63</v>
      </c>
      <c r="P606" t="s">
        <v>41</v>
      </c>
      <c r="Q606" t="s">
        <v>61</v>
      </c>
      <c r="R606" t="str">
        <f>TEXT(Table1[[#This Row],[Order Date]],"mmmm")</f>
        <v>April</v>
      </c>
      <c r="S606">
        <f>YEAR(Table1[[#This Row],[Order Date]])</f>
        <v>2025</v>
      </c>
    </row>
    <row r="607" spans="1:19" x14ac:dyDescent="0.3">
      <c r="A607" t="s">
        <v>1261</v>
      </c>
      <c r="B607" s="1">
        <v>45681</v>
      </c>
      <c r="C607" t="s">
        <v>35</v>
      </c>
      <c r="D607" t="s">
        <v>59</v>
      </c>
      <c r="E607" t="s">
        <v>66</v>
      </c>
      <c r="F607" t="s">
        <v>37</v>
      </c>
      <c r="G607" t="s">
        <v>38</v>
      </c>
      <c r="H607" t="s">
        <v>72</v>
      </c>
      <c r="I607" t="s">
        <v>1262</v>
      </c>
      <c r="J607">
        <v>3</v>
      </c>
      <c r="K607" s="2">
        <v>1758.43</v>
      </c>
      <c r="L607">
        <v>5</v>
      </c>
      <c r="M607" s="2">
        <v>5011.53</v>
      </c>
      <c r="N607" s="2">
        <v>3423.1</v>
      </c>
      <c r="O607" s="2">
        <v>1588.43</v>
      </c>
      <c r="P607" t="s">
        <v>48</v>
      </c>
      <c r="Q607" t="s">
        <v>28</v>
      </c>
      <c r="R607" t="str">
        <f>TEXT(Table1[[#This Row],[Order Date]],"mmmm")</f>
        <v>January</v>
      </c>
      <c r="S607">
        <f>YEAR(Table1[[#This Row],[Order Date]])</f>
        <v>2025</v>
      </c>
    </row>
    <row r="608" spans="1:19" x14ac:dyDescent="0.3">
      <c r="A608" t="s">
        <v>1263</v>
      </c>
      <c r="B608" s="1">
        <v>46087</v>
      </c>
      <c r="C608" t="s">
        <v>70</v>
      </c>
      <c r="D608" t="s">
        <v>71</v>
      </c>
      <c r="E608" t="s">
        <v>66</v>
      </c>
      <c r="F608" t="s">
        <v>37</v>
      </c>
      <c r="G608" t="s">
        <v>38</v>
      </c>
      <c r="H608" t="s">
        <v>106</v>
      </c>
      <c r="I608" t="s">
        <v>1264</v>
      </c>
      <c r="J608">
        <v>9</v>
      </c>
      <c r="K608" s="2">
        <v>1019.51</v>
      </c>
      <c r="L608">
        <v>20</v>
      </c>
      <c r="M608" s="2">
        <v>7340.47</v>
      </c>
      <c r="N608" s="2">
        <v>4813.37</v>
      </c>
      <c r="O608" s="2">
        <v>2527.1</v>
      </c>
      <c r="P608" t="s">
        <v>27</v>
      </c>
      <c r="Q608" t="s">
        <v>28</v>
      </c>
      <c r="R608" t="str">
        <f>TEXT(Table1[[#This Row],[Order Date]],"mmmm")</f>
        <v>March</v>
      </c>
      <c r="S608">
        <f>YEAR(Table1[[#This Row],[Order Date]])</f>
        <v>2026</v>
      </c>
    </row>
    <row r="609" spans="1:19" x14ac:dyDescent="0.3">
      <c r="A609" t="s">
        <v>1265</v>
      </c>
      <c r="B609" s="1">
        <v>45800</v>
      </c>
      <c r="C609" t="s">
        <v>70</v>
      </c>
      <c r="D609" t="s">
        <v>75</v>
      </c>
      <c r="E609" t="s">
        <v>113</v>
      </c>
      <c r="F609" t="s">
        <v>23</v>
      </c>
      <c r="G609" t="s">
        <v>38</v>
      </c>
      <c r="H609" t="s">
        <v>106</v>
      </c>
      <c r="I609" t="s">
        <v>1266</v>
      </c>
      <c r="J609">
        <v>3</v>
      </c>
      <c r="K609" s="2">
        <v>2521.31</v>
      </c>
      <c r="L609">
        <v>0</v>
      </c>
      <c r="M609" s="2">
        <v>7563.93</v>
      </c>
      <c r="N609" s="2">
        <v>5156</v>
      </c>
      <c r="O609" s="2">
        <v>2407.9299999999998</v>
      </c>
      <c r="P609" t="s">
        <v>27</v>
      </c>
      <c r="Q609" t="s">
        <v>61</v>
      </c>
      <c r="R609" t="str">
        <f>TEXT(Table1[[#This Row],[Order Date]],"mmmm")</f>
        <v>May</v>
      </c>
      <c r="S609">
        <f>YEAR(Table1[[#This Row],[Order Date]])</f>
        <v>2025</v>
      </c>
    </row>
    <row r="610" spans="1:19" x14ac:dyDescent="0.3">
      <c r="A610" t="s">
        <v>1267</v>
      </c>
      <c r="B610" s="1">
        <v>45969</v>
      </c>
      <c r="C610" t="s">
        <v>35</v>
      </c>
      <c r="D610" t="s">
        <v>36</v>
      </c>
      <c r="E610" t="s">
        <v>170</v>
      </c>
      <c r="F610" t="s">
        <v>31</v>
      </c>
      <c r="G610" t="s">
        <v>45</v>
      </c>
      <c r="H610" t="s">
        <v>123</v>
      </c>
      <c r="I610" t="s">
        <v>1268</v>
      </c>
      <c r="J610">
        <v>6</v>
      </c>
      <c r="K610" s="2">
        <v>1496.44</v>
      </c>
      <c r="L610">
        <v>10</v>
      </c>
      <c r="M610" s="2">
        <v>8080.78</v>
      </c>
      <c r="N610" s="2">
        <v>6086.03</v>
      </c>
      <c r="O610" s="2">
        <v>1994.75</v>
      </c>
      <c r="P610" t="s">
        <v>27</v>
      </c>
      <c r="Q610" t="s">
        <v>42</v>
      </c>
      <c r="R610" t="str">
        <f>TEXT(Table1[[#This Row],[Order Date]],"mmmm")</f>
        <v>November</v>
      </c>
      <c r="S610">
        <f>YEAR(Table1[[#This Row],[Order Date]])</f>
        <v>2025</v>
      </c>
    </row>
    <row r="611" spans="1:19" x14ac:dyDescent="0.3">
      <c r="A611" t="s">
        <v>1269</v>
      </c>
      <c r="B611" s="1">
        <v>45794</v>
      </c>
      <c r="C611" t="s">
        <v>20</v>
      </c>
      <c r="D611" t="s">
        <v>21</v>
      </c>
      <c r="E611" t="s">
        <v>170</v>
      </c>
      <c r="F611" t="s">
        <v>23</v>
      </c>
      <c r="G611" t="s">
        <v>38</v>
      </c>
      <c r="H611" t="s">
        <v>63</v>
      </c>
      <c r="I611" t="s">
        <v>1270</v>
      </c>
      <c r="J611">
        <v>5</v>
      </c>
      <c r="K611" s="2">
        <v>4477.79</v>
      </c>
      <c r="L611">
        <v>15</v>
      </c>
      <c r="M611" s="2">
        <v>19030.61</v>
      </c>
      <c r="N611" s="2">
        <v>14536.99</v>
      </c>
      <c r="O611" s="2">
        <v>4493.62</v>
      </c>
      <c r="P611" t="s">
        <v>41</v>
      </c>
      <c r="Q611" t="s">
        <v>49</v>
      </c>
      <c r="R611" t="str">
        <f>TEXT(Table1[[#This Row],[Order Date]],"mmmm")</f>
        <v>May</v>
      </c>
      <c r="S611">
        <f>YEAR(Table1[[#This Row],[Order Date]])</f>
        <v>2025</v>
      </c>
    </row>
    <row r="612" spans="1:19" x14ac:dyDescent="0.3">
      <c r="A612" t="s">
        <v>1271</v>
      </c>
      <c r="B612" s="1">
        <v>45851</v>
      </c>
      <c r="C612" t="s">
        <v>35</v>
      </c>
      <c r="D612" t="s">
        <v>59</v>
      </c>
      <c r="E612" t="s">
        <v>51</v>
      </c>
      <c r="F612" t="s">
        <v>23</v>
      </c>
      <c r="G612" t="s">
        <v>24</v>
      </c>
      <c r="H612" t="s">
        <v>25</v>
      </c>
      <c r="I612" t="s">
        <v>331</v>
      </c>
      <c r="J612">
        <v>3</v>
      </c>
      <c r="K612" s="2">
        <v>1080.5899999999999</v>
      </c>
      <c r="L612">
        <v>15</v>
      </c>
      <c r="M612" s="2">
        <v>2755.5</v>
      </c>
      <c r="N612" s="2">
        <v>1917.87</v>
      </c>
      <c r="O612" s="2">
        <v>837.63</v>
      </c>
      <c r="P612" t="s">
        <v>27</v>
      </c>
      <c r="Q612" t="s">
        <v>28</v>
      </c>
      <c r="R612" t="str">
        <f>TEXT(Table1[[#This Row],[Order Date]],"mmmm")</f>
        <v>July</v>
      </c>
      <c r="S612">
        <f>YEAR(Table1[[#This Row],[Order Date]])</f>
        <v>2025</v>
      </c>
    </row>
    <row r="613" spans="1:19" x14ac:dyDescent="0.3">
      <c r="A613" t="s">
        <v>1272</v>
      </c>
      <c r="B613" s="1">
        <v>45927</v>
      </c>
      <c r="C613" t="s">
        <v>20</v>
      </c>
      <c r="D613" t="s">
        <v>55</v>
      </c>
      <c r="E613" t="s">
        <v>66</v>
      </c>
      <c r="F613" t="s">
        <v>31</v>
      </c>
      <c r="G613" t="s">
        <v>38</v>
      </c>
      <c r="H613" t="s">
        <v>91</v>
      </c>
      <c r="I613" t="s">
        <v>1273</v>
      </c>
      <c r="J613">
        <v>7</v>
      </c>
      <c r="K613" s="2">
        <v>4044.83</v>
      </c>
      <c r="L613">
        <v>5</v>
      </c>
      <c r="M613" s="2">
        <v>26898.12</v>
      </c>
      <c r="N613" s="2">
        <v>18296.650000000001</v>
      </c>
      <c r="O613" s="2">
        <v>8601.4699999999993</v>
      </c>
      <c r="P613" t="s">
        <v>27</v>
      </c>
      <c r="Q613" t="s">
        <v>42</v>
      </c>
      <c r="R613" t="str">
        <f>TEXT(Table1[[#This Row],[Order Date]],"mmmm")</f>
        <v>September</v>
      </c>
      <c r="S613">
        <f>YEAR(Table1[[#This Row],[Order Date]])</f>
        <v>2025</v>
      </c>
    </row>
    <row r="614" spans="1:19" x14ac:dyDescent="0.3">
      <c r="A614" t="s">
        <v>1274</v>
      </c>
      <c r="B614" s="1">
        <v>45671</v>
      </c>
      <c r="C614" t="s">
        <v>86</v>
      </c>
      <c r="D614" t="s">
        <v>87</v>
      </c>
      <c r="E614" t="s">
        <v>22</v>
      </c>
      <c r="F614" t="s">
        <v>31</v>
      </c>
      <c r="G614" t="s">
        <v>45</v>
      </c>
      <c r="H614" t="s">
        <v>159</v>
      </c>
      <c r="I614" t="s">
        <v>1275</v>
      </c>
      <c r="J614">
        <v>12</v>
      </c>
      <c r="K614" s="2">
        <v>4029.56</v>
      </c>
      <c r="L614">
        <v>5</v>
      </c>
      <c r="M614" s="2">
        <v>45936.98</v>
      </c>
      <c r="N614" s="2">
        <v>30928.17</v>
      </c>
      <c r="O614" s="2">
        <v>15008.81</v>
      </c>
      <c r="P614" t="s">
        <v>48</v>
      </c>
      <c r="Q614" t="s">
        <v>49</v>
      </c>
      <c r="R614" t="str">
        <f>TEXT(Table1[[#This Row],[Order Date]],"mmmm")</f>
        <v>January</v>
      </c>
      <c r="S614">
        <f>YEAR(Table1[[#This Row],[Order Date]])</f>
        <v>2025</v>
      </c>
    </row>
    <row r="615" spans="1:19" x14ac:dyDescent="0.3">
      <c r="A615" t="s">
        <v>1276</v>
      </c>
      <c r="B615" s="1">
        <v>45974</v>
      </c>
      <c r="C615" t="s">
        <v>35</v>
      </c>
      <c r="D615" t="s">
        <v>36</v>
      </c>
      <c r="E615" t="s">
        <v>44</v>
      </c>
      <c r="F615" t="s">
        <v>23</v>
      </c>
      <c r="G615" t="s">
        <v>45</v>
      </c>
      <c r="H615" t="s">
        <v>52</v>
      </c>
      <c r="I615" t="s">
        <v>1277</v>
      </c>
      <c r="J615">
        <v>1</v>
      </c>
      <c r="K615" s="2">
        <v>2752.58</v>
      </c>
      <c r="L615">
        <v>15</v>
      </c>
      <c r="M615" s="2">
        <v>2339.69</v>
      </c>
      <c r="N615" s="2">
        <v>1835.81</v>
      </c>
      <c r="O615" s="2">
        <v>503.88</v>
      </c>
      <c r="P615" t="s">
        <v>41</v>
      </c>
      <c r="Q615" t="s">
        <v>28</v>
      </c>
      <c r="R615" t="str">
        <f>TEXT(Table1[[#This Row],[Order Date]],"mmmm")</f>
        <v>November</v>
      </c>
      <c r="S615">
        <f>YEAR(Table1[[#This Row],[Order Date]])</f>
        <v>2025</v>
      </c>
    </row>
    <row r="616" spans="1:19" x14ac:dyDescent="0.3">
      <c r="A616" t="s">
        <v>1278</v>
      </c>
      <c r="B616" s="1">
        <v>45828</v>
      </c>
      <c r="C616" t="s">
        <v>70</v>
      </c>
      <c r="D616" t="s">
        <v>75</v>
      </c>
      <c r="E616" t="s">
        <v>51</v>
      </c>
      <c r="F616" t="s">
        <v>37</v>
      </c>
      <c r="G616" t="s">
        <v>45</v>
      </c>
      <c r="H616" t="s">
        <v>159</v>
      </c>
      <c r="I616" t="s">
        <v>1279</v>
      </c>
      <c r="J616">
        <v>9</v>
      </c>
      <c r="K616" s="2">
        <v>1598.38</v>
      </c>
      <c r="L616">
        <v>10</v>
      </c>
      <c r="M616" s="2">
        <v>12946.88</v>
      </c>
      <c r="N616" s="2">
        <v>10605.79</v>
      </c>
      <c r="O616" s="2">
        <v>2341.09</v>
      </c>
      <c r="P616" t="s">
        <v>41</v>
      </c>
      <c r="Q616" t="s">
        <v>61</v>
      </c>
      <c r="R616" t="str">
        <f>TEXT(Table1[[#This Row],[Order Date]],"mmmm")</f>
        <v>June</v>
      </c>
      <c r="S616">
        <f>YEAR(Table1[[#This Row],[Order Date]])</f>
        <v>2025</v>
      </c>
    </row>
    <row r="617" spans="1:19" x14ac:dyDescent="0.3">
      <c r="A617" t="s">
        <v>1280</v>
      </c>
      <c r="B617" s="1">
        <v>46175</v>
      </c>
      <c r="C617" t="s">
        <v>70</v>
      </c>
      <c r="D617" t="s">
        <v>75</v>
      </c>
      <c r="E617" t="s">
        <v>170</v>
      </c>
      <c r="F617" t="s">
        <v>31</v>
      </c>
      <c r="G617" t="s">
        <v>38</v>
      </c>
      <c r="H617" t="s">
        <v>72</v>
      </c>
      <c r="I617" t="s">
        <v>1281</v>
      </c>
      <c r="J617">
        <v>10</v>
      </c>
      <c r="K617" s="2">
        <v>3311.76</v>
      </c>
      <c r="L617">
        <v>0</v>
      </c>
      <c r="M617" s="2">
        <v>33117.599999999999</v>
      </c>
      <c r="N617" s="2">
        <v>24494.85</v>
      </c>
      <c r="O617" s="2">
        <v>8622.75</v>
      </c>
      <c r="P617" t="s">
        <v>41</v>
      </c>
      <c r="Q617" t="s">
        <v>61</v>
      </c>
      <c r="R617" t="str">
        <f>TEXT(Table1[[#This Row],[Order Date]],"mmmm")</f>
        <v>June</v>
      </c>
      <c r="S617">
        <f>YEAR(Table1[[#This Row],[Order Date]])</f>
        <v>2026</v>
      </c>
    </row>
    <row r="618" spans="1:19" x14ac:dyDescent="0.3">
      <c r="A618" t="s">
        <v>1282</v>
      </c>
      <c r="B618" s="1">
        <v>45988</v>
      </c>
      <c r="C618" t="s">
        <v>70</v>
      </c>
      <c r="D618" t="s">
        <v>71</v>
      </c>
      <c r="E618" t="s">
        <v>22</v>
      </c>
      <c r="F618" t="s">
        <v>37</v>
      </c>
      <c r="G618" t="s">
        <v>24</v>
      </c>
      <c r="H618" t="s">
        <v>134</v>
      </c>
      <c r="I618" t="s">
        <v>1283</v>
      </c>
      <c r="J618">
        <v>9</v>
      </c>
      <c r="K618" s="2">
        <v>4116.2299999999996</v>
      </c>
      <c r="L618">
        <v>5</v>
      </c>
      <c r="M618" s="2">
        <v>35193.769999999997</v>
      </c>
      <c r="N618" s="2">
        <v>20350.53</v>
      </c>
      <c r="O618" s="2">
        <v>14843.24</v>
      </c>
      <c r="P618" t="s">
        <v>48</v>
      </c>
      <c r="Q618" t="s">
        <v>61</v>
      </c>
      <c r="R618" t="str">
        <f>TEXT(Table1[[#This Row],[Order Date]],"mmmm")</f>
        <v>November</v>
      </c>
      <c r="S618">
        <f>YEAR(Table1[[#This Row],[Order Date]])</f>
        <v>2025</v>
      </c>
    </row>
    <row r="619" spans="1:19" x14ac:dyDescent="0.3">
      <c r="A619" t="s">
        <v>1284</v>
      </c>
      <c r="B619" s="1">
        <v>45923</v>
      </c>
      <c r="C619" t="s">
        <v>20</v>
      </c>
      <c r="D619" t="s">
        <v>21</v>
      </c>
      <c r="E619" t="s">
        <v>44</v>
      </c>
      <c r="F619" t="s">
        <v>37</v>
      </c>
      <c r="G619" t="s">
        <v>45</v>
      </c>
      <c r="H619" t="s">
        <v>123</v>
      </c>
      <c r="I619" t="s">
        <v>1285</v>
      </c>
      <c r="J619">
        <v>6</v>
      </c>
      <c r="K619" s="2">
        <v>4932.3100000000004</v>
      </c>
      <c r="L619">
        <v>10</v>
      </c>
      <c r="M619" s="2">
        <v>26634.47</v>
      </c>
      <c r="N619" s="2">
        <v>20430.39</v>
      </c>
      <c r="O619" s="2">
        <v>6204.08</v>
      </c>
      <c r="P619" t="s">
        <v>48</v>
      </c>
      <c r="Q619" t="s">
        <v>49</v>
      </c>
      <c r="R619" t="str">
        <f>TEXT(Table1[[#This Row],[Order Date]],"mmmm")</f>
        <v>September</v>
      </c>
      <c r="S619">
        <f>YEAR(Table1[[#This Row],[Order Date]])</f>
        <v>2025</v>
      </c>
    </row>
    <row r="620" spans="1:19" x14ac:dyDescent="0.3">
      <c r="A620" t="s">
        <v>1286</v>
      </c>
      <c r="B620" s="1">
        <v>46023</v>
      </c>
      <c r="C620" t="s">
        <v>86</v>
      </c>
      <c r="D620" t="s">
        <v>90</v>
      </c>
      <c r="E620" t="s">
        <v>44</v>
      </c>
      <c r="F620" t="s">
        <v>37</v>
      </c>
      <c r="G620" t="s">
        <v>24</v>
      </c>
      <c r="H620" t="s">
        <v>171</v>
      </c>
      <c r="I620" t="s">
        <v>1287</v>
      </c>
      <c r="J620">
        <v>11</v>
      </c>
      <c r="K620" s="2">
        <v>3579.65</v>
      </c>
      <c r="L620">
        <v>20</v>
      </c>
      <c r="M620" s="2">
        <v>31500.92</v>
      </c>
      <c r="N620" s="2">
        <v>18183.009999999998</v>
      </c>
      <c r="O620" s="2">
        <v>13317.91</v>
      </c>
      <c r="P620" t="s">
        <v>48</v>
      </c>
      <c r="Q620" t="s">
        <v>28</v>
      </c>
      <c r="R620" t="str">
        <f>TEXT(Table1[[#This Row],[Order Date]],"mmmm")</f>
        <v>January</v>
      </c>
      <c r="S620">
        <f>YEAR(Table1[[#This Row],[Order Date]])</f>
        <v>2026</v>
      </c>
    </row>
    <row r="621" spans="1:19" x14ac:dyDescent="0.3">
      <c r="A621" t="s">
        <v>1288</v>
      </c>
      <c r="B621" s="1">
        <v>45900</v>
      </c>
      <c r="C621" t="s">
        <v>86</v>
      </c>
      <c r="D621" t="s">
        <v>90</v>
      </c>
      <c r="E621" t="s">
        <v>66</v>
      </c>
      <c r="F621" t="s">
        <v>31</v>
      </c>
      <c r="G621" t="s">
        <v>45</v>
      </c>
      <c r="H621" t="s">
        <v>67</v>
      </c>
      <c r="I621" t="s">
        <v>1289</v>
      </c>
      <c r="J621">
        <v>3</v>
      </c>
      <c r="K621" s="2">
        <v>1071.68</v>
      </c>
      <c r="L621">
        <v>0</v>
      </c>
      <c r="M621" s="2">
        <v>3215.04</v>
      </c>
      <c r="N621" s="2">
        <v>2474.9499999999998</v>
      </c>
      <c r="O621" s="2">
        <v>740.09</v>
      </c>
      <c r="P621" t="s">
        <v>27</v>
      </c>
      <c r="Q621" t="s">
        <v>28</v>
      </c>
      <c r="R621" t="str">
        <f>TEXT(Table1[[#This Row],[Order Date]],"mmmm")</f>
        <v>August</v>
      </c>
      <c r="S621">
        <f>YEAR(Table1[[#This Row],[Order Date]])</f>
        <v>2025</v>
      </c>
    </row>
    <row r="622" spans="1:19" x14ac:dyDescent="0.3">
      <c r="A622" t="s">
        <v>1290</v>
      </c>
      <c r="B622" s="1">
        <v>46010</v>
      </c>
      <c r="C622" t="s">
        <v>35</v>
      </c>
      <c r="D622" t="s">
        <v>59</v>
      </c>
      <c r="E622" t="s">
        <v>30</v>
      </c>
      <c r="F622" t="s">
        <v>23</v>
      </c>
      <c r="G622" t="s">
        <v>38</v>
      </c>
      <c r="H622" t="s">
        <v>106</v>
      </c>
      <c r="I622" t="s">
        <v>1291</v>
      </c>
      <c r="J622">
        <v>14</v>
      </c>
      <c r="K622" s="2">
        <v>2013.69</v>
      </c>
      <c r="L622">
        <v>10</v>
      </c>
      <c r="M622" s="2">
        <v>25372.49</v>
      </c>
      <c r="N622" s="2">
        <v>17760.75</v>
      </c>
      <c r="O622" s="2">
        <v>7611.74</v>
      </c>
      <c r="P622" t="s">
        <v>27</v>
      </c>
      <c r="Q622" t="s">
        <v>61</v>
      </c>
      <c r="R622" t="str">
        <f>TEXT(Table1[[#This Row],[Order Date]],"mmmm")</f>
        <v>December</v>
      </c>
      <c r="S622">
        <f>YEAR(Table1[[#This Row],[Order Date]])</f>
        <v>2025</v>
      </c>
    </row>
    <row r="623" spans="1:19" x14ac:dyDescent="0.3">
      <c r="A623" t="s">
        <v>1292</v>
      </c>
      <c r="B623" s="1">
        <v>45706</v>
      </c>
      <c r="C623" t="s">
        <v>86</v>
      </c>
      <c r="D623" t="s">
        <v>90</v>
      </c>
      <c r="E623" t="s">
        <v>44</v>
      </c>
      <c r="F623" t="s">
        <v>37</v>
      </c>
      <c r="G623" t="s">
        <v>24</v>
      </c>
      <c r="H623" t="s">
        <v>25</v>
      </c>
      <c r="I623" t="s">
        <v>1293</v>
      </c>
      <c r="J623">
        <v>8</v>
      </c>
      <c r="K623" s="2">
        <v>933.85</v>
      </c>
      <c r="L623">
        <v>5</v>
      </c>
      <c r="M623" s="2">
        <v>7097.26</v>
      </c>
      <c r="N623" s="2">
        <v>4920.08</v>
      </c>
      <c r="O623" s="2">
        <v>2177.1799999999998</v>
      </c>
      <c r="P623" t="s">
        <v>48</v>
      </c>
      <c r="Q623" t="s">
        <v>61</v>
      </c>
      <c r="R623" t="str">
        <f>TEXT(Table1[[#This Row],[Order Date]],"mmmm")</f>
        <v>February</v>
      </c>
      <c r="S623">
        <f>YEAR(Table1[[#This Row],[Order Date]])</f>
        <v>2025</v>
      </c>
    </row>
    <row r="624" spans="1:19" x14ac:dyDescent="0.3">
      <c r="A624" t="s">
        <v>1294</v>
      </c>
      <c r="B624" s="1">
        <v>45934</v>
      </c>
      <c r="C624" t="s">
        <v>70</v>
      </c>
      <c r="D624" t="s">
        <v>75</v>
      </c>
      <c r="E624" t="s">
        <v>30</v>
      </c>
      <c r="F624" t="s">
        <v>23</v>
      </c>
      <c r="G624" t="s">
        <v>45</v>
      </c>
      <c r="H624" t="s">
        <v>123</v>
      </c>
      <c r="I624" t="s">
        <v>1295</v>
      </c>
      <c r="J624">
        <v>15</v>
      </c>
      <c r="K624" s="2">
        <v>1796.47</v>
      </c>
      <c r="L624">
        <v>10</v>
      </c>
      <c r="M624" s="2">
        <v>24252.35</v>
      </c>
      <c r="N624" s="2">
        <v>18549.240000000002</v>
      </c>
      <c r="O624" s="2">
        <v>5703.11</v>
      </c>
      <c r="P624" t="s">
        <v>48</v>
      </c>
      <c r="Q624" t="s">
        <v>28</v>
      </c>
      <c r="R624" t="str">
        <f>TEXT(Table1[[#This Row],[Order Date]],"mmmm")</f>
        <v>October</v>
      </c>
      <c r="S624">
        <f>YEAR(Table1[[#This Row],[Order Date]])</f>
        <v>2025</v>
      </c>
    </row>
    <row r="625" spans="1:19" x14ac:dyDescent="0.3">
      <c r="A625" t="s">
        <v>1296</v>
      </c>
      <c r="B625" s="1">
        <v>45766</v>
      </c>
      <c r="C625" t="s">
        <v>35</v>
      </c>
      <c r="D625" t="s">
        <v>59</v>
      </c>
      <c r="E625" t="s">
        <v>66</v>
      </c>
      <c r="F625" t="s">
        <v>37</v>
      </c>
      <c r="G625" t="s">
        <v>38</v>
      </c>
      <c r="H625" t="s">
        <v>106</v>
      </c>
      <c r="I625" t="s">
        <v>1297</v>
      </c>
      <c r="J625">
        <v>3</v>
      </c>
      <c r="K625" s="2">
        <v>3913.97</v>
      </c>
      <c r="L625">
        <v>10</v>
      </c>
      <c r="M625" s="2">
        <v>10567.72</v>
      </c>
      <c r="N625" s="2">
        <v>7012.65</v>
      </c>
      <c r="O625" s="2">
        <v>3555.07</v>
      </c>
      <c r="P625" t="s">
        <v>41</v>
      </c>
      <c r="Q625" t="s">
        <v>28</v>
      </c>
      <c r="R625" t="str">
        <f>TEXT(Table1[[#This Row],[Order Date]],"mmmm")</f>
        <v>April</v>
      </c>
      <c r="S625">
        <f>YEAR(Table1[[#This Row],[Order Date]])</f>
        <v>2025</v>
      </c>
    </row>
    <row r="626" spans="1:19" x14ac:dyDescent="0.3">
      <c r="A626" t="s">
        <v>1298</v>
      </c>
      <c r="B626" s="1">
        <v>46146</v>
      </c>
      <c r="C626" t="s">
        <v>86</v>
      </c>
      <c r="D626" t="s">
        <v>87</v>
      </c>
      <c r="E626" t="s">
        <v>120</v>
      </c>
      <c r="F626" t="s">
        <v>37</v>
      </c>
      <c r="G626" t="s">
        <v>38</v>
      </c>
      <c r="H626" t="s">
        <v>72</v>
      </c>
      <c r="I626" t="s">
        <v>1299</v>
      </c>
      <c r="J626">
        <v>2</v>
      </c>
      <c r="K626" s="2">
        <v>616.42999999999995</v>
      </c>
      <c r="L626">
        <v>20</v>
      </c>
      <c r="M626" s="2">
        <v>986.29</v>
      </c>
      <c r="N626" s="2">
        <v>708.12</v>
      </c>
      <c r="O626" s="2">
        <v>278.17</v>
      </c>
      <c r="P626" t="s">
        <v>41</v>
      </c>
      <c r="Q626" t="s">
        <v>42</v>
      </c>
      <c r="R626" t="str">
        <f>TEXT(Table1[[#This Row],[Order Date]],"mmmm")</f>
        <v>May</v>
      </c>
      <c r="S626">
        <f>YEAR(Table1[[#This Row],[Order Date]])</f>
        <v>2026</v>
      </c>
    </row>
    <row r="627" spans="1:19" x14ac:dyDescent="0.3">
      <c r="A627" t="s">
        <v>1300</v>
      </c>
      <c r="B627" s="1">
        <v>45760</v>
      </c>
      <c r="C627" t="s">
        <v>70</v>
      </c>
      <c r="D627" t="s">
        <v>71</v>
      </c>
      <c r="E627" t="s">
        <v>113</v>
      </c>
      <c r="F627" t="s">
        <v>37</v>
      </c>
      <c r="G627" t="s">
        <v>24</v>
      </c>
      <c r="H627" t="s">
        <v>56</v>
      </c>
      <c r="I627" t="s">
        <v>1301</v>
      </c>
      <c r="J627">
        <v>14</v>
      </c>
      <c r="K627" s="2">
        <v>2973.84</v>
      </c>
      <c r="L627">
        <v>0</v>
      </c>
      <c r="M627" s="2">
        <v>41633.760000000002</v>
      </c>
      <c r="N627" s="2">
        <v>25093.27</v>
      </c>
      <c r="O627" s="2">
        <v>16540.490000000002</v>
      </c>
      <c r="P627" t="s">
        <v>48</v>
      </c>
      <c r="Q627" t="s">
        <v>28</v>
      </c>
      <c r="R627" t="str">
        <f>TEXT(Table1[[#This Row],[Order Date]],"mmmm")</f>
        <v>April</v>
      </c>
      <c r="S627">
        <f>YEAR(Table1[[#This Row],[Order Date]])</f>
        <v>2025</v>
      </c>
    </row>
    <row r="628" spans="1:19" x14ac:dyDescent="0.3">
      <c r="A628" t="s">
        <v>1302</v>
      </c>
      <c r="B628" s="1">
        <v>46146</v>
      </c>
      <c r="C628" t="s">
        <v>35</v>
      </c>
      <c r="D628" t="s">
        <v>59</v>
      </c>
      <c r="E628" t="s">
        <v>51</v>
      </c>
      <c r="F628" t="s">
        <v>31</v>
      </c>
      <c r="G628" t="s">
        <v>45</v>
      </c>
      <c r="H628" t="s">
        <v>46</v>
      </c>
      <c r="I628" t="s">
        <v>1303</v>
      </c>
      <c r="J628">
        <v>13</v>
      </c>
      <c r="K628" s="2">
        <v>333.56</v>
      </c>
      <c r="L628">
        <v>15</v>
      </c>
      <c r="M628" s="2">
        <v>3685.84</v>
      </c>
      <c r="N628" s="2">
        <v>2542.7800000000002</v>
      </c>
      <c r="O628" s="2">
        <v>1143.06</v>
      </c>
      <c r="P628" t="s">
        <v>27</v>
      </c>
      <c r="Q628" t="s">
        <v>61</v>
      </c>
      <c r="R628" t="str">
        <f>TEXT(Table1[[#This Row],[Order Date]],"mmmm")</f>
        <v>May</v>
      </c>
      <c r="S628">
        <f>YEAR(Table1[[#This Row],[Order Date]])</f>
        <v>2026</v>
      </c>
    </row>
    <row r="629" spans="1:19" x14ac:dyDescent="0.3">
      <c r="A629" t="s">
        <v>1304</v>
      </c>
      <c r="B629" s="1">
        <v>46141</v>
      </c>
      <c r="C629" t="s">
        <v>86</v>
      </c>
      <c r="D629" t="s">
        <v>87</v>
      </c>
      <c r="E629" t="s">
        <v>22</v>
      </c>
      <c r="F629" t="s">
        <v>31</v>
      </c>
      <c r="G629" t="s">
        <v>38</v>
      </c>
      <c r="H629" t="s">
        <v>63</v>
      </c>
      <c r="I629" t="s">
        <v>1305</v>
      </c>
      <c r="J629">
        <v>15</v>
      </c>
      <c r="K629" s="2">
        <v>2582.2399999999998</v>
      </c>
      <c r="L629">
        <v>10</v>
      </c>
      <c r="M629" s="2">
        <v>34860.239999999998</v>
      </c>
      <c r="N629" s="2">
        <v>20410.2</v>
      </c>
      <c r="O629" s="2">
        <v>14450.04</v>
      </c>
      <c r="P629" t="s">
        <v>48</v>
      </c>
      <c r="Q629" t="s">
        <v>28</v>
      </c>
      <c r="R629" t="str">
        <f>TEXT(Table1[[#This Row],[Order Date]],"mmmm")</f>
        <v>April</v>
      </c>
      <c r="S629">
        <f>YEAR(Table1[[#This Row],[Order Date]])</f>
        <v>2026</v>
      </c>
    </row>
    <row r="630" spans="1:19" x14ac:dyDescent="0.3">
      <c r="A630" t="s">
        <v>1306</v>
      </c>
      <c r="B630" s="1">
        <v>46010</v>
      </c>
      <c r="C630" t="s">
        <v>35</v>
      </c>
      <c r="D630" t="s">
        <v>36</v>
      </c>
      <c r="E630" t="s">
        <v>51</v>
      </c>
      <c r="F630" t="s">
        <v>31</v>
      </c>
      <c r="G630" t="s">
        <v>24</v>
      </c>
      <c r="H630" t="s">
        <v>32</v>
      </c>
      <c r="I630" t="s">
        <v>1307</v>
      </c>
      <c r="J630">
        <v>2</v>
      </c>
      <c r="K630" s="2">
        <v>3294.08</v>
      </c>
      <c r="L630">
        <v>10</v>
      </c>
      <c r="M630" s="2">
        <v>5929.34</v>
      </c>
      <c r="N630" s="2">
        <v>4268.84</v>
      </c>
      <c r="O630" s="2">
        <v>1660.5</v>
      </c>
      <c r="P630" t="s">
        <v>48</v>
      </c>
      <c r="Q630" t="s">
        <v>61</v>
      </c>
      <c r="R630" t="str">
        <f>TEXT(Table1[[#This Row],[Order Date]],"mmmm")</f>
        <v>December</v>
      </c>
      <c r="S630">
        <f>YEAR(Table1[[#This Row],[Order Date]])</f>
        <v>2025</v>
      </c>
    </row>
    <row r="631" spans="1:19" x14ac:dyDescent="0.3">
      <c r="A631" t="s">
        <v>1308</v>
      </c>
      <c r="B631" s="1">
        <v>45834</v>
      </c>
      <c r="C631" t="s">
        <v>70</v>
      </c>
      <c r="D631" t="s">
        <v>71</v>
      </c>
      <c r="E631" t="s">
        <v>30</v>
      </c>
      <c r="F631" t="s">
        <v>23</v>
      </c>
      <c r="G631" t="s">
        <v>24</v>
      </c>
      <c r="H631" t="s">
        <v>25</v>
      </c>
      <c r="I631" t="s">
        <v>1309</v>
      </c>
      <c r="J631">
        <v>8</v>
      </c>
      <c r="K631" s="2">
        <v>2422.38</v>
      </c>
      <c r="L631">
        <v>20</v>
      </c>
      <c r="M631" s="2">
        <v>15503.23</v>
      </c>
      <c r="N631" s="2">
        <v>9918.43</v>
      </c>
      <c r="O631" s="2">
        <v>5584.8</v>
      </c>
      <c r="P631" t="s">
        <v>27</v>
      </c>
      <c r="Q631" t="s">
        <v>61</v>
      </c>
      <c r="R631" t="str">
        <f>TEXT(Table1[[#This Row],[Order Date]],"mmmm")</f>
        <v>June</v>
      </c>
      <c r="S631">
        <f>YEAR(Table1[[#This Row],[Order Date]])</f>
        <v>2025</v>
      </c>
    </row>
    <row r="632" spans="1:19" x14ac:dyDescent="0.3">
      <c r="A632" t="s">
        <v>1310</v>
      </c>
      <c r="B632" s="1">
        <v>45904</v>
      </c>
      <c r="C632" t="s">
        <v>70</v>
      </c>
      <c r="D632" t="s">
        <v>71</v>
      </c>
      <c r="E632" t="s">
        <v>170</v>
      </c>
      <c r="F632" t="s">
        <v>37</v>
      </c>
      <c r="G632" t="s">
        <v>45</v>
      </c>
      <c r="H632" t="s">
        <v>123</v>
      </c>
      <c r="I632" t="s">
        <v>1311</v>
      </c>
      <c r="J632">
        <v>10</v>
      </c>
      <c r="K632" s="2">
        <v>3747.69</v>
      </c>
      <c r="L632">
        <v>15</v>
      </c>
      <c r="M632" s="2">
        <v>31855.37</v>
      </c>
      <c r="N632" s="2">
        <v>22542.77</v>
      </c>
      <c r="O632" s="2">
        <v>9312.6</v>
      </c>
      <c r="P632" t="s">
        <v>27</v>
      </c>
      <c r="Q632" t="s">
        <v>42</v>
      </c>
      <c r="R632" t="str">
        <f>TEXT(Table1[[#This Row],[Order Date]],"mmmm")</f>
        <v>September</v>
      </c>
      <c r="S632">
        <f>YEAR(Table1[[#This Row],[Order Date]])</f>
        <v>2025</v>
      </c>
    </row>
    <row r="633" spans="1:19" x14ac:dyDescent="0.3">
      <c r="A633" t="s">
        <v>1312</v>
      </c>
      <c r="B633" s="1">
        <v>45810</v>
      </c>
      <c r="C633" t="s">
        <v>70</v>
      </c>
      <c r="D633" t="s">
        <v>75</v>
      </c>
      <c r="E633" t="s">
        <v>170</v>
      </c>
      <c r="F633" t="s">
        <v>23</v>
      </c>
      <c r="G633" t="s">
        <v>38</v>
      </c>
      <c r="H633" t="s">
        <v>91</v>
      </c>
      <c r="I633" t="s">
        <v>1313</v>
      </c>
      <c r="J633">
        <v>9</v>
      </c>
      <c r="K633" s="2">
        <v>2807.73</v>
      </c>
      <c r="L633">
        <v>15</v>
      </c>
      <c r="M633" s="2">
        <v>21479.13</v>
      </c>
      <c r="N633" s="2">
        <v>12461.2</v>
      </c>
      <c r="O633" s="2">
        <v>9017.93</v>
      </c>
      <c r="P633" t="s">
        <v>27</v>
      </c>
      <c r="Q633" t="s">
        <v>42</v>
      </c>
      <c r="R633" t="str">
        <f>TEXT(Table1[[#This Row],[Order Date]],"mmmm")</f>
        <v>June</v>
      </c>
      <c r="S633">
        <f>YEAR(Table1[[#This Row],[Order Date]])</f>
        <v>2025</v>
      </c>
    </row>
    <row r="634" spans="1:19" x14ac:dyDescent="0.3">
      <c r="A634" t="s">
        <v>1314</v>
      </c>
      <c r="B634" s="1">
        <v>46165</v>
      </c>
      <c r="C634" t="s">
        <v>20</v>
      </c>
      <c r="D634" t="s">
        <v>21</v>
      </c>
      <c r="E634" t="s">
        <v>30</v>
      </c>
      <c r="F634" t="s">
        <v>31</v>
      </c>
      <c r="G634" t="s">
        <v>45</v>
      </c>
      <c r="H634" t="s">
        <v>67</v>
      </c>
      <c r="I634" t="s">
        <v>1315</v>
      </c>
      <c r="J634">
        <v>5</v>
      </c>
      <c r="K634" s="2">
        <v>4207.33</v>
      </c>
      <c r="L634">
        <v>0</v>
      </c>
      <c r="M634" s="2">
        <v>21036.65</v>
      </c>
      <c r="N634" s="2">
        <v>15938.1</v>
      </c>
      <c r="O634" s="2">
        <v>5098.55</v>
      </c>
      <c r="P634" t="s">
        <v>41</v>
      </c>
      <c r="Q634" t="s">
        <v>49</v>
      </c>
      <c r="R634" t="str">
        <f>TEXT(Table1[[#This Row],[Order Date]],"mmmm")</f>
        <v>May</v>
      </c>
      <c r="S634">
        <f>YEAR(Table1[[#This Row],[Order Date]])</f>
        <v>2026</v>
      </c>
    </row>
    <row r="635" spans="1:19" x14ac:dyDescent="0.3">
      <c r="A635" t="s">
        <v>1316</v>
      </c>
      <c r="B635" s="1">
        <v>45777</v>
      </c>
      <c r="C635" t="s">
        <v>86</v>
      </c>
      <c r="D635" t="s">
        <v>90</v>
      </c>
      <c r="E635" t="s">
        <v>22</v>
      </c>
      <c r="F635" t="s">
        <v>23</v>
      </c>
      <c r="G635" t="s">
        <v>38</v>
      </c>
      <c r="H635" t="s">
        <v>72</v>
      </c>
      <c r="I635" t="s">
        <v>1317</v>
      </c>
      <c r="J635">
        <v>1</v>
      </c>
      <c r="K635" s="2">
        <v>1645</v>
      </c>
      <c r="L635">
        <v>0</v>
      </c>
      <c r="M635" s="2">
        <v>1645</v>
      </c>
      <c r="N635" s="2">
        <v>1263.23</v>
      </c>
      <c r="O635" s="2">
        <v>381.77</v>
      </c>
      <c r="P635" t="s">
        <v>48</v>
      </c>
      <c r="Q635" t="s">
        <v>61</v>
      </c>
      <c r="R635" t="str">
        <f>TEXT(Table1[[#This Row],[Order Date]],"mmmm")</f>
        <v>April</v>
      </c>
      <c r="S635">
        <f>YEAR(Table1[[#This Row],[Order Date]])</f>
        <v>2025</v>
      </c>
    </row>
    <row r="636" spans="1:19" x14ac:dyDescent="0.3">
      <c r="A636" t="s">
        <v>1318</v>
      </c>
      <c r="B636" s="1">
        <v>46077</v>
      </c>
      <c r="C636" t="s">
        <v>35</v>
      </c>
      <c r="D636" t="s">
        <v>36</v>
      </c>
      <c r="E636" t="s">
        <v>51</v>
      </c>
      <c r="F636" t="s">
        <v>23</v>
      </c>
      <c r="G636" t="s">
        <v>24</v>
      </c>
      <c r="H636" t="s">
        <v>56</v>
      </c>
      <c r="I636" t="s">
        <v>1319</v>
      </c>
      <c r="J636">
        <v>2</v>
      </c>
      <c r="K636" s="2">
        <v>1670.47</v>
      </c>
      <c r="L636">
        <v>0</v>
      </c>
      <c r="M636" s="2">
        <v>3340.94</v>
      </c>
      <c r="N636" s="2">
        <v>2258.91</v>
      </c>
      <c r="O636" s="2">
        <v>1082.03</v>
      </c>
      <c r="P636" t="s">
        <v>48</v>
      </c>
      <c r="Q636" t="s">
        <v>42</v>
      </c>
      <c r="R636" t="str">
        <f>TEXT(Table1[[#This Row],[Order Date]],"mmmm")</f>
        <v>February</v>
      </c>
      <c r="S636">
        <f>YEAR(Table1[[#This Row],[Order Date]])</f>
        <v>2026</v>
      </c>
    </row>
    <row r="637" spans="1:19" x14ac:dyDescent="0.3">
      <c r="A637" t="s">
        <v>1320</v>
      </c>
      <c r="B637" s="1">
        <v>45723</v>
      </c>
      <c r="C637" t="s">
        <v>35</v>
      </c>
      <c r="D637" t="s">
        <v>59</v>
      </c>
      <c r="E637" t="s">
        <v>22</v>
      </c>
      <c r="F637" t="s">
        <v>37</v>
      </c>
      <c r="G637" t="s">
        <v>38</v>
      </c>
      <c r="H637" t="s">
        <v>106</v>
      </c>
      <c r="I637" t="s">
        <v>1321</v>
      </c>
      <c r="J637">
        <v>13</v>
      </c>
      <c r="K637" s="2">
        <v>695.78</v>
      </c>
      <c r="L637">
        <v>10</v>
      </c>
      <c r="M637" s="2">
        <v>8140.63</v>
      </c>
      <c r="N637" s="2">
        <v>6287.12</v>
      </c>
      <c r="O637" s="2">
        <v>1853.51</v>
      </c>
      <c r="P637" t="s">
        <v>48</v>
      </c>
      <c r="Q637" t="s">
        <v>61</v>
      </c>
      <c r="R637" t="str">
        <f>TEXT(Table1[[#This Row],[Order Date]],"mmmm")</f>
        <v>March</v>
      </c>
      <c r="S637">
        <f>YEAR(Table1[[#This Row],[Order Date]])</f>
        <v>2025</v>
      </c>
    </row>
    <row r="638" spans="1:19" x14ac:dyDescent="0.3">
      <c r="A638" t="s">
        <v>1322</v>
      </c>
      <c r="B638" s="1">
        <v>46181</v>
      </c>
      <c r="C638" t="s">
        <v>20</v>
      </c>
      <c r="D638" t="s">
        <v>21</v>
      </c>
      <c r="E638" t="s">
        <v>120</v>
      </c>
      <c r="F638" t="s">
        <v>23</v>
      </c>
      <c r="G638" t="s">
        <v>45</v>
      </c>
      <c r="H638" t="s">
        <v>52</v>
      </c>
      <c r="I638" t="s">
        <v>1323</v>
      </c>
      <c r="J638">
        <v>12</v>
      </c>
      <c r="K638" s="2">
        <v>3983.85</v>
      </c>
      <c r="L638">
        <v>15</v>
      </c>
      <c r="M638" s="2">
        <v>40635.269999999997</v>
      </c>
      <c r="N638" s="2">
        <v>28733.82</v>
      </c>
      <c r="O638" s="2">
        <v>11901.45</v>
      </c>
      <c r="P638" t="s">
        <v>41</v>
      </c>
      <c r="Q638" t="s">
        <v>28</v>
      </c>
      <c r="R638" t="str">
        <f>TEXT(Table1[[#This Row],[Order Date]],"mmmm")</f>
        <v>June</v>
      </c>
      <c r="S638">
        <f>YEAR(Table1[[#This Row],[Order Date]])</f>
        <v>2026</v>
      </c>
    </row>
    <row r="639" spans="1:19" x14ac:dyDescent="0.3">
      <c r="A639" t="s">
        <v>1324</v>
      </c>
      <c r="B639" s="1">
        <v>46155</v>
      </c>
      <c r="C639" t="s">
        <v>20</v>
      </c>
      <c r="D639" t="s">
        <v>55</v>
      </c>
      <c r="E639" t="s">
        <v>170</v>
      </c>
      <c r="F639" t="s">
        <v>37</v>
      </c>
      <c r="G639" t="s">
        <v>45</v>
      </c>
      <c r="H639" t="s">
        <v>123</v>
      </c>
      <c r="I639" t="s">
        <v>1325</v>
      </c>
      <c r="J639">
        <v>1</v>
      </c>
      <c r="K639" s="2">
        <v>646.11</v>
      </c>
      <c r="L639">
        <v>0</v>
      </c>
      <c r="M639" s="2">
        <v>646.11</v>
      </c>
      <c r="N639" s="2">
        <v>434.49</v>
      </c>
      <c r="O639" s="2">
        <v>211.62</v>
      </c>
      <c r="P639" t="s">
        <v>48</v>
      </c>
      <c r="Q639" t="s">
        <v>42</v>
      </c>
      <c r="R639" t="str">
        <f>TEXT(Table1[[#This Row],[Order Date]],"mmmm")</f>
        <v>May</v>
      </c>
      <c r="S639">
        <f>YEAR(Table1[[#This Row],[Order Date]])</f>
        <v>2026</v>
      </c>
    </row>
    <row r="640" spans="1:19" x14ac:dyDescent="0.3">
      <c r="A640" t="s">
        <v>1326</v>
      </c>
      <c r="B640" s="1">
        <v>45993</v>
      </c>
      <c r="C640" t="s">
        <v>35</v>
      </c>
      <c r="D640" t="s">
        <v>36</v>
      </c>
      <c r="E640" t="s">
        <v>22</v>
      </c>
      <c r="F640" t="s">
        <v>31</v>
      </c>
      <c r="G640" t="s">
        <v>38</v>
      </c>
      <c r="H640" t="s">
        <v>63</v>
      </c>
      <c r="I640" t="s">
        <v>1327</v>
      </c>
      <c r="J640">
        <v>3</v>
      </c>
      <c r="K640" s="2">
        <v>2679.82</v>
      </c>
      <c r="L640">
        <v>0</v>
      </c>
      <c r="M640" s="2">
        <v>8039.46</v>
      </c>
      <c r="N640" s="2">
        <v>5922.13</v>
      </c>
      <c r="O640" s="2">
        <v>2117.33</v>
      </c>
      <c r="P640" t="s">
        <v>41</v>
      </c>
      <c r="Q640" t="s">
        <v>28</v>
      </c>
      <c r="R640" t="str">
        <f>TEXT(Table1[[#This Row],[Order Date]],"mmmm")</f>
        <v>December</v>
      </c>
      <c r="S640">
        <f>YEAR(Table1[[#This Row],[Order Date]])</f>
        <v>2025</v>
      </c>
    </row>
    <row r="641" spans="1:19" x14ac:dyDescent="0.3">
      <c r="A641" t="s">
        <v>1328</v>
      </c>
      <c r="B641" s="1">
        <v>46109</v>
      </c>
      <c r="C641" t="s">
        <v>20</v>
      </c>
      <c r="D641" t="s">
        <v>21</v>
      </c>
      <c r="E641" t="s">
        <v>113</v>
      </c>
      <c r="F641" t="s">
        <v>37</v>
      </c>
      <c r="G641" t="s">
        <v>45</v>
      </c>
      <c r="H641" t="s">
        <v>46</v>
      </c>
      <c r="I641" t="s">
        <v>1329</v>
      </c>
      <c r="J641">
        <v>5</v>
      </c>
      <c r="K641" s="2">
        <v>3288</v>
      </c>
      <c r="L641">
        <v>0</v>
      </c>
      <c r="M641" s="2">
        <v>16440</v>
      </c>
      <c r="N641" s="2">
        <v>11696.84</v>
      </c>
      <c r="O641" s="2">
        <v>4743.16</v>
      </c>
      <c r="P641" t="s">
        <v>48</v>
      </c>
      <c r="Q641" t="s">
        <v>28</v>
      </c>
      <c r="R641" t="str">
        <f>TEXT(Table1[[#This Row],[Order Date]],"mmmm")</f>
        <v>March</v>
      </c>
      <c r="S641">
        <f>YEAR(Table1[[#This Row],[Order Date]])</f>
        <v>2026</v>
      </c>
    </row>
    <row r="642" spans="1:19" x14ac:dyDescent="0.3">
      <c r="A642" t="s">
        <v>1330</v>
      </c>
      <c r="B642" s="1">
        <v>45678</v>
      </c>
      <c r="C642" t="s">
        <v>86</v>
      </c>
      <c r="D642" t="s">
        <v>87</v>
      </c>
      <c r="E642" t="s">
        <v>170</v>
      </c>
      <c r="F642" t="s">
        <v>37</v>
      </c>
      <c r="G642" t="s">
        <v>24</v>
      </c>
      <c r="H642" t="s">
        <v>56</v>
      </c>
      <c r="I642" t="s">
        <v>1331</v>
      </c>
      <c r="J642">
        <v>1</v>
      </c>
      <c r="K642" s="2">
        <v>912.68</v>
      </c>
      <c r="L642">
        <v>15</v>
      </c>
      <c r="M642" s="2">
        <v>775.78</v>
      </c>
      <c r="N642" s="2">
        <v>577.49</v>
      </c>
      <c r="O642" s="2">
        <v>198.29</v>
      </c>
      <c r="P642" t="s">
        <v>41</v>
      </c>
      <c r="Q642" t="s">
        <v>61</v>
      </c>
      <c r="R642" t="str">
        <f>TEXT(Table1[[#This Row],[Order Date]],"mmmm")</f>
        <v>January</v>
      </c>
      <c r="S642">
        <f>YEAR(Table1[[#This Row],[Order Date]])</f>
        <v>2025</v>
      </c>
    </row>
    <row r="643" spans="1:19" x14ac:dyDescent="0.3">
      <c r="A643" t="s">
        <v>1332</v>
      </c>
      <c r="B643" s="1">
        <v>45917</v>
      </c>
      <c r="C643" t="s">
        <v>20</v>
      </c>
      <c r="D643" t="s">
        <v>21</v>
      </c>
      <c r="E643" t="s">
        <v>170</v>
      </c>
      <c r="F643" t="s">
        <v>31</v>
      </c>
      <c r="G643" t="s">
        <v>38</v>
      </c>
      <c r="H643" t="s">
        <v>91</v>
      </c>
      <c r="I643" t="s">
        <v>1333</v>
      </c>
      <c r="J643">
        <v>9</v>
      </c>
      <c r="K643" s="2">
        <v>4010.43</v>
      </c>
      <c r="L643">
        <v>0</v>
      </c>
      <c r="M643" s="2">
        <v>36093.870000000003</v>
      </c>
      <c r="N643" s="2">
        <v>20465.04</v>
      </c>
      <c r="O643" s="2">
        <v>15628.83</v>
      </c>
      <c r="P643" t="s">
        <v>48</v>
      </c>
      <c r="Q643" t="s">
        <v>28</v>
      </c>
      <c r="R643" t="str">
        <f>TEXT(Table1[[#This Row],[Order Date]],"mmmm")</f>
        <v>September</v>
      </c>
      <c r="S643">
        <f>YEAR(Table1[[#This Row],[Order Date]])</f>
        <v>2025</v>
      </c>
    </row>
    <row r="644" spans="1:19" x14ac:dyDescent="0.3">
      <c r="A644" t="s">
        <v>1334</v>
      </c>
      <c r="B644" s="1">
        <v>45707</v>
      </c>
      <c r="C644" t="s">
        <v>70</v>
      </c>
      <c r="D644" t="s">
        <v>75</v>
      </c>
      <c r="E644" t="s">
        <v>44</v>
      </c>
      <c r="F644" t="s">
        <v>37</v>
      </c>
      <c r="G644" t="s">
        <v>24</v>
      </c>
      <c r="H644" t="s">
        <v>134</v>
      </c>
      <c r="I644" t="s">
        <v>1335</v>
      </c>
      <c r="J644">
        <v>8</v>
      </c>
      <c r="K644" s="2">
        <v>2931.3</v>
      </c>
      <c r="L644">
        <v>20</v>
      </c>
      <c r="M644" s="2">
        <v>18760.32</v>
      </c>
      <c r="N644" s="2">
        <v>10625.15</v>
      </c>
      <c r="O644" s="2">
        <v>8135.17</v>
      </c>
      <c r="P644" t="s">
        <v>48</v>
      </c>
      <c r="Q644" t="s">
        <v>61</v>
      </c>
      <c r="R644" t="str">
        <f>TEXT(Table1[[#This Row],[Order Date]],"mmmm")</f>
        <v>February</v>
      </c>
      <c r="S644">
        <f>YEAR(Table1[[#This Row],[Order Date]])</f>
        <v>2025</v>
      </c>
    </row>
    <row r="645" spans="1:19" x14ac:dyDescent="0.3">
      <c r="A645" t="s">
        <v>1336</v>
      </c>
      <c r="B645" s="1">
        <v>46187</v>
      </c>
      <c r="C645" t="s">
        <v>70</v>
      </c>
      <c r="D645" t="s">
        <v>71</v>
      </c>
      <c r="E645" t="s">
        <v>44</v>
      </c>
      <c r="F645" t="s">
        <v>37</v>
      </c>
      <c r="G645" t="s">
        <v>24</v>
      </c>
      <c r="H645" t="s">
        <v>25</v>
      </c>
      <c r="I645" t="s">
        <v>1337</v>
      </c>
      <c r="J645">
        <v>10</v>
      </c>
      <c r="K645" s="2">
        <v>4774.8900000000003</v>
      </c>
      <c r="L645">
        <v>20</v>
      </c>
      <c r="M645" s="2">
        <v>38199.120000000003</v>
      </c>
      <c r="N645" s="2">
        <v>24113.279999999999</v>
      </c>
      <c r="O645" s="2">
        <v>14085.84</v>
      </c>
      <c r="P645" t="s">
        <v>48</v>
      </c>
      <c r="Q645" t="s">
        <v>49</v>
      </c>
      <c r="R645" t="str">
        <f>TEXT(Table1[[#This Row],[Order Date]],"mmmm")</f>
        <v>June</v>
      </c>
      <c r="S645">
        <f>YEAR(Table1[[#This Row],[Order Date]])</f>
        <v>2026</v>
      </c>
    </row>
    <row r="646" spans="1:19" x14ac:dyDescent="0.3">
      <c r="A646" t="s">
        <v>1338</v>
      </c>
      <c r="B646" s="1">
        <v>45901</v>
      </c>
      <c r="C646" t="s">
        <v>35</v>
      </c>
      <c r="D646" t="s">
        <v>59</v>
      </c>
      <c r="E646" t="s">
        <v>113</v>
      </c>
      <c r="F646" t="s">
        <v>31</v>
      </c>
      <c r="G646" t="s">
        <v>38</v>
      </c>
      <c r="H646" t="s">
        <v>39</v>
      </c>
      <c r="I646" t="s">
        <v>1339</v>
      </c>
      <c r="J646">
        <v>12</v>
      </c>
      <c r="K646" s="2">
        <v>1047.17</v>
      </c>
      <c r="L646">
        <v>0</v>
      </c>
      <c r="M646" s="2">
        <v>12566.04</v>
      </c>
      <c r="N646" s="2">
        <v>9971.75</v>
      </c>
      <c r="O646" s="2">
        <v>2594.29</v>
      </c>
      <c r="P646" t="s">
        <v>27</v>
      </c>
      <c r="Q646" t="s">
        <v>49</v>
      </c>
      <c r="R646" t="str">
        <f>TEXT(Table1[[#This Row],[Order Date]],"mmmm")</f>
        <v>September</v>
      </c>
      <c r="S646">
        <f>YEAR(Table1[[#This Row],[Order Date]])</f>
        <v>2025</v>
      </c>
    </row>
    <row r="647" spans="1:19" x14ac:dyDescent="0.3">
      <c r="A647" t="s">
        <v>1340</v>
      </c>
      <c r="B647" s="1">
        <v>45724</v>
      </c>
      <c r="C647" t="s">
        <v>35</v>
      </c>
      <c r="D647" t="s">
        <v>36</v>
      </c>
      <c r="E647" t="s">
        <v>120</v>
      </c>
      <c r="F647" t="s">
        <v>23</v>
      </c>
      <c r="G647" t="s">
        <v>45</v>
      </c>
      <c r="H647" t="s">
        <v>159</v>
      </c>
      <c r="I647" t="s">
        <v>1341</v>
      </c>
      <c r="J647">
        <v>11</v>
      </c>
      <c r="K647" s="2">
        <v>294.62</v>
      </c>
      <c r="L647">
        <v>15</v>
      </c>
      <c r="M647" s="2">
        <v>2754.7</v>
      </c>
      <c r="N647" s="2">
        <v>2209.29</v>
      </c>
      <c r="O647" s="2">
        <v>545.41</v>
      </c>
      <c r="P647" t="s">
        <v>48</v>
      </c>
      <c r="Q647" t="s">
        <v>42</v>
      </c>
      <c r="R647" t="str">
        <f>TEXT(Table1[[#This Row],[Order Date]],"mmmm")</f>
        <v>March</v>
      </c>
      <c r="S647">
        <f>YEAR(Table1[[#This Row],[Order Date]])</f>
        <v>2025</v>
      </c>
    </row>
    <row r="648" spans="1:19" x14ac:dyDescent="0.3">
      <c r="A648" t="s">
        <v>1342</v>
      </c>
      <c r="B648" s="1">
        <v>46036</v>
      </c>
      <c r="C648" t="s">
        <v>20</v>
      </c>
      <c r="D648" t="s">
        <v>21</v>
      </c>
      <c r="E648" t="s">
        <v>51</v>
      </c>
      <c r="F648" t="s">
        <v>31</v>
      </c>
      <c r="G648" t="s">
        <v>38</v>
      </c>
      <c r="H648" t="s">
        <v>91</v>
      </c>
      <c r="I648" t="s">
        <v>1343</v>
      </c>
      <c r="J648">
        <v>14</v>
      </c>
      <c r="K648" s="2">
        <v>2603.02</v>
      </c>
      <c r="L648">
        <v>0</v>
      </c>
      <c r="M648" s="2">
        <v>36442.28</v>
      </c>
      <c r="N648" s="2">
        <v>20129.14</v>
      </c>
      <c r="O648" s="2">
        <v>16313.14</v>
      </c>
      <c r="P648" t="s">
        <v>48</v>
      </c>
      <c r="Q648" t="s">
        <v>28</v>
      </c>
      <c r="R648" t="str">
        <f>TEXT(Table1[[#This Row],[Order Date]],"mmmm")</f>
        <v>January</v>
      </c>
      <c r="S648">
        <f>YEAR(Table1[[#This Row],[Order Date]])</f>
        <v>2026</v>
      </c>
    </row>
    <row r="649" spans="1:19" x14ac:dyDescent="0.3">
      <c r="A649" t="s">
        <v>1344</v>
      </c>
      <c r="B649" s="1">
        <v>46136</v>
      </c>
      <c r="C649" t="s">
        <v>86</v>
      </c>
      <c r="D649" t="s">
        <v>87</v>
      </c>
      <c r="E649" t="s">
        <v>22</v>
      </c>
      <c r="F649" t="s">
        <v>31</v>
      </c>
      <c r="G649" t="s">
        <v>45</v>
      </c>
      <c r="H649" t="s">
        <v>52</v>
      </c>
      <c r="I649" t="s">
        <v>1345</v>
      </c>
      <c r="J649">
        <v>8</v>
      </c>
      <c r="K649" s="2">
        <v>4738.54</v>
      </c>
      <c r="L649">
        <v>20</v>
      </c>
      <c r="M649" s="2">
        <v>30326.66</v>
      </c>
      <c r="N649" s="2">
        <v>24842.06</v>
      </c>
      <c r="O649" s="2">
        <v>5484.6</v>
      </c>
      <c r="P649" t="s">
        <v>27</v>
      </c>
      <c r="Q649" t="s">
        <v>61</v>
      </c>
      <c r="R649" t="str">
        <f>TEXT(Table1[[#This Row],[Order Date]],"mmmm")</f>
        <v>April</v>
      </c>
      <c r="S649">
        <f>YEAR(Table1[[#This Row],[Order Date]])</f>
        <v>2026</v>
      </c>
    </row>
    <row r="650" spans="1:19" x14ac:dyDescent="0.3">
      <c r="A650" t="s">
        <v>1346</v>
      </c>
      <c r="B650" s="1">
        <v>46178</v>
      </c>
      <c r="C650" t="s">
        <v>35</v>
      </c>
      <c r="D650" t="s">
        <v>36</v>
      </c>
      <c r="E650" t="s">
        <v>66</v>
      </c>
      <c r="F650" t="s">
        <v>31</v>
      </c>
      <c r="G650" t="s">
        <v>45</v>
      </c>
      <c r="H650" t="s">
        <v>52</v>
      </c>
      <c r="I650" t="s">
        <v>1347</v>
      </c>
      <c r="J650">
        <v>2</v>
      </c>
      <c r="K650" s="2">
        <v>824.85</v>
      </c>
      <c r="L650">
        <v>15</v>
      </c>
      <c r="M650" s="2">
        <v>1402.24</v>
      </c>
      <c r="N650" s="2">
        <v>1090.01</v>
      </c>
      <c r="O650" s="2">
        <v>312.23</v>
      </c>
      <c r="P650" t="s">
        <v>27</v>
      </c>
      <c r="Q650" t="s">
        <v>49</v>
      </c>
      <c r="R650" t="str">
        <f>TEXT(Table1[[#This Row],[Order Date]],"mmmm")</f>
        <v>June</v>
      </c>
      <c r="S650">
        <f>YEAR(Table1[[#This Row],[Order Date]])</f>
        <v>2026</v>
      </c>
    </row>
    <row r="651" spans="1:19" x14ac:dyDescent="0.3">
      <c r="A651" t="s">
        <v>1348</v>
      </c>
      <c r="B651" s="1">
        <v>46011</v>
      </c>
      <c r="C651" t="s">
        <v>86</v>
      </c>
      <c r="D651" t="s">
        <v>87</v>
      </c>
      <c r="E651" t="s">
        <v>120</v>
      </c>
      <c r="F651" t="s">
        <v>23</v>
      </c>
      <c r="G651" t="s">
        <v>38</v>
      </c>
      <c r="H651" t="s">
        <v>39</v>
      </c>
      <c r="I651" t="s">
        <v>1349</v>
      </c>
      <c r="J651">
        <v>9</v>
      </c>
      <c r="K651" s="2">
        <v>1572.12</v>
      </c>
      <c r="L651">
        <v>15</v>
      </c>
      <c r="M651" s="2">
        <v>12026.72</v>
      </c>
      <c r="N651" s="2">
        <v>8552.5400000000009</v>
      </c>
      <c r="O651" s="2">
        <v>3474.18</v>
      </c>
      <c r="P651" t="s">
        <v>41</v>
      </c>
      <c r="Q651" t="s">
        <v>28</v>
      </c>
      <c r="R651" t="str">
        <f>TEXT(Table1[[#This Row],[Order Date]],"mmmm")</f>
        <v>December</v>
      </c>
      <c r="S651">
        <f>YEAR(Table1[[#This Row],[Order Date]])</f>
        <v>2025</v>
      </c>
    </row>
    <row r="652" spans="1:19" x14ac:dyDescent="0.3">
      <c r="A652" t="s">
        <v>1350</v>
      </c>
      <c r="B652" s="1">
        <v>46113</v>
      </c>
      <c r="C652" t="s">
        <v>86</v>
      </c>
      <c r="D652" t="s">
        <v>87</v>
      </c>
      <c r="E652" t="s">
        <v>113</v>
      </c>
      <c r="F652" t="s">
        <v>37</v>
      </c>
      <c r="G652" t="s">
        <v>38</v>
      </c>
      <c r="H652" t="s">
        <v>72</v>
      </c>
      <c r="I652" t="s">
        <v>1351</v>
      </c>
      <c r="J652">
        <v>15</v>
      </c>
      <c r="K652" s="2">
        <v>4765.1899999999996</v>
      </c>
      <c r="L652">
        <v>5</v>
      </c>
      <c r="M652" s="2">
        <v>67903.960000000006</v>
      </c>
      <c r="N652" s="2">
        <v>43344.65</v>
      </c>
      <c r="O652" s="2">
        <v>24559.31</v>
      </c>
      <c r="P652" t="s">
        <v>41</v>
      </c>
      <c r="Q652" t="s">
        <v>61</v>
      </c>
      <c r="R652" t="str">
        <f>TEXT(Table1[[#This Row],[Order Date]],"mmmm")</f>
        <v>April</v>
      </c>
      <c r="S652">
        <f>YEAR(Table1[[#This Row],[Order Date]])</f>
        <v>2026</v>
      </c>
    </row>
    <row r="653" spans="1:19" x14ac:dyDescent="0.3">
      <c r="A653" t="s">
        <v>1352</v>
      </c>
      <c r="B653" s="1">
        <v>45933</v>
      </c>
      <c r="C653" t="s">
        <v>86</v>
      </c>
      <c r="D653" t="s">
        <v>87</v>
      </c>
      <c r="E653" t="s">
        <v>44</v>
      </c>
      <c r="F653" t="s">
        <v>31</v>
      </c>
      <c r="G653" t="s">
        <v>38</v>
      </c>
      <c r="H653" t="s">
        <v>39</v>
      </c>
      <c r="I653" t="s">
        <v>1353</v>
      </c>
      <c r="J653">
        <v>13</v>
      </c>
      <c r="K653" s="2">
        <v>2002.99</v>
      </c>
      <c r="L653">
        <v>15</v>
      </c>
      <c r="M653" s="2">
        <v>22133.040000000001</v>
      </c>
      <c r="N653" s="2">
        <v>17871.59</v>
      </c>
      <c r="O653" s="2">
        <v>4261.45</v>
      </c>
      <c r="P653" t="s">
        <v>48</v>
      </c>
      <c r="Q653" t="s">
        <v>28</v>
      </c>
      <c r="R653" t="str">
        <f>TEXT(Table1[[#This Row],[Order Date]],"mmmm")</f>
        <v>October</v>
      </c>
      <c r="S653">
        <f>YEAR(Table1[[#This Row],[Order Date]])</f>
        <v>2025</v>
      </c>
    </row>
    <row r="654" spans="1:19" x14ac:dyDescent="0.3">
      <c r="A654" t="s">
        <v>1354</v>
      </c>
      <c r="B654" s="1">
        <v>45721</v>
      </c>
      <c r="C654" t="s">
        <v>70</v>
      </c>
      <c r="D654" t="s">
        <v>75</v>
      </c>
      <c r="E654" t="s">
        <v>44</v>
      </c>
      <c r="F654" t="s">
        <v>23</v>
      </c>
      <c r="G654" t="s">
        <v>38</v>
      </c>
      <c r="H654" t="s">
        <v>39</v>
      </c>
      <c r="I654" t="s">
        <v>1355</v>
      </c>
      <c r="J654">
        <v>7</v>
      </c>
      <c r="K654" s="2">
        <v>4170.26</v>
      </c>
      <c r="L654">
        <v>0</v>
      </c>
      <c r="M654" s="2">
        <v>29191.82</v>
      </c>
      <c r="N654" s="2">
        <v>22953</v>
      </c>
      <c r="O654" s="2">
        <v>6238.82</v>
      </c>
      <c r="P654" t="s">
        <v>48</v>
      </c>
      <c r="Q654" t="s">
        <v>49</v>
      </c>
      <c r="R654" t="str">
        <f>TEXT(Table1[[#This Row],[Order Date]],"mmmm")</f>
        <v>March</v>
      </c>
      <c r="S654">
        <f>YEAR(Table1[[#This Row],[Order Date]])</f>
        <v>2025</v>
      </c>
    </row>
    <row r="655" spans="1:19" x14ac:dyDescent="0.3">
      <c r="A655" t="s">
        <v>1356</v>
      </c>
      <c r="B655" s="1">
        <v>45912</v>
      </c>
      <c r="C655" t="s">
        <v>20</v>
      </c>
      <c r="D655" t="s">
        <v>21</v>
      </c>
      <c r="E655" t="s">
        <v>120</v>
      </c>
      <c r="F655" t="s">
        <v>31</v>
      </c>
      <c r="G655" t="s">
        <v>24</v>
      </c>
      <c r="H655" t="s">
        <v>56</v>
      </c>
      <c r="I655" t="s">
        <v>1357</v>
      </c>
      <c r="J655">
        <v>14</v>
      </c>
      <c r="K655" s="2">
        <v>1138.8399999999999</v>
      </c>
      <c r="L655">
        <v>5</v>
      </c>
      <c r="M655" s="2">
        <v>15146.57</v>
      </c>
      <c r="N655" s="2">
        <v>10959.89</v>
      </c>
      <c r="O655" s="2">
        <v>4186.68</v>
      </c>
      <c r="P655" t="s">
        <v>48</v>
      </c>
      <c r="Q655" t="s">
        <v>49</v>
      </c>
      <c r="R655" t="str">
        <f>TEXT(Table1[[#This Row],[Order Date]],"mmmm")</f>
        <v>September</v>
      </c>
      <c r="S655">
        <f>YEAR(Table1[[#This Row],[Order Date]])</f>
        <v>2025</v>
      </c>
    </row>
    <row r="656" spans="1:19" x14ac:dyDescent="0.3">
      <c r="A656" t="s">
        <v>1358</v>
      </c>
      <c r="B656" s="1">
        <v>46065</v>
      </c>
      <c r="C656" t="s">
        <v>86</v>
      </c>
      <c r="D656" t="s">
        <v>90</v>
      </c>
      <c r="E656" t="s">
        <v>30</v>
      </c>
      <c r="F656" t="s">
        <v>37</v>
      </c>
      <c r="G656" t="s">
        <v>45</v>
      </c>
      <c r="H656" t="s">
        <v>123</v>
      </c>
      <c r="I656" t="s">
        <v>1359</v>
      </c>
      <c r="J656">
        <v>1</v>
      </c>
      <c r="K656" s="2">
        <v>917.69</v>
      </c>
      <c r="L656">
        <v>15</v>
      </c>
      <c r="M656" s="2">
        <v>780.04</v>
      </c>
      <c r="N656" s="2">
        <v>551.79</v>
      </c>
      <c r="O656" s="2">
        <v>228.25</v>
      </c>
      <c r="P656" t="s">
        <v>48</v>
      </c>
      <c r="Q656" t="s">
        <v>61</v>
      </c>
      <c r="R656" t="str">
        <f>TEXT(Table1[[#This Row],[Order Date]],"mmmm")</f>
        <v>February</v>
      </c>
      <c r="S656">
        <f>YEAR(Table1[[#This Row],[Order Date]])</f>
        <v>2026</v>
      </c>
    </row>
    <row r="657" spans="1:19" x14ac:dyDescent="0.3">
      <c r="A657" t="s">
        <v>1360</v>
      </c>
      <c r="B657" s="1">
        <v>45852</v>
      </c>
      <c r="C657" t="s">
        <v>35</v>
      </c>
      <c r="D657" t="s">
        <v>36</v>
      </c>
      <c r="E657" t="s">
        <v>22</v>
      </c>
      <c r="F657" t="s">
        <v>23</v>
      </c>
      <c r="G657" t="s">
        <v>38</v>
      </c>
      <c r="H657" t="s">
        <v>106</v>
      </c>
      <c r="I657" t="s">
        <v>1361</v>
      </c>
      <c r="J657">
        <v>3</v>
      </c>
      <c r="K657" s="2">
        <v>401.84</v>
      </c>
      <c r="L657">
        <v>5</v>
      </c>
      <c r="M657" s="2">
        <v>1145.24</v>
      </c>
      <c r="N657" s="2">
        <v>712.51</v>
      </c>
      <c r="O657" s="2">
        <v>432.73</v>
      </c>
      <c r="P657" t="s">
        <v>48</v>
      </c>
      <c r="Q657" t="s">
        <v>42</v>
      </c>
      <c r="R657" t="str">
        <f>TEXT(Table1[[#This Row],[Order Date]],"mmmm")</f>
        <v>July</v>
      </c>
      <c r="S657">
        <f>YEAR(Table1[[#This Row],[Order Date]])</f>
        <v>2025</v>
      </c>
    </row>
    <row r="658" spans="1:19" x14ac:dyDescent="0.3">
      <c r="A658" t="s">
        <v>1362</v>
      </c>
      <c r="B658" s="1">
        <v>45813</v>
      </c>
      <c r="C658" t="s">
        <v>70</v>
      </c>
      <c r="D658" t="s">
        <v>71</v>
      </c>
      <c r="E658" t="s">
        <v>170</v>
      </c>
      <c r="F658" t="s">
        <v>31</v>
      </c>
      <c r="G658" t="s">
        <v>24</v>
      </c>
      <c r="H658" t="s">
        <v>56</v>
      </c>
      <c r="I658" t="s">
        <v>1363</v>
      </c>
      <c r="J658">
        <v>15</v>
      </c>
      <c r="K658" s="2">
        <v>2357.0700000000002</v>
      </c>
      <c r="L658">
        <v>20</v>
      </c>
      <c r="M658" s="2">
        <v>28284.84</v>
      </c>
      <c r="N658" s="2">
        <v>20148.3</v>
      </c>
      <c r="O658" s="2">
        <v>8136.54</v>
      </c>
      <c r="P658" t="s">
        <v>27</v>
      </c>
      <c r="Q658" t="s">
        <v>61</v>
      </c>
      <c r="R658" t="str">
        <f>TEXT(Table1[[#This Row],[Order Date]],"mmmm")</f>
        <v>June</v>
      </c>
      <c r="S658">
        <f>YEAR(Table1[[#This Row],[Order Date]])</f>
        <v>2025</v>
      </c>
    </row>
    <row r="659" spans="1:19" x14ac:dyDescent="0.3">
      <c r="A659" t="s">
        <v>1364</v>
      </c>
      <c r="B659" s="1">
        <v>45924</v>
      </c>
      <c r="C659" t="s">
        <v>86</v>
      </c>
      <c r="D659" t="s">
        <v>87</v>
      </c>
      <c r="E659" t="s">
        <v>66</v>
      </c>
      <c r="F659" t="s">
        <v>23</v>
      </c>
      <c r="G659" t="s">
        <v>24</v>
      </c>
      <c r="H659" t="s">
        <v>32</v>
      </c>
      <c r="I659" t="s">
        <v>1365</v>
      </c>
      <c r="J659">
        <v>14</v>
      </c>
      <c r="K659" s="2">
        <v>4137.5600000000004</v>
      </c>
      <c r="L659">
        <v>10</v>
      </c>
      <c r="M659" s="2">
        <v>52133.26</v>
      </c>
      <c r="N659" s="2">
        <v>41917.29</v>
      </c>
      <c r="O659" s="2">
        <v>10215.969999999999</v>
      </c>
      <c r="P659" t="s">
        <v>41</v>
      </c>
      <c r="Q659" t="s">
        <v>61</v>
      </c>
      <c r="R659" t="str">
        <f>TEXT(Table1[[#This Row],[Order Date]],"mmmm")</f>
        <v>September</v>
      </c>
      <c r="S659">
        <f>YEAR(Table1[[#This Row],[Order Date]])</f>
        <v>2025</v>
      </c>
    </row>
    <row r="660" spans="1:19" x14ac:dyDescent="0.3">
      <c r="A660" t="s">
        <v>1366</v>
      </c>
      <c r="B660" s="1">
        <v>46129</v>
      </c>
      <c r="C660" t="s">
        <v>86</v>
      </c>
      <c r="D660" t="s">
        <v>87</v>
      </c>
      <c r="E660" t="s">
        <v>30</v>
      </c>
      <c r="F660" t="s">
        <v>37</v>
      </c>
      <c r="G660" t="s">
        <v>38</v>
      </c>
      <c r="H660" t="s">
        <v>63</v>
      </c>
      <c r="I660" t="s">
        <v>1367</v>
      </c>
      <c r="J660">
        <v>13</v>
      </c>
      <c r="K660" s="2">
        <v>2125.25</v>
      </c>
      <c r="L660">
        <v>10</v>
      </c>
      <c r="M660" s="2">
        <v>24865.42</v>
      </c>
      <c r="N660" s="2">
        <v>14609.76</v>
      </c>
      <c r="O660" s="2">
        <v>10255.66</v>
      </c>
      <c r="P660" t="s">
        <v>27</v>
      </c>
      <c r="Q660" t="s">
        <v>28</v>
      </c>
      <c r="R660" t="str">
        <f>TEXT(Table1[[#This Row],[Order Date]],"mmmm")</f>
        <v>April</v>
      </c>
      <c r="S660">
        <f>YEAR(Table1[[#This Row],[Order Date]])</f>
        <v>2026</v>
      </c>
    </row>
    <row r="661" spans="1:19" x14ac:dyDescent="0.3">
      <c r="A661" t="s">
        <v>1368</v>
      </c>
      <c r="B661" s="1">
        <v>46022</v>
      </c>
      <c r="C661" t="s">
        <v>86</v>
      </c>
      <c r="D661" t="s">
        <v>90</v>
      </c>
      <c r="E661" t="s">
        <v>30</v>
      </c>
      <c r="F661" t="s">
        <v>23</v>
      </c>
      <c r="G661" t="s">
        <v>45</v>
      </c>
      <c r="H661" t="s">
        <v>159</v>
      </c>
      <c r="I661" t="s">
        <v>1369</v>
      </c>
      <c r="J661">
        <v>10</v>
      </c>
      <c r="K661" s="2">
        <v>4225.59</v>
      </c>
      <c r="L661">
        <v>15</v>
      </c>
      <c r="M661" s="2">
        <v>35917.51</v>
      </c>
      <c r="N661" s="2">
        <v>26302.5</v>
      </c>
      <c r="O661" s="2">
        <v>9615.01</v>
      </c>
      <c r="P661" t="s">
        <v>41</v>
      </c>
      <c r="Q661" t="s">
        <v>49</v>
      </c>
      <c r="R661" t="str">
        <f>TEXT(Table1[[#This Row],[Order Date]],"mmmm")</f>
        <v>December</v>
      </c>
      <c r="S661">
        <f>YEAR(Table1[[#This Row],[Order Date]])</f>
        <v>2025</v>
      </c>
    </row>
    <row r="662" spans="1:19" x14ac:dyDescent="0.3">
      <c r="A662" t="s">
        <v>1370</v>
      </c>
      <c r="B662" s="1">
        <v>46164</v>
      </c>
      <c r="C662" t="s">
        <v>20</v>
      </c>
      <c r="D662" t="s">
        <v>55</v>
      </c>
      <c r="E662" t="s">
        <v>120</v>
      </c>
      <c r="F662" t="s">
        <v>23</v>
      </c>
      <c r="G662" t="s">
        <v>24</v>
      </c>
      <c r="H662" t="s">
        <v>32</v>
      </c>
      <c r="I662" t="s">
        <v>1371</v>
      </c>
      <c r="J662">
        <v>11</v>
      </c>
      <c r="K662" s="2">
        <v>3999.25</v>
      </c>
      <c r="L662">
        <v>10</v>
      </c>
      <c r="M662" s="2">
        <v>39592.58</v>
      </c>
      <c r="N662" s="2">
        <v>24835.72</v>
      </c>
      <c r="O662" s="2">
        <v>14756.86</v>
      </c>
      <c r="P662" t="s">
        <v>48</v>
      </c>
      <c r="Q662" t="s">
        <v>49</v>
      </c>
      <c r="R662" t="str">
        <f>TEXT(Table1[[#This Row],[Order Date]],"mmmm")</f>
        <v>May</v>
      </c>
      <c r="S662">
        <f>YEAR(Table1[[#This Row],[Order Date]])</f>
        <v>2026</v>
      </c>
    </row>
    <row r="663" spans="1:19" x14ac:dyDescent="0.3">
      <c r="A663" t="s">
        <v>1372</v>
      </c>
      <c r="B663" s="1">
        <v>45914</v>
      </c>
      <c r="C663" t="s">
        <v>86</v>
      </c>
      <c r="D663" t="s">
        <v>90</v>
      </c>
      <c r="E663" t="s">
        <v>22</v>
      </c>
      <c r="F663" t="s">
        <v>37</v>
      </c>
      <c r="G663" t="s">
        <v>38</v>
      </c>
      <c r="H663" t="s">
        <v>106</v>
      </c>
      <c r="I663" t="s">
        <v>1373</v>
      </c>
      <c r="J663">
        <v>10</v>
      </c>
      <c r="K663" s="2">
        <v>4109.96</v>
      </c>
      <c r="L663">
        <v>20</v>
      </c>
      <c r="M663" s="2">
        <v>32879.68</v>
      </c>
      <c r="N663" s="2">
        <v>18455.98</v>
      </c>
      <c r="O663" s="2">
        <v>14423.7</v>
      </c>
      <c r="P663" t="s">
        <v>41</v>
      </c>
      <c r="Q663" t="s">
        <v>28</v>
      </c>
      <c r="R663" t="str">
        <f>TEXT(Table1[[#This Row],[Order Date]],"mmmm")</f>
        <v>September</v>
      </c>
      <c r="S663">
        <f>YEAR(Table1[[#This Row],[Order Date]])</f>
        <v>2025</v>
      </c>
    </row>
    <row r="664" spans="1:19" x14ac:dyDescent="0.3">
      <c r="A664" t="s">
        <v>1374</v>
      </c>
      <c r="B664" s="1">
        <v>45996</v>
      </c>
      <c r="C664" t="s">
        <v>20</v>
      </c>
      <c r="D664" t="s">
        <v>21</v>
      </c>
      <c r="E664" t="s">
        <v>51</v>
      </c>
      <c r="F664" t="s">
        <v>23</v>
      </c>
      <c r="G664" t="s">
        <v>38</v>
      </c>
      <c r="H664" t="s">
        <v>39</v>
      </c>
      <c r="I664" t="s">
        <v>1375</v>
      </c>
      <c r="J664">
        <v>1</v>
      </c>
      <c r="K664" s="2">
        <v>1955.18</v>
      </c>
      <c r="L664">
        <v>20</v>
      </c>
      <c r="M664" s="2">
        <v>1564.14</v>
      </c>
      <c r="N664" s="2">
        <v>898.58</v>
      </c>
      <c r="O664" s="2">
        <v>665.56</v>
      </c>
      <c r="P664" t="s">
        <v>48</v>
      </c>
      <c r="Q664" t="s">
        <v>49</v>
      </c>
      <c r="R664" t="str">
        <f>TEXT(Table1[[#This Row],[Order Date]],"mmmm")</f>
        <v>December</v>
      </c>
      <c r="S664">
        <f>YEAR(Table1[[#This Row],[Order Date]])</f>
        <v>2025</v>
      </c>
    </row>
    <row r="665" spans="1:19" x14ac:dyDescent="0.3">
      <c r="A665" t="s">
        <v>1376</v>
      </c>
      <c r="B665" s="1">
        <v>45864</v>
      </c>
      <c r="C665" t="s">
        <v>70</v>
      </c>
      <c r="D665" t="s">
        <v>71</v>
      </c>
      <c r="E665" t="s">
        <v>30</v>
      </c>
      <c r="F665" t="s">
        <v>31</v>
      </c>
      <c r="G665" t="s">
        <v>45</v>
      </c>
      <c r="H665" t="s">
        <v>52</v>
      </c>
      <c r="I665" t="s">
        <v>1377</v>
      </c>
      <c r="J665">
        <v>2</v>
      </c>
      <c r="K665" s="2">
        <v>3951.32</v>
      </c>
      <c r="L665">
        <v>10</v>
      </c>
      <c r="M665" s="2">
        <v>7112.38</v>
      </c>
      <c r="N665" s="2">
        <v>4339.55</v>
      </c>
      <c r="O665" s="2">
        <v>2772.83</v>
      </c>
      <c r="P665" t="s">
        <v>48</v>
      </c>
      <c r="Q665" t="s">
        <v>61</v>
      </c>
      <c r="R665" t="str">
        <f>TEXT(Table1[[#This Row],[Order Date]],"mmmm")</f>
        <v>July</v>
      </c>
      <c r="S665">
        <f>YEAR(Table1[[#This Row],[Order Date]])</f>
        <v>2025</v>
      </c>
    </row>
    <row r="666" spans="1:19" x14ac:dyDescent="0.3">
      <c r="A666" t="s">
        <v>1378</v>
      </c>
      <c r="B666" s="1">
        <v>46176</v>
      </c>
      <c r="C666" t="s">
        <v>20</v>
      </c>
      <c r="D666" t="s">
        <v>55</v>
      </c>
      <c r="E666" t="s">
        <v>22</v>
      </c>
      <c r="F666" t="s">
        <v>37</v>
      </c>
      <c r="G666" t="s">
        <v>45</v>
      </c>
      <c r="H666" t="s">
        <v>52</v>
      </c>
      <c r="I666" t="s">
        <v>1379</v>
      </c>
      <c r="J666">
        <v>10</v>
      </c>
      <c r="K666" s="2">
        <v>757.95</v>
      </c>
      <c r="L666">
        <v>20</v>
      </c>
      <c r="M666" s="2">
        <v>6063.6</v>
      </c>
      <c r="N666" s="2">
        <v>4002.57</v>
      </c>
      <c r="O666" s="2">
        <v>2061.0300000000002</v>
      </c>
      <c r="P666" t="s">
        <v>48</v>
      </c>
      <c r="Q666" t="s">
        <v>28</v>
      </c>
      <c r="R666" t="str">
        <f>TEXT(Table1[[#This Row],[Order Date]],"mmmm")</f>
        <v>June</v>
      </c>
      <c r="S666">
        <f>YEAR(Table1[[#This Row],[Order Date]])</f>
        <v>2026</v>
      </c>
    </row>
    <row r="667" spans="1:19" x14ac:dyDescent="0.3">
      <c r="A667" t="s">
        <v>1380</v>
      </c>
      <c r="B667" s="1">
        <v>45969</v>
      </c>
      <c r="C667" t="s">
        <v>20</v>
      </c>
      <c r="D667" t="s">
        <v>55</v>
      </c>
      <c r="E667" t="s">
        <v>170</v>
      </c>
      <c r="F667" t="s">
        <v>23</v>
      </c>
      <c r="G667" t="s">
        <v>24</v>
      </c>
      <c r="H667" t="s">
        <v>56</v>
      </c>
      <c r="I667" t="s">
        <v>1381</v>
      </c>
      <c r="J667">
        <v>1</v>
      </c>
      <c r="K667" s="2">
        <v>4509.55</v>
      </c>
      <c r="L667">
        <v>20</v>
      </c>
      <c r="M667" s="2">
        <v>3607.64</v>
      </c>
      <c r="N667" s="2">
        <v>2537.29</v>
      </c>
      <c r="O667" s="2">
        <v>1070.3499999999999</v>
      </c>
      <c r="P667" t="s">
        <v>48</v>
      </c>
      <c r="Q667" t="s">
        <v>28</v>
      </c>
      <c r="R667" t="str">
        <f>TEXT(Table1[[#This Row],[Order Date]],"mmmm")</f>
        <v>November</v>
      </c>
      <c r="S667">
        <f>YEAR(Table1[[#This Row],[Order Date]])</f>
        <v>2025</v>
      </c>
    </row>
    <row r="668" spans="1:19" x14ac:dyDescent="0.3">
      <c r="A668" t="s">
        <v>1382</v>
      </c>
      <c r="B668" s="1">
        <v>46023</v>
      </c>
      <c r="C668" t="s">
        <v>70</v>
      </c>
      <c r="D668" t="s">
        <v>71</v>
      </c>
      <c r="E668" t="s">
        <v>120</v>
      </c>
      <c r="F668" t="s">
        <v>31</v>
      </c>
      <c r="G668" t="s">
        <v>38</v>
      </c>
      <c r="H668" t="s">
        <v>91</v>
      </c>
      <c r="I668" t="s">
        <v>1383</v>
      </c>
      <c r="J668">
        <v>7</v>
      </c>
      <c r="K668" s="2">
        <v>4464.96</v>
      </c>
      <c r="L668">
        <v>0</v>
      </c>
      <c r="M668" s="2">
        <v>31254.720000000001</v>
      </c>
      <c r="N668" s="2">
        <v>17784.77</v>
      </c>
      <c r="O668" s="2">
        <v>13469.95</v>
      </c>
      <c r="P668" t="s">
        <v>41</v>
      </c>
      <c r="Q668" t="s">
        <v>49</v>
      </c>
      <c r="R668" t="str">
        <f>TEXT(Table1[[#This Row],[Order Date]],"mmmm")</f>
        <v>January</v>
      </c>
      <c r="S668">
        <f>YEAR(Table1[[#This Row],[Order Date]])</f>
        <v>2026</v>
      </c>
    </row>
    <row r="669" spans="1:19" x14ac:dyDescent="0.3">
      <c r="A669" t="s">
        <v>1384</v>
      </c>
      <c r="B669" s="1">
        <v>45828</v>
      </c>
      <c r="C669" t="s">
        <v>86</v>
      </c>
      <c r="D669" t="s">
        <v>90</v>
      </c>
      <c r="E669" t="s">
        <v>66</v>
      </c>
      <c r="F669" t="s">
        <v>23</v>
      </c>
      <c r="G669" t="s">
        <v>24</v>
      </c>
      <c r="H669" t="s">
        <v>56</v>
      </c>
      <c r="I669" t="s">
        <v>1385</v>
      </c>
      <c r="J669">
        <v>4</v>
      </c>
      <c r="K669" s="2">
        <v>3212.41</v>
      </c>
      <c r="L669">
        <v>15</v>
      </c>
      <c r="M669" s="2">
        <v>10922.19</v>
      </c>
      <c r="N669" s="2">
        <v>8217.6</v>
      </c>
      <c r="O669" s="2">
        <v>2704.59</v>
      </c>
      <c r="P669" t="s">
        <v>48</v>
      </c>
      <c r="Q669" t="s">
        <v>49</v>
      </c>
      <c r="R669" t="str">
        <f>TEXT(Table1[[#This Row],[Order Date]],"mmmm")</f>
        <v>June</v>
      </c>
      <c r="S669">
        <f>YEAR(Table1[[#This Row],[Order Date]])</f>
        <v>2025</v>
      </c>
    </row>
    <row r="670" spans="1:19" x14ac:dyDescent="0.3">
      <c r="A670" t="s">
        <v>1386</v>
      </c>
      <c r="B670" s="1">
        <v>46201</v>
      </c>
      <c r="C670" t="s">
        <v>70</v>
      </c>
      <c r="D670" t="s">
        <v>75</v>
      </c>
      <c r="E670" t="s">
        <v>170</v>
      </c>
      <c r="F670" t="s">
        <v>23</v>
      </c>
      <c r="G670" t="s">
        <v>45</v>
      </c>
      <c r="H670" t="s">
        <v>123</v>
      </c>
      <c r="I670" t="s">
        <v>1387</v>
      </c>
      <c r="J670">
        <v>15</v>
      </c>
      <c r="K670" s="2">
        <v>1344.36</v>
      </c>
      <c r="L670">
        <v>5</v>
      </c>
      <c r="M670" s="2">
        <v>19157.13</v>
      </c>
      <c r="N670" s="2">
        <v>10879.36</v>
      </c>
      <c r="O670" s="2">
        <v>8277.77</v>
      </c>
      <c r="P670" t="s">
        <v>48</v>
      </c>
      <c r="Q670" t="s">
        <v>42</v>
      </c>
      <c r="R670" t="str">
        <f>TEXT(Table1[[#This Row],[Order Date]],"mmmm")</f>
        <v>June</v>
      </c>
      <c r="S670">
        <f>YEAR(Table1[[#This Row],[Order Date]])</f>
        <v>2026</v>
      </c>
    </row>
    <row r="671" spans="1:19" x14ac:dyDescent="0.3">
      <c r="A671" t="s">
        <v>1388</v>
      </c>
      <c r="B671" s="1">
        <v>45780</v>
      </c>
      <c r="C671" t="s">
        <v>20</v>
      </c>
      <c r="D671" t="s">
        <v>21</v>
      </c>
      <c r="E671" t="s">
        <v>30</v>
      </c>
      <c r="F671" t="s">
        <v>37</v>
      </c>
      <c r="G671" t="s">
        <v>38</v>
      </c>
      <c r="H671" t="s">
        <v>63</v>
      </c>
      <c r="I671" t="s">
        <v>1389</v>
      </c>
      <c r="J671">
        <v>1</v>
      </c>
      <c r="K671" s="2">
        <v>3579.74</v>
      </c>
      <c r="L671">
        <v>15</v>
      </c>
      <c r="M671" s="2">
        <v>3042.78</v>
      </c>
      <c r="N671" s="2">
        <v>2181.58</v>
      </c>
      <c r="O671" s="2">
        <v>861.2</v>
      </c>
      <c r="P671" t="s">
        <v>27</v>
      </c>
      <c r="Q671" t="s">
        <v>49</v>
      </c>
      <c r="R671" t="str">
        <f>TEXT(Table1[[#This Row],[Order Date]],"mmmm")</f>
        <v>May</v>
      </c>
      <c r="S671">
        <f>YEAR(Table1[[#This Row],[Order Date]])</f>
        <v>2025</v>
      </c>
    </row>
    <row r="672" spans="1:19" x14ac:dyDescent="0.3">
      <c r="A672" t="s">
        <v>1390</v>
      </c>
      <c r="B672" s="1">
        <v>46135</v>
      </c>
      <c r="C672" t="s">
        <v>35</v>
      </c>
      <c r="D672" t="s">
        <v>59</v>
      </c>
      <c r="E672" t="s">
        <v>113</v>
      </c>
      <c r="F672" t="s">
        <v>31</v>
      </c>
      <c r="G672" t="s">
        <v>38</v>
      </c>
      <c r="H672" t="s">
        <v>91</v>
      </c>
      <c r="I672" t="s">
        <v>1391</v>
      </c>
      <c r="J672">
        <v>9</v>
      </c>
      <c r="K672" s="2">
        <v>890.05</v>
      </c>
      <c r="L672">
        <v>5</v>
      </c>
      <c r="M672" s="2">
        <v>7609.93</v>
      </c>
      <c r="N672" s="2">
        <v>4755.96</v>
      </c>
      <c r="O672" s="2">
        <v>2853.97</v>
      </c>
      <c r="P672" t="s">
        <v>41</v>
      </c>
      <c r="Q672" t="s">
        <v>28</v>
      </c>
      <c r="R672" t="str">
        <f>TEXT(Table1[[#This Row],[Order Date]],"mmmm")</f>
        <v>April</v>
      </c>
      <c r="S672">
        <f>YEAR(Table1[[#This Row],[Order Date]])</f>
        <v>2026</v>
      </c>
    </row>
    <row r="673" spans="1:19" x14ac:dyDescent="0.3">
      <c r="A673" t="s">
        <v>1392</v>
      </c>
      <c r="B673" s="1">
        <v>46029</v>
      </c>
      <c r="C673" t="s">
        <v>86</v>
      </c>
      <c r="D673" t="s">
        <v>90</v>
      </c>
      <c r="E673" t="s">
        <v>30</v>
      </c>
      <c r="F673" t="s">
        <v>31</v>
      </c>
      <c r="G673" t="s">
        <v>38</v>
      </c>
      <c r="H673" t="s">
        <v>72</v>
      </c>
      <c r="I673" t="s">
        <v>1393</v>
      </c>
      <c r="J673">
        <v>14</v>
      </c>
      <c r="K673" s="2">
        <v>4145.22</v>
      </c>
      <c r="L673">
        <v>10</v>
      </c>
      <c r="M673" s="2">
        <v>52229.77</v>
      </c>
      <c r="N673" s="2">
        <v>30963.05</v>
      </c>
      <c r="O673" s="2">
        <v>21266.720000000001</v>
      </c>
      <c r="P673" t="s">
        <v>27</v>
      </c>
      <c r="Q673" t="s">
        <v>49</v>
      </c>
      <c r="R673" t="str">
        <f>TEXT(Table1[[#This Row],[Order Date]],"mmmm")</f>
        <v>January</v>
      </c>
      <c r="S673">
        <f>YEAR(Table1[[#This Row],[Order Date]])</f>
        <v>2026</v>
      </c>
    </row>
    <row r="674" spans="1:19" x14ac:dyDescent="0.3">
      <c r="A674" t="s">
        <v>1394</v>
      </c>
      <c r="B674" s="1">
        <v>46134</v>
      </c>
      <c r="C674" t="s">
        <v>86</v>
      </c>
      <c r="D674" t="s">
        <v>87</v>
      </c>
      <c r="E674" t="s">
        <v>120</v>
      </c>
      <c r="F674" t="s">
        <v>37</v>
      </c>
      <c r="G674" t="s">
        <v>38</v>
      </c>
      <c r="H674" t="s">
        <v>106</v>
      </c>
      <c r="I674" t="s">
        <v>1395</v>
      </c>
      <c r="J674">
        <v>11</v>
      </c>
      <c r="K674" s="2">
        <v>2704.04</v>
      </c>
      <c r="L674">
        <v>5</v>
      </c>
      <c r="M674" s="2">
        <v>28257.22</v>
      </c>
      <c r="N674" s="2">
        <v>17679.400000000001</v>
      </c>
      <c r="O674" s="2">
        <v>10577.82</v>
      </c>
      <c r="P674" t="s">
        <v>48</v>
      </c>
      <c r="Q674" t="s">
        <v>61</v>
      </c>
      <c r="R674" t="str">
        <f>TEXT(Table1[[#This Row],[Order Date]],"mmmm")</f>
        <v>April</v>
      </c>
      <c r="S674">
        <f>YEAR(Table1[[#This Row],[Order Date]])</f>
        <v>2026</v>
      </c>
    </row>
    <row r="675" spans="1:19" x14ac:dyDescent="0.3">
      <c r="A675" t="s">
        <v>1396</v>
      </c>
      <c r="B675" s="1">
        <v>45795</v>
      </c>
      <c r="C675" t="s">
        <v>70</v>
      </c>
      <c r="D675" t="s">
        <v>71</v>
      </c>
      <c r="E675" t="s">
        <v>22</v>
      </c>
      <c r="F675" t="s">
        <v>37</v>
      </c>
      <c r="G675" t="s">
        <v>24</v>
      </c>
      <c r="H675" t="s">
        <v>134</v>
      </c>
      <c r="I675" t="s">
        <v>1397</v>
      </c>
      <c r="J675">
        <v>6</v>
      </c>
      <c r="K675" s="2">
        <v>1681.67</v>
      </c>
      <c r="L675">
        <v>20</v>
      </c>
      <c r="M675" s="2">
        <v>8072.02</v>
      </c>
      <c r="N675" s="2">
        <v>6217.12</v>
      </c>
      <c r="O675" s="2">
        <v>1854.9</v>
      </c>
      <c r="P675" t="s">
        <v>41</v>
      </c>
      <c r="Q675" t="s">
        <v>28</v>
      </c>
      <c r="R675" t="str">
        <f>TEXT(Table1[[#This Row],[Order Date]],"mmmm")</f>
        <v>May</v>
      </c>
      <c r="S675">
        <f>YEAR(Table1[[#This Row],[Order Date]])</f>
        <v>2025</v>
      </c>
    </row>
    <row r="676" spans="1:19" x14ac:dyDescent="0.3">
      <c r="A676" t="s">
        <v>1398</v>
      </c>
      <c r="B676" s="1">
        <v>45672</v>
      </c>
      <c r="C676" t="s">
        <v>70</v>
      </c>
      <c r="D676" t="s">
        <v>75</v>
      </c>
      <c r="E676" t="s">
        <v>170</v>
      </c>
      <c r="F676" t="s">
        <v>31</v>
      </c>
      <c r="G676" t="s">
        <v>45</v>
      </c>
      <c r="H676" t="s">
        <v>159</v>
      </c>
      <c r="I676" t="s">
        <v>1399</v>
      </c>
      <c r="J676">
        <v>9</v>
      </c>
      <c r="K676" s="2">
        <v>2284.92</v>
      </c>
      <c r="L676">
        <v>20</v>
      </c>
      <c r="M676" s="2">
        <v>16451.419999999998</v>
      </c>
      <c r="N676" s="2">
        <v>12339.26</v>
      </c>
      <c r="O676" s="2">
        <v>4112.16</v>
      </c>
      <c r="P676" t="s">
        <v>27</v>
      </c>
      <c r="Q676" t="s">
        <v>61</v>
      </c>
      <c r="R676" t="str">
        <f>TEXT(Table1[[#This Row],[Order Date]],"mmmm")</f>
        <v>January</v>
      </c>
      <c r="S676">
        <f>YEAR(Table1[[#This Row],[Order Date]])</f>
        <v>2025</v>
      </c>
    </row>
    <row r="677" spans="1:19" x14ac:dyDescent="0.3">
      <c r="A677" t="s">
        <v>1400</v>
      </c>
      <c r="B677" s="1">
        <v>45798</v>
      </c>
      <c r="C677" t="s">
        <v>35</v>
      </c>
      <c r="D677" t="s">
        <v>59</v>
      </c>
      <c r="E677" t="s">
        <v>66</v>
      </c>
      <c r="F677" t="s">
        <v>23</v>
      </c>
      <c r="G677" t="s">
        <v>24</v>
      </c>
      <c r="H677" t="s">
        <v>134</v>
      </c>
      <c r="I677" t="s">
        <v>963</v>
      </c>
      <c r="J677">
        <v>6</v>
      </c>
      <c r="K677" s="2">
        <v>4620.22</v>
      </c>
      <c r="L677">
        <v>15</v>
      </c>
      <c r="M677" s="2">
        <v>23563.119999999999</v>
      </c>
      <c r="N677" s="2">
        <v>17295.21</v>
      </c>
      <c r="O677" s="2">
        <v>6267.91</v>
      </c>
      <c r="P677" t="s">
        <v>41</v>
      </c>
      <c r="Q677" t="s">
        <v>61</v>
      </c>
      <c r="R677" t="str">
        <f>TEXT(Table1[[#This Row],[Order Date]],"mmmm")</f>
        <v>May</v>
      </c>
      <c r="S677">
        <f>YEAR(Table1[[#This Row],[Order Date]])</f>
        <v>2025</v>
      </c>
    </row>
    <row r="678" spans="1:19" x14ac:dyDescent="0.3">
      <c r="A678" t="s">
        <v>1401</v>
      </c>
      <c r="B678" s="1">
        <v>45907</v>
      </c>
      <c r="C678" t="s">
        <v>35</v>
      </c>
      <c r="D678" t="s">
        <v>59</v>
      </c>
      <c r="E678" t="s">
        <v>113</v>
      </c>
      <c r="F678" t="s">
        <v>37</v>
      </c>
      <c r="G678" t="s">
        <v>45</v>
      </c>
      <c r="H678" t="s">
        <v>67</v>
      </c>
      <c r="I678" t="s">
        <v>1402</v>
      </c>
      <c r="J678">
        <v>6</v>
      </c>
      <c r="K678" s="2">
        <v>431.04</v>
      </c>
      <c r="L678">
        <v>20</v>
      </c>
      <c r="M678" s="2">
        <v>2068.9899999999998</v>
      </c>
      <c r="N678" s="2">
        <v>1197.71</v>
      </c>
      <c r="O678" s="2">
        <v>871.28</v>
      </c>
      <c r="P678" t="s">
        <v>48</v>
      </c>
      <c r="Q678" t="s">
        <v>28</v>
      </c>
      <c r="R678" t="str">
        <f>TEXT(Table1[[#This Row],[Order Date]],"mmmm")</f>
        <v>September</v>
      </c>
      <c r="S678">
        <f>YEAR(Table1[[#This Row],[Order Date]])</f>
        <v>2025</v>
      </c>
    </row>
    <row r="679" spans="1:19" x14ac:dyDescent="0.3">
      <c r="A679" t="s">
        <v>1403</v>
      </c>
      <c r="B679" s="1">
        <v>46007</v>
      </c>
      <c r="C679" t="s">
        <v>86</v>
      </c>
      <c r="D679" t="s">
        <v>87</v>
      </c>
      <c r="E679" t="s">
        <v>22</v>
      </c>
      <c r="F679" t="s">
        <v>31</v>
      </c>
      <c r="G679" t="s">
        <v>38</v>
      </c>
      <c r="H679" t="s">
        <v>91</v>
      </c>
      <c r="I679" t="s">
        <v>1404</v>
      </c>
      <c r="J679">
        <v>2</v>
      </c>
      <c r="K679" s="2">
        <v>2431.7199999999998</v>
      </c>
      <c r="L679">
        <v>15</v>
      </c>
      <c r="M679" s="2">
        <v>4133.92</v>
      </c>
      <c r="N679" s="2">
        <v>2754.88</v>
      </c>
      <c r="O679" s="2">
        <v>1379.04</v>
      </c>
      <c r="P679" t="s">
        <v>48</v>
      </c>
      <c r="Q679" t="s">
        <v>49</v>
      </c>
      <c r="R679" t="str">
        <f>TEXT(Table1[[#This Row],[Order Date]],"mmmm")</f>
        <v>December</v>
      </c>
      <c r="S679">
        <f>YEAR(Table1[[#This Row],[Order Date]])</f>
        <v>2025</v>
      </c>
    </row>
    <row r="680" spans="1:19" x14ac:dyDescent="0.3">
      <c r="A680" t="s">
        <v>1405</v>
      </c>
      <c r="B680" s="1">
        <v>45763</v>
      </c>
      <c r="C680" t="s">
        <v>86</v>
      </c>
      <c r="D680" t="s">
        <v>90</v>
      </c>
      <c r="E680" t="s">
        <v>30</v>
      </c>
      <c r="F680" t="s">
        <v>37</v>
      </c>
      <c r="G680" t="s">
        <v>24</v>
      </c>
      <c r="H680" t="s">
        <v>171</v>
      </c>
      <c r="I680" t="s">
        <v>458</v>
      </c>
      <c r="J680">
        <v>2</v>
      </c>
      <c r="K680" s="2">
        <v>2022.88</v>
      </c>
      <c r="L680">
        <v>20</v>
      </c>
      <c r="M680" s="2">
        <v>3236.61</v>
      </c>
      <c r="N680" s="2">
        <v>1790.07</v>
      </c>
      <c r="O680" s="2">
        <v>1446.54</v>
      </c>
      <c r="P680" t="s">
        <v>27</v>
      </c>
      <c r="Q680" t="s">
        <v>49</v>
      </c>
      <c r="R680" t="str">
        <f>TEXT(Table1[[#This Row],[Order Date]],"mmmm")</f>
        <v>April</v>
      </c>
      <c r="S680">
        <f>YEAR(Table1[[#This Row],[Order Date]])</f>
        <v>2025</v>
      </c>
    </row>
    <row r="681" spans="1:19" x14ac:dyDescent="0.3">
      <c r="A681" t="s">
        <v>1406</v>
      </c>
      <c r="B681" s="1">
        <v>45976</v>
      </c>
      <c r="C681" t="s">
        <v>86</v>
      </c>
      <c r="D681" t="s">
        <v>87</v>
      </c>
      <c r="E681" t="s">
        <v>30</v>
      </c>
      <c r="F681" t="s">
        <v>31</v>
      </c>
      <c r="G681" t="s">
        <v>45</v>
      </c>
      <c r="H681" t="s">
        <v>52</v>
      </c>
      <c r="I681" t="s">
        <v>1407</v>
      </c>
      <c r="J681">
        <v>6</v>
      </c>
      <c r="K681" s="2">
        <v>2387.5700000000002</v>
      </c>
      <c r="L681">
        <v>20</v>
      </c>
      <c r="M681" s="2">
        <v>11460.34</v>
      </c>
      <c r="N681" s="2">
        <v>8797.84</v>
      </c>
      <c r="O681" s="2">
        <v>2662.5</v>
      </c>
      <c r="P681" t="s">
        <v>27</v>
      </c>
      <c r="Q681" t="s">
        <v>61</v>
      </c>
      <c r="R681" t="str">
        <f>TEXT(Table1[[#This Row],[Order Date]],"mmmm")</f>
        <v>November</v>
      </c>
      <c r="S681">
        <f>YEAR(Table1[[#This Row],[Order Date]])</f>
        <v>2025</v>
      </c>
    </row>
    <row r="682" spans="1:19" x14ac:dyDescent="0.3">
      <c r="A682" t="s">
        <v>1408</v>
      </c>
      <c r="B682" s="1">
        <v>46196</v>
      </c>
      <c r="C682" t="s">
        <v>35</v>
      </c>
      <c r="D682" t="s">
        <v>59</v>
      </c>
      <c r="E682" t="s">
        <v>66</v>
      </c>
      <c r="F682" t="s">
        <v>37</v>
      </c>
      <c r="G682" t="s">
        <v>38</v>
      </c>
      <c r="H682" t="s">
        <v>72</v>
      </c>
      <c r="I682" t="s">
        <v>924</v>
      </c>
      <c r="J682">
        <v>9</v>
      </c>
      <c r="K682" s="2">
        <v>343.89</v>
      </c>
      <c r="L682">
        <v>15</v>
      </c>
      <c r="M682" s="2">
        <v>2630.76</v>
      </c>
      <c r="N682" s="2">
        <v>1795.53</v>
      </c>
      <c r="O682" s="2">
        <v>835.23</v>
      </c>
      <c r="P682" t="s">
        <v>48</v>
      </c>
      <c r="Q682" t="s">
        <v>28</v>
      </c>
      <c r="R682" t="str">
        <f>TEXT(Table1[[#This Row],[Order Date]],"mmmm")</f>
        <v>June</v>
      </c>
      <c r="S682">
        <f>YEAR(Table1[[#This Row],[Order Date]])</f>
        <v>2026</v>
      </c>
    </row>
    <row r="683" spans="1:19" x14ac:dyDescent="0.3">
      <c r="A683" t="s">
        <v>1409</v>
      </c>
      <c r="B683" s="1">
        <v>45707</v>
      </c>
      <c r="C683" t="s">
        <v>20</v>
      </c>
      <c r="D683" t="s">
        <v>55</v>
      </c>
      <c r="E683" t="s">
        <v>51</v>
      </c>
      <c r="F683" t="s">
        <v>23</v>
      </c>
      <c r="G683" t="s">
        <v>38</v>
      </c>
      <c r="H683" t="s">
        <v>63</v>
      </c>
      <c r="I683" t="s">
        <v>1410</v>
      </c>
      <c r="J683">
        <v>15</v>
      </c>
      <c r="K683" s="2">
        <v>3382.34</v>
      </c>
      <c r="L683">
        <v>5</v>
      </c>
      <c r="M683" s="2">
        <v>48198.35</v>
      </c>
      <c r="N683" s="2">
        <v>35747.040000000001</v>
      </c>
      <c r="O683" s="2">
        <v>12451.31</v>
      </c>
      <c r="P683" t="s">
        <v>48</v>
      </c>
      <c r="Q683" t="s">
        <v>49</v>
      </c>
      <c r="R683" t="str">
        <f>TEXT(Table1[[#This Row],[Order Date]],"mmmm")</f>
        <v>February</v>
      </c>
      <c r="S683">
        <f>YEAR(Table1[[#This Row],[Order Date]])</f>
        <v>2025</v>
      </c>
    </row>
    <row r="684" spans="1:19" x14ac:dyDescent="0.3">
      <c r="A684" t="s">
        <v>1411</v>
      </c>
      <c r="B684" s="1">
        <v>45990</v>
      </c>
      <c r="C684" t="s">
        <v>86</v>
      </c>
      <c r="D684" t="s">
        <v>90</v>
      </c>
      <c r="E684" t="s">
        <v>66</v>
      </c>
      <c r="F684" t="s">
        <v>31</v>
      </c>
      <c r="G684" t="s">
        <v>24</v>
      </c>
      <c r="H684" t="s">
        <v>171</v>
      </c>
      <c r="I684" t="s">
        <v>1412</v>
      </c>
      <c r="J684">
        <v>3</v>
      </c>
      <c r="K684" s="2">
        <v>3531.92</v>
      </c>
      <c r="L684">
        <v>10</v>
      </c>
      <c r="M684" s="2">
        <v>9536.18</v>
      </c>
      <c r="N684" s="2">
        <v>7608.99</v>
      </c>
      <c r="O684" s="2">
        <v>1927.19</v>
      </c>
      <c r="P684" t="s">
        <v>48</v>
      </c>
      <c r="Q684" t="s">
        <v>49</v>
      </c>
      <c r="R684" t="str">
        <f>TEXT(Table1[[#This Row],[Order Date]],"mmmm")</f>
        <v>November</v>
      </c>
      <c r="S684">
        <f>YEAR(Table1[[#This Row],[Order Date]])</f>
        <v>2025</v>
      </c>
    </row>
    <row r="685" spans="1:19" x14ac:dyDescent="0.3">
      <c r="A685" t="s">
        <v>1413</v>
      </c>
      <c r="B685" s="1">
        <v>46118</v>
      </c>
      <c r="C685" t="s">
        <v>35</v>
      </c>
      <c r="D685" t="s">
        <v>59</v>
      </c>
      <c r="E685" t="s">
        <v>44</v>
      </c>
      <c r="F685" t="s">
        <v>37</v>
      </c>
      <c r="G685" t="s">
        <v>45</v>
      </c>
      <c r="H685" t="s">
        <v>67</v>
      </c>
      <c r="I685" t="s">
        <v>1414</v>
      </c>
      <c r="J685">
        <v>3</v>
      </c>
      <c r="K685" s="2">
        <v>2234.0700000000002</v>
      </c>
      <c r="L685">
        <v>10</v>
      </c>
      <c r="M685" s="2">
        <v>6031.99</v>
      </c>
      <c r="N685" s="2">
        <v>4637.3</v>
      </c>
      <c r="O685" s="2">
        <v>1394.69</v>
      </c>
      <c r="P685" t="s">
        <v>41</v>
      </c>
      <c r="Q685" t="s">
        <v>42</v>
      </c>
      <c r="R685" t="str">
        <f>TEXT(Table1[[#This Row],[Order Date]],"mmmm")</f>
        <v>April</v>
      </c>
      <c r="S685">
        <f>YEAR(Table1[[#This Row],[Order Date]])</f>
        <v>2026</v>
      </c>
    </row>
    <row r="686" spans="1:19" x14ac:dyDescent="0.3">
      <c r="A686" t="s">
        <v>1415</v>
      </c>
      <c r="B686" s="1">
        <v>45851</v>
      </c>
      <c r="C686" t="s">
        <v>70</v>
      </c>
      <c r="D686" t="s">
        <v>71</v>
      </c>
      <c r="E686" t="s">
        <v>22</v>
      </c>
      <c r="F686" t="s">
        <v>31</v>
      </c>
      <c r="G686" t="s">
        <v>38</v>
      </c>
      <c r="H686" t="s">
        <v>63</v>
      </c>
      <c r="I686" t="s">
        <v>1416</v>
      </c>
      <c r="J686">
        <v>5</v>
      </c>
      <c r="K686" s="2">
        <v>1047.04</v>
      </c>
      <c r="L686">
        <v>10</v>
      </c>
      <c r="M686" s="2">
        <v>4711.68</v>
      </c>
      <c r="N686" s="2">
        <v>3277.98</v>
      </c>
      <c r="O686" s="2">
        <v>1433.7</v>
      </c>
      <c r="P686" t="s">
        <v>48</v>
      </c>
      <c r="Q686" t="s">
        <v>49</v>
      </c>
      <c r="R686" t="str">
        <f>TEXT(Table1[[#This Row],[Order Date]],"mmmm")</f>
        <v>July</v>
      </c>
      <c r="S686">
        <f>YEAR(Table1[[#This Row],[Order Date]])</f>
        <v>2025</v>
      </c>
    </row>
    <row r="687" spans="1:19" x14ac:dyDescent="0.3">
      <c r="A687" t="s">
        <v>1417</v>
      </c>
      <c r="B687" s="1">
        <v>46032</v>
      </c>
      <c r="C687" t="s">
        <v>86</v>
      </c>
      <c r="D687" t="s">
        <v>90</v>
      </c>
      <c r="E687" t="s">
        <v>113</v>
      </c>
      <c r="F687" t="s">
        <v>31</v>
      </c>
      <c r="G687" t="s">
        <v>38</v>
      </c>
      <c r="H687" t="s">
        <v>72</v>
      </c>
      <c r="I687" t="s">
        <v>1418</v>
      </c>
      <c r="J687">
        <v>2</v>
      </c>
      <c r="K687" s="2">
        <v>549.86</v>
      </c>
      <c r="L687">
        <v>5</v>
      </c>
      <c r="M687" s="2">
        <v>1044.73</v>
      </c>
      <c r="N687" s="2">
        <v>701.84</v>
      </c>
      <c r="O687" s="2">
        <v>342.89</v>
      </c>
      <c r="P687" t="s">
        <v>48</v>
      </c>
      <c r="Q687" t="s">
        <v>61</v>
      </c>
      <c r="R687" t="str">
        <f>TEXT(Table1[[#This Row],[Order Date]],"mmmm")</f>
        <v>January</v>
      </c>
      <c r="S687">
        <f>YEAR(Table1[[#This Row],[Order Date]])</f>
        <v>2026</v>
      </c>
    </row>
    <row r="688" spans="1:19" x14ac:dyDescent="0.3">
      <c r="A688" t="s">
        <v>1419</v>
      </c>
      <c r="B688" s="1">
        <v>45786</v>
      </c>
      <c r="C688" t="s">
        <v>86</v>
      </c>
      <c r="D688" t="s">
        <v>90</v>
      </c>
      <c r="E688" t="s">
        <v>113</v>
      </c>
      <c r="F688" t="s">
        <v>23</v>
      </c>
      <c r="G688" t="s">
        <v>45</v>
      </c>
      <c r="H688" t="s">
        <v>159</v>
      </c>
      <c r="I688" t="s">
        <v>1420</v>
      </c>
      <c r="J688">
        <v>7</v>
      </c>
      <c r="K688" s="2">
        <v>4597.2700000000004</v>
      </c>
      <c r="L688">
        <v>15</v>
      </c>
      <c r="M688" s="2">
        <v>27353.759999999998</v>
      </c>
      <c r="N688" s="2">
        <v>22195</v>
      </c>
      <c r="O688" s="2">
        <v>5158.76</v>
      </c>
      <c r="P688" t="s">
        <v>41</v>
      </c>
      <c r="Q688" t="s">
        <v>61</v>
      </c>
      <c r="R688" t="str">
        <f>TEXT(Table1[[#This Row],[Order Date]],"mmmm")</f>
        <v>May</v>
      </c>
      <c r="S688">
        <f>YEAR(Table1[[#This Row],[Order Date]])</f>
        <v>2025</v>
      </c>
    </row>
    <row r="689" spans="1:19" x14ac:dyDescent="0.3">
      <c r="A689" t="s">
        <v>1421</v>
      </c>
      <c r="B689" s="1">
        <v>45892</v>
      </c>
      <c r="C689" t="s">
        <v>70</v>
      </c>
      <c r="D689" t="s">
        <v>71</v>
      </c>
      <c r="E689" t="s">
        <v>120</v>
      </c>
      <c r="F689" t="s">
        <v>31</v>
      </c>
      <c r="G689" t="s">
        <v>45</v>
      </c>
      <c r="H689" t="s">
        <v>46</v>
      </c>
      <c r="I689" t="s">
        <v>1422</v>
      </c>
      <c r="J689">
        <v>1</v>
      </c>
      <c r="K689" s="2">
        <v>240.56</v>
      </c>
      <c r="L689">
        <v>0</v>
      </c>
      <c r="M689" s="2">
        <v>240.56</v>
      </c>
      <c r="N689" s="2">
        <v>196.98</v>
      </c>
      <c r="O689" s="2">
        <v>43.58</v>
      </c>
      <c r="P689" t="s">
        <v>41</v>
      </c>
      <c r="Q689" t="s">
        <v>49</v>
      </c>
      <c r="R689" t="str">
        <f>TEXT(Table1[[#This Row],[Order Date]],"mmmm")</f>
        <v>August</v>
      </c>
      <c r="S689">
        <f>YEAR(Table1[[#This Row],[Order Date]])</f>
        <v>2025</v>
      </c>
    </row>
    <row r="690" spans="1:19" x14ac:dyDescent="0.3">
      <c r="A690" t="s">
        <v>1423</v>
      </c>
      <c r="B690" s="1">
        <v>45691</v>
      </c>
      <c r="C690" t="s">
        <v>86</v>
      </c>
      <c r="D690" t="s">
        <v>87</v>
      </c>
      <c r="E690" t="s">
        <v>22</v>
      </c>
      <c r="F690" t="s">
        <v>31</v>
      </c>
      <c r="G690" t="s">
        <v>38</v>
      </c>
      <c r="H690" t="s">
        <v>106</v>
      </c>
      <c r="I690" t="s">
        <v>483</v>
      </c>
      <c r="J690">
        <v>8</v>
      </c>
      <c r="K690" s="2">
        <v>3601.83</v>
      </c>
      <c r="L690">
        <v>15</v>
      </c>
      <c r="M690" s="2">
        <v>24492.44</v>
      </c>
      <c r="N690" s="2">
        <v>20017.64</v>
      </c>
      <c r="O690" s="2">
        <v>4474.8</v>
      </c>
      <c r="P690" t="s">
        <v>48</v>
      </c>
      <c r="Q690" t="s">
        <v>61</v>
      </c>
      <c r="R690" t="str">
        <f>TEXT(Table1[[#This Row],[Order Date]],"mmmm")</f>
        <v>February</v>
      </c>
      <c r="S690">
        <f>YEAR(Table1[[#This Row],[Order Date]])</f>
        <v>2025</v>
      </c>
    </row>
    <row r="691" spans="1:19" x14ac:dyDescent="0.3">
      <c r="A691" t="s">
        <v>1424</v>
      </c>
      <c r="B691" s="1">
        <v>46113</v>
      </c>
      <c r="C691" t="s">
        <v>20</v>
      </c>
      <c r="D691" t="s">
        <v>21</v>
      </c>
      <c r="E691" t="s">
        <v>113</v>
      </c>
      <c r="F691" t="s">
        <v>37</v>
      </c>
      <c r="G691" t="s">
        <v>38</v>
      </c>
      <c r="H691" t="s">
        <v>39</v>
      </c>
      <c r="I691" t="s">
        <v>1425</v>
      </c>
      <c r="J691">
        <v>10</v>
      </c>
      <c r="K691" s="2">
        <v>4671.17</v>
      </c>
      <c r="L691">
        <v>20</v>
      </c>
      <c r="M691" s="2">
        <v>37369.360000000001</v>
      </c>
      <c r="N691" s="2">
        <v>24166.05</v>
      </c>
      <c r="O691" s="2">
        <v>13203.31</v>
      </c>
      <c r="P691" t="s">
        <v>48</v>
      </c>
      <c r="Q691" t="s">
        <v>42</v>
      </c>
      <c r="R691" t="str">
        <f>TEXT(Table1[[#This Row],[Order Date]],"mmmm")</f>
        <v>April</v>
      </c>
      <c r="S691">
        <f>YEAR(Table1[[#This Row],[Order Date]])</f>
        <v>2026</v>
      </c>
    </row>
    <row r="692" spans="1:19" x14ac:dyDescent="0.3">
      <c r="A692" t="s">
        <v>1426</v>
      </c>
      <c r="B692" s="1">
        <v>45922</v>
      </c>
      <c r="C692" t="s">
        <v>35</v>
      </c>
      <c r="D692" t="s">
        <v>59</v>
      </c>
      <c r="E692" t="s">
        <v>170</v>
      </c>
      <c r="F692" t="s">
        <v>23</v>
      </c>
      <c r="G692" t="s">
        <v>38</v>
      </c>
      <c r="H692" t="s">
        <v>39</v>
      </c>
      <c r="I692" t="s">
        <v>462</v>
      </c>
      <c r="J692">
        <v>10</v>
      </c>
      <c r="K692" s="2">
        <v>3487.76</v>
      </c>
      <c r="L692">
        <v>5</v>
      </c>
      <c r="M692" s="2">
        <v>33133.72</v>
      </c>
      <c r="N692" s="2">
        <v>20326.93</v>
      </c>
      <c r="O692" s="2">
        <v>12806.79</v>
      </c>
      <c r="P692" t="s">
        <v>48</v>
      </c>
      <c r="Q692" t="s">
        <v>61</v>
      </c>
      <c r="R692" t="str">
        <f>TEXT(Table1[[#This Row],[Order Date]],"mmmm")</f>
        <v>September</v>
      </c>
      <c r="S692">
        <f>YEAR(Table1[[#This Row],[Order Date]])</f>
        <v>2025</v>
      </c>
    </row>
    <row r="693" spans="1:19" x14ac:dyDescent="0.3">
      <c r="A693" t="s">
        <v>1427</v>
      </c>
      <c r="B693" s="1">
        <v>45981</v>
      </c>
      <c r="C693" t="s">
        <v>70</v>
      </c>
      <c r="D693" t="s">
        <v>75</v>
      </c>
      <c r="E693" t="s">
        <v>170</v>
      </c>
      <c r="F693" t="s">
        <v>23</v>
      </c>
      <c r="G693" t="s">
        <v>38</v>
      </c>
      <c r="H693" t="s">
        <v>106</v>
      </c>
      <c r="I693" t="s">
        <v>1428</v>
      </c>
      <c r="J693">
        <v>5</v>
      </c>
      <c r="K693" s="2">
        <v>236.02</v>
      </c>
      <c r="L693">
        <v>0</v>
      </c>
      <c r="M693" s="2">
        <v>1180.0999999999999</v>
      </c>
      <c r="N693" s="2">
        <v>673.59</v>
      </c>
      <c r="O693" s="2">
        <v>506.51</v>
      </c>
      <c r="P693" t="s">
        <v>41</v>
      </c>
      <c r="Q693" t="s">
        <v>49</v>
      </c>
      <c r="R693" t="str">
        <f>TEXT(Table1[[#This Row],[Order Date]],"mmmm")</f>
        <v>November</v>
      </c>
      <c r="S693">
        <f>YEAR(Table1[[#This Row],[Order Date]])</f>
        <v>2025</v>
      </c>
    </row>
    <row r="694" spans="1:19" x14ac:dyDescent="0.3">
      <c r="A694" t="s">
        <v>1429</v>
      </c>
      <c r="B694" s="1">
        <v>46062</v>
      </c>
      <c r="C694" t="s">
        <v>70</v>
      </c>
      <c r="D694" t="s">
        <v>75</v>
      </c>
      <c r="E694" t="s">
        <v>22</v>
      </c>
      <c r="F694" t="s">
        <v>31</v>
      </c>
      <c r="G694" t="s">
        <v>24</v>
      </c>
      <c r="H694" t="s">
        <v>171</v>
      </c>
      <c r="I694" t="s">
        <v>1430</v>
      </c>
      <c r="J694">
        <v>14</v>
      </c>
      <c r="K694" s="2">
        <v>4363.26</v>
      </c>
      <c r="L694">
        <v>15</v>
      </c>
      <c r="M694" s="2">
        <v>51922.79</v>
      </c>
      <c r="N694" s="2">
        <v>34713.01</v>
      </c>
      <c r="O694" s="2">
        <v>17209.78</v>
      </c>
      <c r="P694" t="s">
        <v>41</v>
      </c>
      <c r="Q694" t="s">
        <v>42</v>
      </c>
      <c r="R694" t="str">
        <f>TEXT(Table1[[#This Row],[Order Date]],"mmmm")</f>
        <v>February</v>
      </c>
      <c r="S694">
        <f>YEAR(Table1[[#This Row],[Order Date]])</f>
        <v>2026</v>
      </c>
    </row>
    <row r="695" spans="1:19" x14ac:dyDescent="0.3">
      <c r="A695" t="s">
        <v>1431</v>
      </c>
      <c r="B695" s="1">
        <v>46109</v>
      </c>
      <c r="C695" t="s">
        <v>35</v>
      </c>
      <c r="D695" t="s">
        <v>59</v>
      </c>
      <c r="E695" t="s">
        <v>51</v>
      </c>
      <c r="F695" t="s">
        <v>31</v>
      </c>
      <c r="G695" t="s">
        <v>38</v>
      </c>
      <c r="H695" t="s">
        <v>39</v>
      </c>
      <c r="I695" t="s">
        <v>1432</v>
      </c>
      <c r="J695">
        <v>5</v>
      </c>
      <c r="K695" s="2">
        <v>951.69</v>
      </c>
      <c r="L695">
        <v>5</v>
      </c>
      <c r="M695" s="2">
        <v>4520.53</v>
      </c>
      <c r="N695" s="2">
        <v>3547.74</v>
      </c>
      <c r="O695" s="2">
        <v>972.79</v>
      </c>
      <c r="P695" t="s">
        <v>27</v>
      </c>
      <c r="Q695" t="s">
        <v>61</v>
      </c>
      <c r="R695" t="str">
        <f>TEXT(Table1[[#This Row],[Order Date]],"mmmm")</f>
        <v>March</v>
      </c>
      <c r="S695">
        <f>YEAR(Table1[[#This Row],[Order Date]])</f>
        <v>2026</v>
      </c>
    </row>
    <row r="696" spans="1:19" x14ac:dyDescent="0.3">
      <c r="A696" t="s">
        <v>1433</v>
      </c>
      <c r="B696" s="1">
        <v>46020</v>
      </c>
      <c r="C696" t="s">
        <v>35</v>
      </c>
      <c r="D696" t="s">
        <v>59</v>
      </c>
      <c r="E696" t="s">
        <v>66</v>
      </c>
      <c r="F696" t="s">
        <v>23</v>
      </c>
      <c r="G696" t="s">
        <v>45</v>
      </c>
      <c r="H696" t="s">
        <v>46</v>
      </c>
      <c r="I696" t="s">
        <v>1434</v>
      </c>
      <c r="J696">
        <v>4</v>
      </c>
      <c r="K696" s="2">
        <v>1971.74</v>
      </c>
      <c r="L696">
        <v>10</v>
      </c>
      <c r="M696" s="2">
        <v>7098.26</v>
      </c>
      <c r="N696" s="2">
        <v>4980.4399999999996</v>
      </c>
      <c r="O696" s="2">
        <v>2117.8200000000002</v>
      </c>
      <c r="P696" t="s">
        <v>41</v>
      </c>
      <c r="Q696" t="s">
        <v>61</v>
      </c>
      <c r="R696" t="str">
        <f>TEXT(Table1[[#This Row],[Order Date]],"mmmm")</f>
        <v>December</v>
      </c>
      <c r="S696">
        <f>YEAR(Table1[[#This Row],[Order Date]])</f>
        <v>2025</v>
      </c>
    </row>
    <row r="697" spans="1:19" x14ac:dyDescent="0.3">
      <c r="A697" t="s">
        <v>1435</v>
      </c>
      <c r="B697" s="1">
        <v>45683</v>
      </c>
      <c r="C697" t="s">
        <v>20</v>
      </c>
      <c r="D697" t="s">
        <v>55</v>
      </c>
      <c r="E697" t="s">
        <v>113</v>
      </c>
      <c r="F697" t="s">
        <v>23</v>
      </c>
      <c r="G697" t="s">
        <v>24</v>
      </c>
      <c r="H697" t="s">
        <v>171</v>
      </c>
      <c r="I697" t="s">
        <v>1436</v>
      </c>
      <c r="J697">
        <v>6</v>
      </c>
      <c r="K697" s="2">
        <v>1942.27</v>
      </c>
      <c r="L697">
        <v>20</v>
      </c>
      <c r="M697" s="2">
        <v>9322.9</v>
      </c>
      <c r="N697" s="2">
        <v>7072.21</v>
      </c>
      <c r="O697" s="2">
        <v>2250.69</v>
      </c>
      <c r="P697" t="s">
        <v>27</v>
      </c>
      <c r="Q697" t="s">
        <v>61</v>
      </c>
      <c r="R697" t="str">
        <f>TEXT(Table1[[#This Row],[Order Date]],"mmmm")</f>
        <v>January</v>
      </c>
      <c r="S697">
        <f>YEAR(Table1[[#This Row],[Order Date]])</f>
        <v>2025</v>
      </c>
    </row>
    <row r="698" spans="1:19" x14ac:dyDescent="0.3">
      <c r="A698" t="s">
        <v>1437</v>
      </c>
      <c r="B698" s="1">
        <v>45871</v>
      </c>
      <c r="C698" t="s">
        <v>86</v>
      </c>
      <c r="D698" t="s">
        <v>87</v>
      </c>
      <c r="E698" t="s">
        <v>44</v>
      </c>
      <c r="F698" t="s">
        <v>37</v>
      </c>
      <c r="G698" t="s">
        <v>38</v>
      </c>
      <c r="H698" t="s">
        <v>91</v>
      </c>
      <c r="I698" t="s">
        <v>1438</v>
      </c>
      <c r="J698">
        <v>4</v>
      </c>
      <c r="K698" s="2">
        <v>3523.51</v>
      </c>
      <c r="L698">
        <v>20</v>
      </c>
      <c r="M698" s="2">
        <v>11275.23</v>
      </c>
      <c r="N698" s="2">
        <v>8807.23</v>
      </c>
      <c r="O698" s="2">
        <v>2468</v>
      </c>
      <c r="P698" t="s">
        <v>48</v>
      </c>
      <c r="Q698" t="s">
        <v>49</v>
      </c>
      <c r="R698" t="str">
        <f>TEXT(Table1[[#This Row],[Order Date]],"mmmm")</f>
        <v>August</v>
      </c>
      <c r="S698">
        <f>YEAR(Table1[[#This Row],[Order Date]])</f>
        <v>2025</v>
      </c>
    </row>
    <row r="699" spans="1:19" x14ac:dyDescent="0.3">
      <c r="A699" t="s">
        <v>1439</v>
      </c>
      <c r="B699" s="1">
        <v>46113</v>
      </c>
      <c r="C699" t="s">
        <v>86</v>
      </c>
      <c r="D699" t="s">
        <v>87</v>
      </c>
      <c r="E699" t="s">
        <v>113</v>
      </c>
      <c r="F699" t="s">
        <v>31</v>
      </c>
      <c r="G699" t="s">
        <v>24</v>
      </c>
      <c r="H699" t="s">
        <v>25</v>
      </c>
      <c r="I699" t="s">
        <v>1440</v>
      </c>
      <c r="J699">
        <v>10</v>
      </c>
      <c r="K699" s="2">
        <v>2068.7800000000002</v>
      </c>
      <c r="L699">
        <v>0</v>
      </c>
      <c r="M699" s="2">
        <v>20687.8</v>
      </c>
      <c r="N699" s="2">
        <v>14713.79</v>
      </c>
      <c r="O699" s="2">
        <v>5974.01</v>
      </c>
      <c r="P699" t="s">
        <v>41</v>
      </c>
      <c r="Q699" t="s">
        <v>49</v>
      </c>
      <c r="R699" t="str">
        <f>TEXT(Table1[[#This Row],[Order Date]],"mmmm")</f>
        <v>April</v>
      </c>
      <c r="S699">
        <f>YEAR(Table1[[#This Row],[Order Date]])</f>
        <v>2026</v>
      </c>
    </row>
    <row r="700" spans="1:19" x14ac:dyDescent="0.3">
      <c r="A700" t="s">
        <v>1441</v>
      </c>
      <c r="B700" s="1">
        <v>45993</v>
      </c>
      <c r="C700" t="s">
        <v>35</v>
      </c>
      <c r="D700" t="s">
        <v>36</v>
      </c>
      <c r="E700" t="s">
        <v>30</v>
      </c>
      <c r="F700" t="s">
        <v>31</v>
      </c>
      <c r="G700" t="s">
        <v>24</v>
      </c>
      <c r="H700" t="s">
        <v>171</v>
      </c>
      <c r="I700" t="s">
        <v>1442</v>
      </c>
      <c r="J700">
        <v>9</v>
      </c>
      <c r="K700" s="2">
        <v>1732.59</v>
      </c>
      <c r="L700">
        <v>10</v>
      </c>
      <c r="M700" s="2">
        <v>14033.98</v>
      </c>
      <c r="N700" s="2">
        <v>11494.39</v>
      </c>
      <c r="O700" s="2">
        <v>2539.59</v>
      </c>
      <c r="P700" t="s">
        <v>41</v>
      </c>
      <c r="Q700" t="s">
        <v>49</v>
      </c>
      <c r="R700" t="str">
        <f>TEXT(Table1[[#This Row],[Order Date]],"mmmm")</f>
        <v>December</v>
      </c>
      <c r="S700">
        <f>YEAR(Table1[[#This Row],[Order Date]])</f>
        <v>2025</v>
      </c>
    </row>
    <row r="701" spans="1:19" x14ac:dyDescent="0.3">
      <c r="A701" t="s">
        <v>1443</v>
      </c>
      <c r="B701" s="1">
        <v>45698</v>
      </c>
      <c r="C701" t="s">
        <v>35</v>
      </c>
      <c r="D701" t="s">
        <v>59</v>
      </c>
      <c r="E701" t="s">
        <v>66</v>
      </c>
      <c r="F701" t="s">
        <v>37</v>
      </c>
      <c r="G701" t="s">
        <v>24</v>
      </c>
      <c r="H701" t="s">
        <v>25</v>
      </c>
      <c r="I701" t="s">
        <v>1444</v>
      </c>
      <c r="J701">
        <v>5</v>
      </c>
      <c r="K701" s="2">
        <v>2403.61</v>
      </c>
      <c r="L701">
        <v>0</v>
      </c>
      <c r="M701" s="2">
        <v>12018.05</v>
      </c>
      <c r="N701" s="2">
        <v>8409.16</v>
      </c>
      <c r="O701" s="2">
        <v>3608.89</v>
      </c>
      <c r="P701" t="s">
        <v>48</v>
      </c>
      <c r="Q701" t="s">
        <v>28</v>
      </c>
      <c r="R701" t="str">
        <f>TEXT(Table1[[#This Row],[Order Date]],"mmmm")</f>
        <v>February</v>
      </c>
      <c r="S701">
        <f>YEAR(Table1[[#This Row],[Order Date]])</f>
        <v>2025</v>
      </c>
    </row>
    <row r="702" spans="1:19" x14ac:dyDescent="0.3">
      <c r="A702" t="s">
        <v>1445</v>
      </c>
      <c r="B702" s="1">
        <v>45841</v>
      </c>
      <c r="C702" t="s">
        <v>86</v>
      </c>
      <c r="D702" t="s">
        <v>90</v>
      </c>
      <c r="E702" t="s">
        <v>51</v>
      </c>
      <c r="F702" t="s">
        <v>23</v>
      </c>
      <c r="G702" t="s">
        <v>24</v>
      </c>
      <c r="H702" t="s">
        <v>25</v>
      </c>
      <c r="I702" t="s">
        <v>1446</v>
      </c>
      <c r="J702">
        <v>4</v>
      </c>
      <c r="K702" s="2">
        <v>2366.6999999999998</v>
      </c>
      <c r="L702">
        <v>10</v>
      </c>
      <c r="M702" s="2">
        <v>8520.1200000000008</v>
      </c>
      <c r="N702" s="2">
        <v>4755.6899999999996</v>
      </c>
      <c r="O702" s="2">
        <v>3764.43</v>
      </c>
      <c r="P702" t="s">
        <v>48</v>
      </c>
      <c r="Q702" t="s">
        <v>61</v>
      </c>
      <c r="R702" t="str">
        <f>TEXT(Table1[[#This Row],[Order Date]],"mmmm")</f>
        <v>July</v>
      </c>
      <c r="S702">
        <f>YEAR(Table1[[#This Row],[Order Date]])</f>
        <v>2025</v>
      </c>
    </row>
    <row r="703" spans="1:19" x14ac:dyDescent="0.3">
      <c r="A703" t="s">
        <v>1447</v>
      </c>
      <c r="B703" s="1">
        <v>46015</v>
      </c>
      <c r="C703" t="s">
        <v>70</v>
      </c>
      <c r="D703" t="s">
        <v>71</v>
      </c>
      <c r="E703" t="s">
        <v>30</v>
      </c>
      <c r="F703" t="s">
        <v>31</v>
      </c>
      <c r="G703" t="s">
        <v>38</v>
      </c>
      <c r="H703" t="s">
        <v>63</v>
      </c>
      <c r="I703" t="s">
        <v>1448</v>
      </c>
      <c r="J703">
        <v>4</v>
      </c>
      <c r="K703" s="2">
        <v>1956.54</v>
      </c>
      <c r="L703">
        <v>10</v>
      </c>
      <c r="M703" s="2">
        <v>7043.54</v>
      </c>
      <c r="N703" s="2">
        <v>5709.56</v>
      </c>
      <c r="O703" s="2">
        <v>1333.98</v>
      </c>
      <c r="P703" t="s">
        <v>41</v>
      </c>
      <c r="Q703" t="s">
        <v>42</v>
      </c>
      <c r="R703" t="str">
        <f>TEXT(Table1[[#This Row],[Order Date]],"mmmm")</f>
        <v>December</v>
      </c>
      <c r="S703">
        <f>YEAR(Table1[[#This Row],[Order Date]])</f>
        <v>2025</v>
      </c>
    </row>
    <row r="704" spans="1:19" x14ac:dyDescent="0.3">
      <c r="A704" t="s">
        <v>1449</v>
      </c>
      <c r="B704" s="1">
        <v>46041</v>
      </c>
      <c r="C704" t="s">
        <v>20</v>
      </c>
      <c r="D704" t="s">
        <v>21</v>
      </c>
      <c r="E704" t="s">
        <v>22</v>
      </c>
      <c r="F704" t="s">
        <v>37</v>
      </c>
      <c r="G704" t="s">
        <v>24</v>
      </c>
      <c r="H704" t="s">
        <v>134</v>
      </c>
      <c r="I704" t="s">
        <v>1450</v>
      </c>
      <c r="J704">
        <v>3</v>
      </c>
      <c r="K704" s="2">
        <v>2011.67</v>
      </c>
      <c r="L704">
        <v>20</v>
      </c>
      <c r="M704" s="2">
        <v>4828.01</v>
      </c>
      <c r="N704" s="2">
        <v>3560.68</v>
      </c>
      <c r="O704" s="2">
        <v>1267.33</v>
      </c>
      <c r="P704" t="s">
        <v>41</v>
      </c>
      <c r="Q704" t="s">
        <v>42</v>
      </c>
      <c r="R704" t="str">
        <f>TEXT(Table1[[#This Row],[Order Date]],"mmmm")</f>
        <v>January</v>
      </c>
      <c r="S704">
        <f>YEAR(Table1[[#This Row],[Order Date]])</f>
        <v>2026</v>
      </c>
    </row>
    <row r="705" spans="1:19" x14ac:dyDescent="0.3">
      <c r="A705" t="s">
        <v>1451</v>
      </c>
      <c r="B705" s="1">
        <v>45729</v>
      </c>
      <c r="C705" t="s">
        <v>20</v>
      </c>
      <c r="D705" t="s">
        <v>21</v>
      </c>
      <c r="E705" t="s">
        <v>66</v>
      </c>
      <c r="F705" t="s">
        <v>37</v>
      </c>
      <c r="G705" t="s">
        <v>24</v>
      </c>
      <c r="H705" t="s">
        <v>134</v>
      </c>
      <c r="I705" t="s">
        <v>1452</v>
      </c>
      <c r="J705">
        <v>1</v>
      </c>
      <c r="K705" s="2">
        <v>4792.37</v>
      </c>
      <c r="L705">
        <v>5</v>
      </c>
      <c r="M705" s="2">
        <v>4552.75</v>
      </c>
      <c r="N705" s="2">
        <v>2962.28</v>
      </c>
      <c r="O705" s="2">
        <v>1590.47</v>
      </c>
      <c r="P705" t="s">
        <v>48</v>
      </c>
      <c r="Q705" t="s">
        <v>42</v>
      </c>
      <c r="R705" t="str">
        <f>TEXT(Table1[[#This Row],[Order Date]],"mmmm")</f>
        <v>March</v>
      </c>
      <c r="S705">
        <f>YEAR(Table1[[#This Row],[Order Date]])</f>
        <v>2025</v>
      </c>
    </row>
    <row r="706" spans="1:19" x14ac:dyDescent="0.3">
      <c r="A706" t="s">
        <v>1453</v>
      </c>
      <c r="B706" s="1">
        <v>45875</v>
      </c>
      <c r="C706" t="s">
        <v>35</v>
      </c>
      <c r="D706" t="s">
        <v>36</v>
      </c>
      <c r="E706" t="s">
        <v>30</v>
      </c>
      <c r="F706" t="s">
        <v>23</v>
      </c>
      <c r="G706" t="s">
        <v>38</v>
      </c>
      <c r="H706" t="s">
        <v>63</v>
      </c>
      <c r="I706" t="s">
        <v>1454</v>
      </c>
      <c r="J706">
        <v>3</v>
      </c>
      <c r="K706" s="2">
        <v>2402.0700000000002</v>
      </c>
      <c r="L706">
        <v>5</v>
      </c>
      <c r="M706" s="2">
        <v>6845.9</v>
      </c>
      <c r="N706" s="2">
        <v>5117.01</v>
      </c>
      <c r="O706" s="2">
        <v>1728.89</v>
      </c>
      <c r="P706" t="s">
        <v>41</v>
      </c>
      <c r="Q706" t="s">
        <v>49</v>
      </c>
      <c r="R706" t="str">
        <f>TEXT(Table1[[#This Row],[Order Date]],"mmmm")</f>
        <v>August</v>
      </c>
      <c r="S706">
        <f>YEAR(Table1[[#This Row],[Order Date]])</f>
        <v>2025</v>
      </c>
    </row>
    <row r="707" spans="1:19" x14ac:dyDescent="0.3">
      <c r="A707" t="s">
        <v>1455</v>
      </c>
      <c r="B707" s="1">
        <v>45711</v>
      </c>
      <c r="C707" t="s">
        <v>86</v>
      </c>
      <c r="D707" t="s">
        <v>90</v>
      </c>
      <c r="E707" t="s">
        <v>22</v>
      </c>
      <c r="F707" t="s">
        <v>23</v>
      </c>
      <c r="G707" t="s">
        <v>24</v>
      </c>
      <c r="H707" t="s">
        <v>134</v>
      </c>
      <c r="I707" t="s">
        <v>1456</v>
      </c>
      <c r="J707">
        <v>3</v>
      </c>
      <c r="K707" s="2">
        <v>2970.56</v>
      </c>
      <c r="L707">
        <v>5</v>
      </c>
      <c r="M707" s="2">
        <v>8466.1</v>
      </c>
      <c r="N707" s="2">
        <v>4847.72</v>
      </c>
      <c r="O707" s="2">
        <v>3618.38</v>
      </c>
      <c r="P707" t="s">
        <v>41</v>
      </c>
      <c r="Q707" t="s">
        <v>42</v>
      </c>
      <c r="R707" t="str">
        <f>TEXT(Table1[[#This Row],[Order Date]],"mmmm")</f>
        <v>February</v>
      </c>
      <c r="S707">
        <f>YEAR(Table1[[#This Row],[Order Date]])</f>
        <v>2025</v>
      </c>
    </row>
    <row r="708" spans="1:19" x14ac:dyDescent="0.3">
      <c r="A708" t="s">
        <v>1457</v>
      </c>
      <c r="B708" s="1">
        <v>45775</v>
      </c>
      <c r="C708" t="s">
        <v>20</v>
      </c>
      <c r="D708" t="s">
        <v>21</v>
      </c>
      <c r="E708" t="s">
        <v>51</v>
      </c>
      <c r="F708" t="s">
        <v>23</v>
      </c>
      <c r="G708" t="s">
        <v>45</v>
      </c>
      <c r="H708" t="s">
        <v>123</v>
      </c>
      <c r="I708" t="s">
        <v>1458</v>
      </c>
      <c r="J708">
        <v>1</v>
      </c>
      <c r="K708" s="2">
        <v>4658.63</v>
      </c>
      <c r="L708">
        <v>5</v>
      </c>
      <c r="M708" s="2">
        <v>4425.7</v>
      </c>
      <c r="N708" s="2">
        <v>2673.24</v>
      </c>
      <c r="O708" s="2">
        <v>1752.46</v>
      </c>
      <c r="P708" t="s">
        <v>27</v>
      </c>
      <c r="Q708" t="s">
        <v>42</v>
      </c>
      <c r="R708" t="str">
        <f>TEXT(Table1[[#This Row],[Order Date]],"mmmm")</f>
        <v>April</v>
      </c>
      <c r="S708">
        <f>YEAR(Table1[[#This Row],[Order Date]])</f>
        <v>2025</v>
      </c>
    </row>
    <row r="709" spans="1:19" x14ac:dyDescent="0.3">
      <c r="A709" t="s">
        <v>1459</v>
      </c>
      <c r="B709" s="1">
        <v>45938</v>
      </c>
      <c r="C709" t="s">
        <v>70</v>
      </c>
      <c r="D709" t="s">
        <v>75</v>
      </c>
      <c r="E709" t="s">
        <v>22</v>
      </c>
      <c r="F709" t="s">
        <v>37</v>
      </c>
      <c r="G709" t="s">
        <v>24</v>
      </c>
      <c r="H709" t="s">
        <v>56</v>
      </c>
      <c r="I709" t="s">
        <v>1460</v>
      </c>
      <c r="J709">
        <v>11</v>
      </c>
      <c r="K709" s="2">
        <v>3201.02</v>
      </c>
      <c r="L709">
        <v>0</v>
      </c>
      <c r="M709" s="2">
        <v>35211.22</v>
      </c>
      <c r="N709" s="2">
        <v>20240.990000000002</v>
      </c>
      <c r="O709" s="2">
        <v>14970.23</v>
      </c>
      <c r="P709" t="s">
        <v>48</v>
      </c>
      <c r="Q709" t="s">
        <v>42</v>
      </c>
      <c r="R709" t="str">
        <f>TEXT(Table1[[#This Row],[Order Date]],"mmmm")</f>
        <v>October</v>
      </c>
      <c r="S709">
        <f>YEAR(Table1[[#This Row],[Order Date]])</f>
        <v>2025</v>
      </c>
    </row>
    <row r="710" spans="1:19" x14ac:dyDescent="0.3">
      <c r="A710" t="s">
        <v>1461</v>
      </c>
      <c r="B710" s="1">
        <v>45919</v>
      </c>
      <c r="C710" t="s">
        <v>70</v>
      </c>
      <c r="D710" t="s">
        <v>71</v>
      </c>
      <c r="E710" t="s">
        <v>22</v>
      </c>
      <c r="F710" t="s">
        <v>23</v>
      </c>
      <c r="G710" t="s">
        <v>24</v>
      </c>
      <c r="H710" t="s">
        <v>25</v>
      </c>
      <c r="I710" t="s">
        <v>1462</v>
      </c>
      <c r="J710">
        <v>2</v>
      </c>
      <c r="K710" s="2">
        <v>452.72</v>
      </c>
      <c r="L710">
        <v>20</v>
      </c>
      <c r="M710" s="2">
        <v>724.35</v>
      </c>
      <c r="N710" s="2">
        <v>448.38</v>
      </c>
      <c r="O710" s="2">
        <v>275.97000000000003</v>
      </c>
      <c r="P710" t="s">
        <v>27</v>
      </c>
      <c r="Q710" t="s">
        <v>28</v>
      </c>
      <c r="R710" t="str">
        <f>TEXT(Table1[[#This Row],[Order Date]],"mmmm")</f>
        <v>September</v>
      </c>
      <c r="S710">
        <f>YEAR(Table1[[#This Row],[Order Date]])</f>
        <v>2025</v>
      </c>
    </row>
    <row r="711" spans="1:19" x14ac:dyDescent="0.3">
      <c r="A711" t="s">
        <v>1463</v>
      </c>
      <c r="B711" s="1">
        <v>45926</v>
      </c>
      <c r="C711" t="s">
        <v>35</v>
      </c>
      <c r="D711" t="s">
        <v>36</v>
      </c>
      <c r="E711" t="s">
        <v>30</v>
      </c>
      <c r="F711" t="s">
        <v>23</v>
      </c>
      <c r="G711" t="s">
        <v>38</v>
      </c>
      <c r="H711" t="s">
        <v>91</v>
      </c>
      <c r="I711" t="s">
        <v>1464</v>
      </c>
      <c r="J711">
        <v>7</v>
      </c>
      <c r="K711" s="2">
        <v>4527.51</v>
      </c>
      <c r="L711">
        <v>0</v>
      </c>
      <c r="M711" s="2">
        <v>31692.57</v>
      </c>
      <c r="N711" s="2">
        <v>22806.69</v>
      </c>
      <c r="O711" s="2">
        <v>8885.8799999999992</v>
      </c>
      <c r="P711" t="s">
        <v>41</v>
      </c>
      <c r="Q711" t="s">
        <v>61</v>
      </c>
      <c r="R711" t="str">
        <f>TEXT(Table1[[#This Row],[Order Date]],"mmmm")</f>
        <v>September</v>
      </c>
      <c r="S711">
        <f>YEAR(Table1[[#This Row],[Order Date]])</f>
        <v>2025</v>
      </c>
    </row>
    <row r="712" spans="1:19" x14ac:dyDescent="0.3">
      <c r="A712" t="s">
        <v>1465</v>
      </c>
      <c r="B712" s="1">
        <v>46117</v>
      </c>
      <c r="C712" t="s">
        <v>86</v>
      </c>
      <c r="D712" t="s">
        <v>87</v>
      </c>
      <c r="E712" t="s">
        <v>120</v>
      </c>
      <c r="F712" t="s">
        <v>37</v>
      </c>
      <c r="G712" t="s">
        <v>24</v>
      </c>
      <c r="H712" t="s">
        <v>56</v>
      </c>
      <c r="I712" t="s">
        <v>1466</v>
      </c>
      <c r="J712">
        <v>13</v>
      </c>
      <c r="K712" s="2">
        <v>3031.76</v>
      </c>
      <c r="L712">
        <v>0</v>
      </c>
      <c r="M712" s="2">
        <v>39412.879999999997</v>
      </c>
      <c r="N712" s="2">
        <v>27918.19</v>
      </c>
      <c r="O712" s="2">
        <v>11494.69</v>
      </c>
      <c r="P712" t="s">
        <v>41</v>
      </c>
      <c r="Q712" t="s">
        <v>61</v>
      </c>
      <c r="R712" t="str">
        <f>TEXT(Table1[[#This Row],[Order Date]],"mmmm")</f>
        <v>April</v>
      </c>
      <c r="S712">
        <f>YEAR(Table1[[#This Row],[Order Date]])</f>
        <v>2026</v>
      </c>
    </row>
    <row r="713" spans="1:19" x14ac:dyDescent="0.3">
      <c r="A713" t="s">
        <v>1467</v>
      </c>
      <c r="B713" s="1">
        <v>45877</v>
      </c>
      <c r="C713" t="s">
        <v>35</v>
      </c>
      <c r="D713" t="s">
        <v>59</v>
      </c>
      <c r="E713" t="s">
        <v>120</v>
      </c>
      <c r="F713" t="s">
        <v>23</v>
      </c>
      <c r="G713" t="s">
        <v>45</v>
      </c>
      <c r="H713" t="s">
        <v>46</v>
      </c>
      <c r="I713" t="s">
        <v>1468</v>
      </c>
      <c r="J713">
        <v>10</v>
      </c>
      <c r="K713" s="2">
        <v>4672.96</v>
      </c>
      <c r="L713">
        <v>10</v>
      </c>
      <c r="M713" s="2">
        <v>42056.639999999999</v>
      </c>
      <c r="N713" s="2">
        <v>27376.34</v>
      </c>
      <c r="O713" s="2">
        <v>14680.3</v>
      </c>
      <c r="P713" t="s">
        <v>41</v>
      </c>
      <c r="Q713" t="s">
        <v>42</v>
      </c>
      <c r="R713" t="str">
        <f>TEXT(Table1[[#This Row],[Order Date]],"mmmm")</f>
        <v>August</v>
      </c>
      <c r="S713">
        <f>YEAR(Table1[[#This Row],[Order Date]])</f>
        <v>2025</v>
      </c>
    </row>
    <row r="714" spans="1:19" x14ac:dyDescent="0.3">
      <c r="A714" t="s">
        <v>1469</v>
      </c>
      <c r="B714" s="1">
        <v>46115</v>
      </c>
      <c r="C714" t="s">
        <v>70</v>
      </c>
      <c r="D714" t="s">
        <v>75</v>
      </c>
      <c r="E714" t="s">
        <v>113</v>
      </c>
      <c r="F714" t="s">
        <v>23</v>
      </c>
      <c r="G714" t="s">
        <v>38</v>
      </c>
      <c r="H714" t="s">
        <v>39</v>
      </c>
      <c r="I714" t="s">
        <v>1470</v>
      </c>
      <c r="J714">
        <v>2</v>
      </c>
      <c r="K714" s="2">
        <v>2374.08</v>
      </c>
      <c r="L714">
        <v>5</v>
      </c>
      <c r="M714" s="2">
        <v>4510.75</v>
      </c>
      <c r="N714" s="2">
        <v>2520.5700000000002</v>
      </c>
      <c r="O714" s="2">
        <v>1990.18</v>
      </c>
      <c r="P714" t="s">
        <v>48</v>
      </c>
      <c r="Q714" t="s">
        <v>42</v>
      </c>
      <c r="R714" t="str">
        <f>TEXT(Table1[[#This Row],[Order Date]],"mmmm")</f>
        <v>April</v>
      </c>
      <c r="S714">
        <f>YEAR(Table1[[#This Row],[Order Date]])</f>
        <v>2026</v>
      </c>
    </row>
    <row r="715" spans="1:19" x14ac:dyDescent="0.3">
      <c r="A715" t="s">
        <v>1471</v>
      </c>
      <c r="B715" s="1">
        <v>46084</v>
      </c>
      <c r="C715" t="s">
        <v>20</v>
      </c>
      <c r="D715" t="s">
        <v>21</v>
      </c>
      <c r="E715" t="s">
        <v>30</v>
      </c>
      <c r="F715" t="s">
        <v>23</v>
      </c>
      <c r="G715" t="s">
        <v>24</v>
      </c>
      <c r="H715" t="s">
        <v>25</v>
      </c>
      <c r="I715" t="s">
        <v>1472</v>
      </c>
      <c r="J715">
        <v>1</v>
      </c>
      <c r="K715" s="2">
        <v>3623.19</v>
      </c>
      <c r="L715">
        <v>0</v>
      </c>
      <c r="M715" s="2">
        <v>3623.19</v>
      </c>
      <c r="N715" s="2">
        <v>2087.54</v>
      </c>
      <c r="O715" s="2">
        <v>1535.65</v>
      </c>
      <c r="P715" t="s">
        <v>48</v>
      </c>
      <c r="Q715" t="s">
        <v>42</v>
      </c>
      <c r="R715" t="str">
        <f>TEXT(Table1[[#This Row],[Order Date]],"mmmm")</f>
        <v>March</v>
      </c>
      <c r="S715">
        <f>YEAR(Table1[[#This Row],[Order Date]])</f>
        <v>2026</v>
      </c>
    </row>
    <row r="716" spans="1:19" x14ac:dyDescent="0.3">
      <c r="A716" t="s">
        <v>1473</v>
      </c>
      <c r="B716" s="1">
        <v>46145</v>
      </c>
      <c r="C716" t="s">
        <v>70</v>
      </c>
      <c r="D716" t="s">
        <v>75</v>
      </c>
      <c r="E716" t="s">
        <v>51</v>
      </c>
      <c r="F716" t="s">
        <v>31</v>
      </c>
      <c r="G716" t="s">
        <v>24</v>
      </c>
      <c r="H716" t="s">
        <v>134</v>
      </c>
      <c r="I716" t="s">
        <v>1474</v>
      </c>
      <c r="J716">
        <v>9</v>
      </c>
      <c r="K716" s="2">
        <v>2280.5</v>
      </c>
      <c r="L716">
        <v>15</v>
      </c>
      <c r="M716" s="2">
        <v>17445.830000000002</v>
      </c>
      <c r="N716" s="2">
        <v>11247.31</v>
      </c>
      <c r="O716" s="2">
        <v>6198.52</v>
      </c>
      <c r="P716" t="s">
        <v>41</v>
      </c>
      <c r="Q716" t="s">
        <v>42</v>
      </c>
      <c r="R716" t="str">
        <f>TEXT(Table1[[#This Row],[Order Date]],"mmmm")</f>
        <v>May</v>
      </c>
      <c r="S716">
        <f>YEAR(Table1[[#This Row],[Order Date]])</f>
        <v>2026</v>
      </c>
    </row>
    <row r="717" spans="1:19" x14ac:dyDescent="0.3">
      <c r="A717" t="s">
        <v>1475</v>
      </c>
      <c r="B717" s="1">
        <v>46090</v>
      </c>
      <c r="C717" t="s">
        <v>86</v>
      </c>
      <c r="D717" t="s">
        <v>87</v>
      </c>
      <c r="E717" t="s">
        <v>113</v>
      </c>
      <c r="F717" t="s">
        <v>37</v>
      </c>
      <c r="G717" t="s">
        <v>45</v>
      </c>
      <c r="H717" t="s">
        <v>159</v>
      </c>
      <c r="I717" t="s">
        <v>1476</v>
      </c>
      <c r="J717">
        <v>7</v>
      </c>
      <c r="K717" s="2">
        <v>351.86</v>
      </c>
      <c r="L717">
        <v>20</v>
      </c>
      <c r="M717" s="2">
        <v>1970.42</v>
      </c>
      <c r="N717" s="2">
        <v>1359.24</v>
      </c>
      <c r="O717" s="2">
        <v>611.17999999999995</v>
      </c>
      <c r="P717" t="s">
        <v>41</v>
      </c>
      <c r="Q717" t="s">
        <v>61</v>
      </c>
      <c r="R717" t="str">
        <f>TEXT(Table1[[#This Row],[Order Date]],"mmmm")</f>
        <v>March</v>
      </c>
      <c r="S717">
        <f>YEAR(Table1[[#This Row],[Order Date]])</f>
        <v>2026</v>
      </c>
    </row>
    <row r="718" spans="1:19" x14ac:dyDescent="0.3">
      <c r="A718" t="s">
        <v>1477</v>
      </c>
      <c r="B718" s="1">
        <v>45822</v>
      </c>
      <c r="C718" t="s">
        <v>20</v>
      </c>
      <c r="D718" t="s">
        <v>55</v>
      </c>
      <c r="E718" t="s">
        <v>170</v>
      </c>
      <c r="F718" t="s">
        <v>37</v>
      </c>
      <c r="G718" t="s">
        <v>45</v>
      </c>
      <c r="H718" t="s">
        <v>123</v>
      </c>
      <c r="I718" t="s">
        <v>1478</v>
      </c>
      <c r="J718">
        <v>1</v>
      </c>
      <c r="K718" s="2">
        <v>2642.83</v>
      </c>
      <c r="L718">
        <v>0</v>
      </c>
      <c r="M718" s="2">
        <v>2642.83</v>
      </c>
      <c r="N718" s="2">
        <v>1547.67</v>
      </c>
      <c r="O718" s="2">
        <v>1095.1600000000001</v>
      </c>
      <c r="P718" t="s">
        <v>48</v>
      </c>
      <c r="Q718" t="s">
        <v>49</v>
      </c>
      <c r="R718" t="str">
        <f>TEXT(Table1[[#This Row],[Order Date]],"mmmm")</f>
        <v>June</v>
      </c>
      <c r="S718">
        <f>YEAR(Table1[[#This Row],[Order Date]])</f>
        <v>2025</v>
      </c>
    </row>
    <row r="719" spans="1:19" x14ac:dyDescent="0.3">
      <c r="A719" t="s">
        <v>1479</v>
      </c>
      <c r="B719" s="1">
        <v>45881</v>
      </c>
      <c r="C719" t="s">
        <v>35</v>
      </c>
      <c r="D719" t="s">
        <v>36</v>
      </c>
      <c r="E719" t="s">
        <v>66</v>
      </c>
      <c r="F719" t="s">
        <v>31</v>
      </c>
      <c r="G719" t="s">
        <v>24</v>
      </c>
      <c r="H719" t="s">
        <v>32</v>
      </c>
      <c r="I719" t="s">
        <v>1480</v>
      </c>
      <c r="J719">
        <v>6</v>
      </c>
      <c r="K719" s="2">
        <v>1771.53</v>
      </c>
      <c r="L719">
        <v>0</v>
      </c>
      <c r="M719" s="2">
        <v>10629.18</v>
      </c>
      <c r="N719" s="2">
        <v>8197.7800000000007</v>
      </c>
      <c r="O719" s="2">
        <v>2431.4</v>
      </c>
      <c r="P719" t="s">
        <v>27</v>
      </c>
      <c r="Q719" t="s">
        <v>61</v>
      </c>
      <c r="R719" t="str">
        <f>TEXT(Table1[[#This Row],[Order Date]],"mmmm")</f>
        <v>August</v>
      </c>
      <c r="S719">
        <f>YEAR(Table1[[#This Row],[Order Date]])</f>
        <v>2025</v>
      </c>
    </row>
    <row r="720" spans="1:19" x14ac:dyDescent="0.3">
      <c r="A720" t="s">
        <v>1481</v>
      </c>
      <c r="B720" s="1">
        <v>46071</v>
      </c>
      <c r="C720" t="s">
        <v>70</v>
      </c>
      <c r="D720" t="s">
        <v>75</v>
      </c>
      <c r="E720" t="s">
        <v>51</v>
      </c>
      <c r="F720" t="s">
        <v>31</v>
      </c>
      <c r="G720" t="s">
        <v>24</v>
      </c>
      <c r="H720" t="s">
        <v>171</v>
      </c>
      <c r="I720" t="s">
        <v>1482</v>
      </c>
      <c r="J720">
        <v>4</v>
      </c>
      <c r="K720" s="2">
        <v>3438.5</v>
      </c>
      <c r="L720">
        <v>15</v>
      </c>
      <c r="M720" s="2">
        <v>11690.9</v>
      </c>
      <c r="N720" s="2">
        <v>8846.73</v>
      </c>
      <c r="O720" s="2">
        <v>2844.17</v>
      </c>
      <c r="P720" t="s">
        <v>48</v>
      </c>
      <c r="Q720" t="s">
        <v>49</v>
      </c>
      <c r="R720" t="str">
        <f>TEXT(Table1[[#This Row],[Order Date]],"mmmm")</f>
        <v>February</v>
      </c>
      <c r="S720">
        <f>YEAR(Table1[[#This Row],[Order Date]])</f>
        <v>2026</v>
      </c>
    </row>
    <row r="721" spans="1:19" x14ac:dyDescent="0.3">
      <c r="A721" t="s">
        <v>1483</v>
      </c>
      <c r="B721" s="1">
        <v>45846</v>
      </c>
      <c r="C721" t="s">
        <v>20</v>
      </c>
      <c r="D721" t="s">
        <v>21</v>
      </c>
      <c r="E721" t="s">
        <v>51</v>
      </c>
      <c r="F721" t="s">
        <v>23</v>
      </c>
      <c r="G721" t="s">
        <v>38</v>
      </c>
      <c r="H721" t="s">
        <v>106</v>
      </c>
      <c r="I721" t="s">
        <v>1484</v>
      </c>
      <c r="J721">
        <v>13</v>
      </c>
      <c r="K721" s="2">
        <v>730.54</v>
      </c>
      <c r="L721">
        <v>15</v>
      </c>
      <c r="M721" s="2">
        <v>8072.47</v>
      </c>
      <c r="N721" s="2">
        <v>4723.12</v>
      </c>
      <c r="O721" s="2">
        <v>3349.35</v>
      </c>
      <c r="P721" t="s">
        <v>48</v>
      </c>
      <c r="Q721" t="s">
        <v>49</v>
      </c>
      <c r="R721" t="str">
        <f>TEXT(Table1[[#This Row],[Order Date]],"mmmm")</f>
        <v>July</v>
      </c>
      <c r="S721">
        <f>YEAR(Table1[[#This Row],[Order Date]])</f>
        <v>2025</v>
      </c>
    </row>
    <row r="722" spans="1:19" x14ac:dyDescent="0.3">
      <c r="A722" t="s">
        <v>1485</v>
      </c>
      <c r="B722" s="1">
        <v>46030</v>
      </c>
      <c r="C722" t="s">
        <v>35</v>
      </c>
      <c r="D722" t="s">
        <v>36</v>
      </c>
      <c r="E722" t="s">
        <v>51</v>
      </c>
      <c r="F722" t="s">
        <v>37</v>
      </c>
      <c r="G722" t="s">
        <v>45</v>
      </c>
      <c r="H722" t="s">
        <v>159</v>
      </c>
      <c r="I722" t="s">
        <v>1486</v>
      </c>
      <c r="J722">
        <v>2</v>
      </c>
      <c r="K722" s="2">
        <v>3891.54</v>
      </c>
      <c r="L722">
        <v>10</v>
      </c>
      <c r="M722" s="2">
        <v>7004.77</v>
      </c>
      <c r="N722" s="2">
        <v>4434.72</v>
      </c>
      <c r="O722" s="2">
        <v>2570.0500000000002</v>
      </c>
      <c r="P722" t="s">
        <v>27</v>
      </c>
      <c r="Q722" t="s">
        <v>49</v>
      </c>
      <c r="R722" t="str">
        <f>TEXT(Table1[[#This Row],[Order Date]],"mmmm")</f>
        <v>January</v>
      </c>
      <c r="S722">
        <f>YEAR(Table1[[#This Row],[Order Date]])</f>
        <v>2026</v>
      </c>
    </row>
    <row r="723" spans="1:19" x14ac:dyDescent="0.3">
      <c r="A723" t="s">
        <v>1487</v>
      </c>
      <c r="B723" s="1">
        <v>45826</v>
      </c>
      <c r="C723" t="s">
        <v>35</v>
      </c>
      <c r="D723" t="s">
        <v>59</v>
      </c>
      <c r="E723" t="s">
        <v>170</v>
      </c>
      <c r="F723" t="s">
        <v>37</v>
      </c>
      <c r="G723" t="s">
        <v>45</v>
      </c>
      <c r="H723" t="s">
        <v>159</v>
      </c>
      <c r="I723" t="s">
        <v>714</v>
      </c>
      <c r="J723">
        <v>15</v>
      </c>
      <c r="K723" s="2">
        <v>2590.6</v>
      </c>
      <c r="L723">
        <v>5</v>
      </c>
      <c r="M723" s="2">
        <v>36916.050000000003</v>
      </c>
      <c r="N723" s="2">
        <v>29134.12</v>
      </c>
      <c r="O723" s="2">
        <v>7781.93</v>
      </c>
      <c r="P723" t="s">
        <v>41</v>
      </c>
      <c r="Q723" t="s">
        <v>28</v>
      </c>
      <c r="R723" t="str">
        <f>TEXT(Table1[[#This Row],[Order Date]],"mmmm")</f>
        <v>June</v>
      </c>
      <c r="S723">
        <f>YEAR(Table1[[#This Row],[Order Date]])</f>
        <v>2025</v>
      </c>
    </row>
    <row r="724" spans="1:19" x14ac:dyDescent="0.3">
      <c r="A724" t="s">
        <v>1488</v>
      </c>
      <c r="B724" s="1">
        <v>46107</v>
      </c>
      <c r="C724" t="s">
        <v>20</v>
      </c>
      <c r="D724" t="s">
        <v>21</v>
      </c>
      <c r="E724" t="s">
        <v>30</v>
      </c>
      <c r="F724" t="s">
        <v>23</v>
      </c>
      <c r="G724" t="s">
        <v>24</v>
      </c>
      <c r="H724" t="s">
        <v>171</v>
      </c>
      <c r="I724" t="s">
        <v>1489</v>
      </c>
      <c r="J724">
        <v>12</v>
      </c>
      <c r="K724" s="2">
        <v>3485.45</v>
      </c>
      <c r="L724">
        <v>0</v>
      </c>
      <c r="M724" s="2">
        <v>41825.4</v>
      </c>
      <c r="N724" s="2">
        <v>25067.05</v>
      </c>
      <c r="O724" s="2">
        <v>16758.349999999999</v>
      </c>
      <c r="P724" t="s">
        <v>27</v>
      </c>
      <c r="Q724" t="s">
        <v>42</v>
      </c>
      <c r="R724" t="str">
        <f>TEXT(Table1[[#This Row],[Order Date]],"mmmm")</f>
        <v>March</v>
      </c>
      <c r="S724">
        <f>YEAR(Table1[[#This Row],[Order Date]])</f>
        <v>2026</v>
      </c>
    </row>
    <row r="725" spans="1:19" x14ac:dyDescent="0.3">
      <c r="A725" t="s">
        <v>1490</v>
      </c>
      <c r="B725" s="1">
        <v>46077</v>
      </c>
      <c r="C725" t="s">
        <v>70</v>
      </c>
      <c r="D725" t="s">
        <v>71</v>
      </c>
      <c r="E725" t="s">
        <v>170</v>
      </c>
      <c r="F725" t="s">
        <v>31</v>
      </c>
      <c r="G725" t="s">
        <v>45</v>
      </c>
      <c r="H725" t="s">
        <v>52</v>
      </c>
      <c r="I725" t="s">
        <v>1491</v>
      </c>
      <c r="J725">
        <v>10</v>
      </c>
      <c r="K725" s="2">
        <v>4191.0600000000004</v>
      </c>
      <c r="L725">
        <v>20</v>
      </c>
      <c r="M725" s="2">
        <v>33528.480000000003</v>
      </c>
      <c r="N725" s="2">
        <v>25017.32</v>
      </c>
      <c r="O725" s="2">
        <v>8511.16</v>
      </c>
      <c r="P725" t="s">
        <v>27</v>
      </c>
      <c r="Q725" t="s">
        <v>42</v>
      </c>
      <c r="R725" t="str">
        <f>TEXT(Table1[[#This Row],[Order Date]],"mmmm")</f>
        <v>February</v>
      </c>
      <c r="S725">
        <f>YEAR(Table1[[#This Row],[Order Date]])</f>
        <v>2026</v>
      </c>
    </row>
    <row r="726" spans="1:19" x14ac:dyDescent="0.3">
      <c r="A726" t="s">
        <v>1492</v>
      </c>
      <c r="B726" s="1">
        <v>45852</v>
      </c>
      <c r="C726" t="s">
        <v>35</v>
      </c>
      <c r="D726" t="s">
        <v>36</v>
      </c>
      <c r="E726" t="s">
        <v>170</v>
      </c>
      <c r="F726" t="s">
        <v>23</v>
      </c>
      <c r="G726" t="s">
        <v>38</v>
      </c>
      <c r="H726" t="s">
        <v>63</v>
      </c>
      <c r="I726" t="s">
        <v>1493</v>
      </c>
      <c r="J726">
        <v>1</v>
      </c>
      <c r="K726" s="2">
        <v>2905.04</v>
      </c>
      <c r="L726">
        <v>5</v>
      </c>
      <c r="M726" s="2">
        <v>2759.79</v>
      </c>
      <c r="N726" s="2">
        <v>1907.95</v>
      </c>
      <c r="O726" s="2">
        <v>851.84</v>
      </c>
      <c r="P726" t="s">
        <v>41</v>
      </c>
      <c r="Q726" t="s">
        <v>28</v>
      </c>
      <c r="R726" t="str">
        <f>TEXT(Table1[[#This Row],[Order Date]],"mmmm")</f>
        <v>July</v>
      </c>
      <c r="S726">
        <f>YEAR(Table1[[#This Row],[Order Date]])</f>
        <v>2025</v>
      </c>
    </row>
    <row r="727" spans="1:19" x14ac:dyDescent="0.3">
      <c r="A727" t="s">
        <v>1494</v>
      </c>
      <c r="B727" s="1">
        <v>46199</v>
      </c>
      <c r="C727" t="s">
        <v>70</v>
      </c>
      <c r="D727" t="s">
        <v>71</v>
      </c>
      <c r="E727" t="s">
        <v>44</v>
      </c>
      <c r="F727" t="s">
        <v>23</v>
      </c>
      <c r="G727" t="s">
        <v>24</v>
      </c>
      <c r="H727" t="s">
        <v>56</v>
      </c>
      <c r="I727" t="s">
        <v>1495</v>
      </c>
      <c r="J727">
        <v>5</v>
      </c>
      <c r="K727" s="2">
        <v>623.6</v>
      </c>
      <c r="L727">
        <v>10</v>
      </c>
      <c r="M727" s="2">
        <v>2806.2</v>
      </c>
      <c r="N727" s="2">
        <v>1930.46</v>
      </c>
      <c r="O727" s="2">
        <v>875.74</v>
      </c>
      <c r="P727" t="s">
        <v>27</v>
      </c>
      <c r="Q727" t="s">
        <v>42</v>
      </c>
      <c r="R727" t="str">
        <f>TEXT(Table1[[#This Row],[Order Date]],"mmmm")</f>
        <v>June</v>
      </c>
      <c r="S727">
        <f>YEAR(Table1[[#This Row],[Order Date]])</f>
        <v>2026</v>
      </c>
    </row>
    <row r="728" spans="1:19" x14ac:dyDescent="0.3">
      <c r="A728" t="s">
        <v>1496</v>
      </c>
      <c r="B728" s="1">
        <v>45664</v>
      </c>
      <c r="C728" t="s">
        <v>70</v>
      </c>
      <c r="D728" t="s">
        <v>75</v>
      </c>
      <c r="E728" t="s">
        <v>170</v>
      </c>
      <c r="F728" t="s">
        <v>37</v>
      </c>
      <c r="G728" t="s">
        <v>45</v>
      </c>
      <c r="H728" t="s">
        <v>123</v>
      </c>
      <c r="I728" t="s">
        <v>1497</v>
      </c>
      <c r="J728">
        <v>8</v>
      </c>
      <c r="K728" s="2">
        <v>2033.91</v>
      </c>
      <c r="L728">
        <v>5</v>
      </c>
      <c r="M728" s="2">
        <v>15457.72</v>
      </c>
      <c r="N728" s="2">
        <v>12105.53</v>
      </c>
      <c r="O728" s="2">
        <v>3352.19</v>
      </c>
      <c r="P728" t="s">
        <v>27</v>
      </c>
      <c r="Q728" t="s">
        <v>42</v>
      </c>
      <c r="R728" t="str">
        <f>TEXT(Table1[[#This Row],[Order Date]],"mmmm")</f>
        <v>January</v>
      </c>
      <c r="S728">
        <f>YEAR(Table1[[#This Row],[Order Date]])</f>
        <v>2025</v>
      </c>
    </row>
    <row r="729" spans="1:19" x14ac:dyDescent="0.3">
      <c r="A729" t="s">
        <v>1498</v>
      </c>
      <c r="B729" s="1">
        <v>45874</v>
      </c>
      <c r="C729" t="s">
        <v>70</v>
      </c>
      <c r="D729" t="s">
        <v>75</v>
      </c>
      <c r="E729" t="s">
        <v>44</v>
      </c>
      <c r="F729" t="s">
        <v>37</v>
      </c>
      <c r="G729" t="s">
        <v>38</v>
      </c>
      <c r="H729" t="s">
        <v>106</v>
      </c>
      <c r="I729" t="s">
        <v>1499</v>
      </c>
      <c r="J729">
        <v>4</v>
      </c>
      <c r="K729" s="2">
        <v>3307.28</v>
      </c>
      <c r="L729">
        <v>5</v>
      </c>
      <c r="M729" s="2">
        <v>12567.66</v>
      </c>
      <c r="N729" s="2">
        <v>8386.81</v>
      </c>
      <c r="O729" s="2">
        <v>4180.8500000000004</v>
      </c>
      <c r="P729" t="s">
        <v>41</v>
      </c>
      <c r="Q729" t="s">
        <v>42</v>
      </c>
      <c r="R729" t="str">
        <f>TEXT(Table1[[#This Row],[Order Date]],"mmmm")</f>
        <v>August</v>
      </c>
      <c r="S729">
        <f>YEAR(Table1[[#This Row],[Order Date]])</f>
        <v>2025</v>
      </c>
    </row>
    <row r="730" spans="1:19" x14ac:dyDescent="0.3">
      <c r="A730" t="s">
        <v>1500</v>
      </c>
      <c r="B730" s="1">
        <v>45753</v>
      </c>
      <c r="C730" t="s">
        <v>35</v>
      </c>
      <c r="D730" t="s">
        <v>36</v>
      </c>
      <c r="E730" t="s">
        <v>44</v>
      </c>
      <c r="F730" t="s">
        <v>23</v>
      </c>
      <c r="G730" t="s">
        <v>38</v>
      </c>
      <c r="H730" t="s">
        <v>106</v>
      </c>
      <c r="I730" t="s">
        <v>1040</v>
      </c>
      <c r="J730">
        <v>12</v>
      </c>
      <c r="K730" s="2">
        <v>975.14</v>
      </c>
      <c r="L730">
        <v>5</v>
      </c>
      <c r="M730" s="2">
        <v>11116.6</v>
      </c>
      <c r="N730" s="2">
        <v>6649.67</v>
      </c>
      <c r="O730" s="2">
        <v>4466.93</v>
      </c>
      <c r="P730" t="s">
        <v>41</v>
      </c>
      <c r="Q730" t="s">
        <v>28</v>
      </c>
      <c r="R730" t="str">
        <f>TEXT(Table1[[#This Row],[Order Date]],"mmmm")</f>
        <v>April</v>
      </c>
      <c r="S730">
        <f>YEAR(Table1[[#This Row],[Order Date]])</f>
        <v>2025</v>
      </c>
    </row>
    <row r="731" spans="1:19" x14ac:dyDescent="0.3">
      <c r="A731" t="s">
        <v>1501</v>
      </c>
      <c r="B731" s="1">
        <v>46109</v>
      </c>
      <c r="C731" t="s">
        <v>70</v>
      </c>
      <c r="D731" t="s">
        <v>75</v>
      </c>
      <c r="E731" t="s">
        <v>22</v>
      </c>
      <c r="F731" t="s">
        <v>37</v>
      </c>
      <c r="G731" t="s">
        <v>38</v>
      </c>
      <c r="H731" t="s">
        <v>39</v>
      </c>
      <c r="I731" t="s">
        <v>1159</v>
      </c>
      <c r="J731">
        <v>3</v>
      </c>
      <c r="K731" s="2">
        <v>623.21</v>
      </c>
      <c r="L731">
        <v>20</v>
      </c>
      <c r="M731" s="2">
        <v>1495.7</v>
      </c>
      <c r="N731" s="2">
        <v>1096.54</v>
      </c>
      <c r="O731" s="2">
        <v>399.16</v>
      </c>
      <c r="P731" t="s">
        <v>48</v>
      </c>
      <c r="Q731" t="s">
        <v>49</v>
      </c>
      <c r="R731" t="str">
        <f>TEXT(Table1[[#This Row],[Order Date]],"mmmm")</f>
        <v>March</v>
      </c>
      <c r="S731">
        <f>YEAR(Table1[[#This Row],[Order Date]])</f>
        <v>2026</v>
      </c>
    </row>
    <row r="732" spans="1:19" x14ac:dyDescent="0.3">
      <c r="A732" t="s">
        <v>1502</v>
      </c>
      <c r="B732" s="1">
        <v>46084</v>
      </c>
      <c r="C732" t="s">
        <v>35</v>
      </c>
      <c r="D732" t="s">
        <v>36</v>
      </c>
      <c r="E732" t="s">
        <v>170</v>
      </c>
      <c r="F732" t="s">
        <v>23</v>
      </c>
      <c r="G732" t="s">
        <v>24</v>
      </c>
      <c r="H732" t="s">
        <v>171</v>
      </c>
      <c r="I732" t="s">
        <v>1503</v>
      </c>
      <c r="J732">
        <v>13</v>
      </c>
      <c r="K732" s="2">
        <v>4140.6099999999997</v>
      </c>
      <c r="L732">
        <v>15</v>
      </c>
      <c r="M732" s="2">
        <v>45753.74</v>
      </c>
      <c r="N732" s="2">
        <v>27265.919999999998</v>
      </c>
      <c r="O732" s="2">
        <v>18487.82</v>
      </c>
      <c r="P732" t="s">
        <v>27</v>
      </c>
      <c r="Q732" t="s">
        <v>42</v>
      </c>
      <c r="R732" t="str">
        <f>TEXT(Table1[[#This Row],[Order Date]],"mmmm")</f>
        <v>March</v>
      </c>
      <c r="S732">
        <f>YEAR(Table1[[#This Row],[Order Date]])</f>
        <v>2026</v>
      </c>
    </row>
    <row r="733" spans="1:19" x14ac:dyDescent="0.3">
      <c r="A733" t="s">
        <v>1504</v>
      </c>
      <c r="B733" s="1">
        <v>45757</v>
      </c>
      <c r="C733" t="s">
        <v>20</v>
      </c>
      <c r="D733" t="s">
        <v>21</v>
      </c>
      <c r="E733" t="s">
        <v>170</v>
      </c>
      <c r="F733" t="s">
        <v>37</v>
      </c>
      <c r="G733" t="s">
        <v>45</v>
      </c>
      <c r="H733" t="s">
        <v>67</v>
      </c>
      <c r="I733" t="s">
        <v>1505</v>
      </c>
      <c r="J733">
        <v>5</v>
      </c>
      <c r="K733" s="2">
        <v>1112.55</v>
      </c>
      <c r="L733">
        <v>0</v>
      </c>
      <c r="M733" s="2">
        <v>5562.75</v>
      </c>
      <c r="N733" s="2">
        <v>3909.05</v>
      </c>
      <c r="O733" s="2">
        <v>1653.7</v>
      </c>
      <c r="P733" t="s">
        <v>41</v>
      </c>
      <c r="Q733" t="s">
        <v>61</v>
      </c>
      <c r="R733" t="str">
        <f>TEXT(Table1[[#This Row],[Order Date]],"mmmm")</f>
        <v>April</v>
      </c>
      <c r="S733">
        <f>YEAR(Table1[[#This Row],[Order Date]])</f>
        <v>2025</v>
      </c>
    </row>
    <row r="734" spans="1:19" x14ac:dyDescent="0.3">
      <c r="A734" t="s">
        <v>1506</v>
      </c>
      <c r="B734" s="1">
        <v>46076</v>
      </c>
      <c r="C734" t="s">
        <v>20</v>
      </c>
      <c r="D734" t="s">
        <v>21</v>
      </c>
      <c r="E734" t="s">
        <v>170</v>
      </c>
      <c r="F734" t="s">
        <v>37</v>
      </c>
      <c r="G734" t="s">
        <v>24</v>
      </c>
      <c r="H734" t="s">
        <v>134</v>
      </c>
      <c r="I734" t="s">
        <v>1507</v>
      </c>
      <c r="J734">
        <v>5</v>
      </c>
      <c r="K734" s="2">
        <v>844.44</v>
      </c>
      <c r="L734">
        <v>5</v>
      </c>
      <c r="M734" s="2">
        <v>4011.09</v>
      </c>
      <c r="N734" s="2">
        <v>2397.2800000000002</v>
      </c>
      <c r="O734" s="2">
        <v>1613.81</v>
      </c>
      <c r="P734" t="s">
        <v>48</v>
      </c>
      <c r="Q734" t="s">
        <v>28</v>
      </c>
      <c r="R734" t="str">
        <f>TEXT(Table1[[#This Row],[Order Date]],"mmmm")</f>
        <v>February</v>
      </c>
      <c r="S734">
        <f>YEAR(Table1[[#This Row],[Order Date]])</f>
        <v>2026</v>
      </c>
    </row>
    <row r="735" spans="1:19" x14ac:dyDescent="0.3">
      <c r="A735" t="s">
        <v>1508</v>
      </c>
      <c r="B735" s="1">
        <v>46131</v>
      </c>
      <c r="C735" t="s">
        <v>70</v>
      </c>
      <c r="D735" t="s">
        <v>71</v>
      </c>
      <c r="E735" t="s">
        <v>120</v>
      </c>
      <c r="F735" t="s">
        <v>37</v>
      </c>
      <c r="G735" t="s">
        <v>45</v>
      </c>
      <c r="H735" t="s">
        <v>46</v>
      </c>
      <c r="I735" t="s">
        <v>1509</v>
      </c>
      <c r="J735">
        <v>11</v>
      </c>
      <c r="K735" s="2">
        <v>2672.62</v>
      </c>
      <c r="L735">
        <v>10</v>
      </c>
      <c r="M735" s="2">
        <v>26458.94</v>
      </c>
      <c r="N735" s="2">
        <v>20903.23</v>
      </c>
      <c r="O735" s="2">
        <v>5555.71</v>
      </c>
      <c r="P735" t="s">
        <v>48</v>
      </c>
      <c r="Q735" t="s">
        <v>28</v>
      </c>
      <c r="R735" t="str">
        <f>TEXT(Table1[[#This Row],[Order Date]],"mmmm")</f>
        <v>April</v>
      </c>
      <c r="S735">
        <f>YEAR(Table1[[#This Row],[Order Date]])</f>
        <v>2026</v>
      </c>
    </row>
    <row r="736" spans="1:19" x14ac:dyDescent="0.3">
      <c r="A736" t="s">
        <v>1510</v>
      </c>
      <c r="B736" s="1">
        <v>46177</v>
      </c>
      <c r="C736" t="s">
        <v>86</v>
      </c>
      <c r="D736" t="s">
        <v>87</v>
      </c>
      <c r="E736" t="s">
        <v>30</v>
      </c>
      <c r="F736" t="s">
        <v>31</v>
      </c>
      <c r="G736" t="s">
        <v>45</v>
      </c>
      <c r="H736" t="s">
        <v>159</v>
      </c>
      <c r="I736" t="s">
        <v>1511</v>
      </c>
      <c r="J736">
        <v>7</v>
      </c>
      <c r="K736" s="2">
        <v>4535.59</v>
      </c>
      <c r="L736">
        <v>10</v>
      </c>
      <c r="M736" s="2">
        <v>28574.22</v>
      </c>
      <c r="N736" s="2">
        <v>18125.88</v>
      </c>
      <c r="O736" s="2">
        <v>10448.34</v>
      </c>
      <c r="P736" t="s">
        <v>41</v>
      </c>
      <c r="Q736" t="s">
        <v>28</v>
      </c>
      <c r="R736" t="str">
        <f>TEXT(Table1[[#This Row],[Order Date]],"mmmm")</f>
        <v>June</v>
      </c>
      <c r="S736">
        <f>YEAR(Table1[[#This Row],[Order Date]])</f>
        <v>2026</v>
      </c>
    </row>
    <row r="737" spans="1:19" x14ac:dyDescent="0.3">
      <c r="A737" t="s">
        <v>1512</v>
      </c>
      <c r="B737" s="1">
        <v>46196</v>
      </c>
      <c r="C737" t="s">
        <v>86</v>
      </c>
      <c r="D737" t="s">
        <v>90</v>
      </c>
      <c r="E737" t="s">
        <v>22</v>
      </c>
      <c r="F737" t="s">
        <v>31</v>
      </c>
      <c r="G737" t="s">
        <v>24</v>
      </c>
      <c r="H737" t="s">
        <v>171</v>
      </c>
      <c r="I737" t="s">
        <v>1513</v>
      </c>
      <c r="J737">
        <v>10</v>
      </c>
      <c r="K737" s="2">
        <v>865.71</v>
      </c>
      <c r="L737">
        <v>5</v>
      </c>
      <c r="M737" s="2">
        <v>8224.25</v>
      </c>
      <c r="N737" s="2">
        <v>4605.22</v>
      </c>
      <c r="O737" s="2">
        <v>3619.03</v>
      </c>
      <c r="P737" t="s">
        <v>27</v>
      </c>
      <c r="Q737" t="s">
        <v>61</v>
      </c>
      <c r="R737" t="str">
        <f>TEXT(Table1[[#This Row],[Order Date]],"mmmm")</f>
        <v>June</v>
      </c>
      <c r="S737">
        <f>YEAR(Table1[[#This Row],[Order Date]])</f>
        <v>2026</v>
      </c>
    </row>
    <row r="738" spans="1:19" x14ac:dyDescent="0.3">
      <c r="A738" t="s">
        <v>1514</v>
      </c>
      <c r="B738" s="1">
        <v>46015</v>
      </c>
      <c r="C738" t="s">
        <v>20</v>
      </c>
      <c r="D738" t="s">
        <v>55</v>
      </c>
      <c r="E738" t="s">
        <v>170</v>
      </c>
      <c r="F738" t="s">
        <v>31</v>
      </c>
      <c r="G738" t="s">
        <v>45</v>
      </c>
      <c r="H738" t="s">
        <v>123</v>
      </c>
      <c r="I738" t="s">
        <v>1515</v>
      </c>
      <c r="J738">
        <v>5</v>
      </c>
      <c r="K738" s="2">
        <v>2515.58</v>
      </c>
      <c r="L738">
        <v>0</v>
      </c>
      <c r="M738" s="2">
        <v>12577.9</v>
      </c>
      <c r="N738" s="2">
        <v>8736.84</v>
      </c>
      <c r="O738" s="2">
        <v>3841.06</v>
      </c>
      <c r="P738" t="s">
        <v>41</v>
      </c>
      <c r="Q738" t="s">
        <v>42</v>
      </c>
      <c r="R738" t="str">
        <f>TEXT(Table1[[#This Row],[Order Date]],"mmmm")</f>
        <v>December</v>
      </c>
      <c r="S738">
        <f>YEAR(Table1[[#This Row],[Order Date]])</f>
        <v>2025</v>
      </c>
    </row>
    <row r="739" spans="1:19" x14ac:dyDescent="0.3">
      <c r="A739" t="s">
        <v>1516</v>
      </c>
      <c r="B739" s="1">
        <v>45988</v>
      </c>
      <c r="C739" t="s">
        <v>70</v>
      </c>
      <c r="D739" t="s">
        <v>75</v>
      </c>
      <c r="E739" t="s">
        <v>66</v>
      </c>
      <c r="F739" t="s">
        <v>31</v>
      </c>
      <c r="G739" t="s">
        <v>38</v>
      </c>
      <c r="H739" t="s">
        <v>63</v>
      </c>
      <c r="I739" t="s">
        <v>1517</v>
      </c>
      <c r="J739">
        <v>3</v>
      </c>
      <c r="K739" s="2">
        <v>1422.59</v>
      </c>
      <c r="L739">
        <v>5</v>
      </c>
      <c r="M739" s="2">
        <v>4054.38</v>
      </c>
      <c r="N739" s="2">
        <v>3225.21</v>
      </c>
      <c r="O739" s="2">
        <v>829.17</v>
      </c>
      <c r="P739" t="s">
        <v>48</v>
      </c>
      <c r="Q739" t="s">
        <v>42</v>
      </c>
      <c r="R739" t="str">
        <f>TEXT(Table1[[#This Row],[Order Date]],"mmmm")</f>
        <v>November</v>
      </c>
      <c r="S739">
        <f>YEAR(Table1[[#This Row],[Order Date]])</f>
        <v>2025</v>
      </c>
    </row>
    <row r="740" spans="1:19" x14ac:dyDescent="0.3">
      <c r="A740" t="s">
        <v>1518</v>
      </c>
      <c r="B740" s="1">
        <v>45823</v>
      </c>
      <c r="C740" t="s">
        <v>35</v>
      </c>
      <c r="D740" t="s">
        <v>36</v>
      </c>
      <c r="E740" t="s">
        <v>51</v>
      </c>
      <c r="F740" t="s">
        <v>23</v>
      </c>
      <c r="G740" t="s">
        <v>38</v>
      </c>
      <c r="H740" t="s">
        <v>39</v>
      </c>
      <c r="I740" t="s">
        <v>1519</v>
      </c>
      <c r="J740">
        <v>4</v>
      </c>
      <c r="K740" s="2">
        <v>712.4</v>
      </c>
      <c r="L740">
        <v>20</v>
      </c>
      <c r="M740" s="2">
        <v>2279.6799999999998</v>
      </c>
      <c r="N740" s="2">
        <v>1611.55</v>
      </c>
      <c r="O740" s="2">
        <v>668.13</v>
      </c>
      <c r="P740" t="s">
        <v>48</v>
      </c>
      <c r="Q740" t="s">
        <v>28</v>
      </c>
      <c r="R740" t="str">
        <f>TEXT(Table1[[#This Row],[Order Date]],"mmmm")</f>
        <v>June</v>
      </c>
      <c r="S740">
        <f>YEAR(Table1[[#This Row],[Order Date]])</f>
        <v>2025</v>
      </c>
    </row>
    <row r="741" spans="1:19" x14ac:dyDescent="0.3">
      <c r="A741" t="s">
        <v>1520</v>
      </c>
      <c r="B741" s="1">
        <v>45880</v>
      </c>
      <c r="C741" t="s">
        <v>86</v>
      </c>
      <c r="D741" t="s">
        <v>90</v>
      </c>
      <c r="E741" t="s">
        <v>51</v>
      </c>
      <c r="F741" t="s">
        <v>23</v>
      </c>
      <c r="G741" t="s">
        <v>45</v>
      </c>
      <c r="H741" t="s">
        <v>67</v>
      </c>
      <c r="I741" t="s">
        <v>1521</v>
      </c>
      <c r="J741">
        <v>5</v>
      </c>
      <c r="K741" s="2">
        <v>4127.37</v>
      </c>
      <c r="L741">
        <v>15</v>
      </c>
      <c r="M741" s="2">
        <v>17541.32</v>
      </c>
      <c r="N741" s="2">
        <v>13831.7</v>
      </c>
      <c r="O741" s="2">
        <v>3709.62</v>
      </c>
      <c r="P741" t="s">
        <v>41</v>
      </c>
      <c r="Q741" t="s">
        <v>42</v>
      </c>
      <c r="R741" t="str">
        <f>TEXT(Table1[[#This Row],[Order Date]],"mmmm")</f>
        <v>August</v>
      </c>
      <c r="S741">
        <f>YEAR(Table1[[#This Row],[Order Date]])</f>
        <v>2025</v>
      </c>
    </row>
    <row r="742" spans="1:19" x14ac:dyDescent="0.3">
      <c r="A742" t="s">
        <v>1522</v>
      </c>
      <c r="B742" s="1">
        <v>45799</v>
      </c>
      <c r="C742" t="s">
        <v>35</v>
      </c>
      <c r="D742" t="s">
        <v>36</v>
      </c>
      <c r="E742" t="s">
        <v>113</v>
      </c>
      <c r="F742" t="s">
        <v>31</v>
      </c>
      <c r="G742" t="s">
        <v>24</v>
      </c>
      <c r="H742" t="s">
        <v>171</v>
      </c>
      <c r="I742" t="s">
        <v>851</v>
      </c>
      <c r="J742">
        <v>12</v>
      </c>
      <c r="K742" s="2">
        <v>2938.19</v>
      </c>
      <c r="L742">
        <v>15</v>
      </c>
      <c r="M742" s="2">
        <v>29969.54</v>
      </c>
      <c r="N742" s="2">
        <v>23230.29</v>
      </c>
      <c r="O742" s="2">
        <v>6739.25</v>
      </c>
      <c r="P742" t="s">
        <v>41</v>
      </c>
      <c r="Q742" t="s">
        <v>61</v>
      </c>
      <c r="R742" t="str">
        <f>TEXT(Table1[[#This Row],[Order Date]],"mmmm")</f>
        <v>May</v>
      </c>
      <c r="S742">
        <f>YEAR(Table1[[#This Row],[Order Date]])</f>
        <v>2025</v>
      </c>
    </row>
    <row r="743" spans="1:19" x14ac:dyDescent="0.3">
      <c r="A743" t="s">
        <v>1523</v>
      </c>
      <c r="B743" s="1">
        <v>45862</v>
      </c>
      <c r="C743" t="s">
        <v>70</v>
      </c>
      <c r="D743" t="s">
        <v>71</v>
      </c>
      <c r="E743" t="s">
        <v>30</v>
      </c>
      <c r="F743" t="s">
        <v>31</v>
      </c>
      <c r="G743" t="s">
        <v>24</v>
      </c>
      <c r="H743" t="s">
        <v>25</v>
      </c>
      <c r="I743" t="s">
        <v>1524</v>
      </c>
      <c r="J743">
        <v>11</v>
      </c>
      <c r="K743" s="2">
        <v>2122.69</v>
      </c>
      <c r="L743">
        <v>10</v>
      </c>
      <c r="M743" s="2">
        <v>21014.63</v>
      </c>
      <c r="N743" s="2">
        <v>11983.78</v>
      </c>
      <c r="O743" s="2">
        <v>9030.85</v>
      </c>
      <c r="P743" t="s">
        <v>41</v>
      </c>
      <c r="Q743" t="s">
        <v>28</v>
      </c>
      <c r="R743" t="str">
        <f>TEXT(Table1[[#This Row],[Order Date]],"mmmm")</f>
        <v>July</v>
      </c>
      <c r="S743">
        <f>YEAR(Table1[[#This Row],[Order Date]])</f>
        <v>2025</v>
      </c>
    </row>
    <row r="744" spans="1:19" x14ac:dyDescent="0.3">
      <c r="A744" t="s">
        <v>1525</v>
      </c>
      <c r="B744" s="1">
        <v>45667</v>
      </c>
      <c r="C744" t="s">
        <v>35</v>
      </c>
      <c r="D744" t="s">
        <v>36</v>
      </c>
      <c r="E744" t="s">
        <v>120</v>
      </c>
      <c r="F744" t="s">
        <v>23</v>
      </c>
      <c r="G744" t="s">
        <v>24</v>
      </c>
      <c r="H744" t="s">
        <v>32</v>
      </c>
      <c r="I744" t="s">
        <v>1526</v>
      </c>
      <c r="J744">
        <v>12</v>
      </c>
      <c r="K744" s="2">
        <v>528.52</v>
      </c>
      <c r="L744">
        <v>5</v>
      </c>
      <c r="M744" s="2">
        <v>6025.13</v>
      </c>
      <c r="N744" s="2">
        <v>4294.78</v>
      </c>
      <c r="O744" s="2">
        <v>1730.35</v>
      </c>
      <c r="P744" t="s">
        <v>48</v>
      </c>
      <c r="Q744" t="s">
        <v>61</v>
      </c>
      <c r="R744" t="str">
        <f>TEXT(Table1[[#This Row],[Order Date]],"mmmm")</f>
        <v>January</v>
      </c>
      <c r="S744">
        <f>YEAR(Table1[[#This Row],[Order Date]])</f>
        <v>2025</v>
      </c>
    </row>
    <row r="745" spans="1:19" x14ac:dyDescent="0.3">
      <c r="A745" t="s">
        <v>1527</v>
      </c>
      <c r="B745" s="1">
        <v>46092</v>
      </c>
      <c r="C745" t="s">
        <v>86</v>
      </c>
      <c r="D745" t="s">
        <v>90</v>
      </c>
      <c r="E745" t="s">
        <v>120</v>
      </c>
      <c r="F745" t="s">
        <v>37</v>
      </c>
      <c r="G745" t="s">
        <v>38</v>
      </c>
      <c r="H745" t="s">
        <v>106</v>
      </c>
      <c r="I745" t="s">
        <v>1528</v>
      </c>
      <c r="J745">
        <v>4</v>
      </c>
      <c r="K745" s="2">
        <v>1163.1199999999999</v>
      </c>
      <c r="L745">
        <v>0</v>
      </c>
      <c r="M745" s="2">
        <v>4652.4799999999996</v>
      </c>
      <c r="N745" s="2">
        <v>2678.24</v>
      </c>
      <c r="O745" s="2">
        <v>1974.24</v>
      </c>
      <c r="P745" t="s">
        <v>41</v>
      </c>
      <c r="Q745" t="s">
        <v>49</v>
      </c>
      <c r="R745" t="str">
        <f>TEXT(Table1[[#This Row],[Order Date]],"mmmm")</f>
        <v>March</v>
      </c>
      <c r="S745">
        <f>YEAR(Table1[[#This Row],[Order Date]])</f>
        <v>2026</v>
      </c>
    </row>
    <row r="746" spans="1:19" x14ac:dyDescent="0.3">
      <c r="A746" t="s">
        <v>1529</v>
      </c>
      <c r="B746" s="1">
        <v>46061</v>
      </c>
      <c r="C746" t="s">
        <v>86</v>
      </c>
      <c r="D746" t="s">
        <v>87</v>
      </c>
      <c r="E746" t="s">
        <v>30</v>
      </c>
      <c r="F746" t="s">
        <v>37</v>
      </c>
      <c r="G746" t="s">
        <v>45</v>
      </c>
      <c r="H746" t="s">
        <v>46</v>
      </c>
      <c r="I746" t="s">
        <v>1530</v>
      </c>
      <c r="J746">
        <v>2</v>
      </c>
      <c r="K746" s="2">
        <v>3897.07</v>
      </c>
      <c r="L746">
        <v>0</v>
      </c>
      <c r="M746" s="2">
        <v>7794.14</v>
      </c>
      <c r="N746" s="2">
        <v>4847.58</v>
      </c>
      <c r="O746" s="2">
        <v>2946.56</v>
      </c>
      <c r="P746" t="s">
        <v>41</v>
      </c>
      <c r="Q746" t="s">
        <v>42</v>
      </c>
      <c r="R746" t="str">
        <f>TEXT(Table1[[#This Row],[Order Date]],"mmmm")</f>
        <v>February</v>
      </c>
      <c r="S746">
        <f>YEAR(Table1[[#This Row],[Order Date]])</f>
        <v>2026</v>
      </c>
    </row>
    <row r="747" spans="1:19" x14ac:dyDescent="0.3">
      <c r="A747" t="s">
        <v>1531</v>
      </c>
      <c r="B747" s="1">
        <v>45696</v>
      </c>
      <c r="C747" t="s">
        <v>35</v>
      </c>
      <c r="D747" t="s">
        <v>59</v>
      </c>
      <c r="E747" t="s">
        <v>51</v>
      </c>
      <c r="F747" t="s">
        <v>37</v>
      </c>
      <c r="G747" t="s">
        <v>38</v>
      </c>
      <c r="H747" t="s">
        <v>63</v>
      </c>
      <c r="I747" t="s">
        <v>111</v>
      </c>
      <c r="J747">
        <v>15</v>
      </c>
      <c r="K747" s="2">
        <v>3989.01</v>
      </c>
      <c r="L747">
        <v>5</v>
      </c>
      <c r="M747" s="2">
        <v>56843.39</v>
      </c>
      <c r="N747" s="2">
        <v>36279.269999999997</v>
      </c>
      <c r="O747" s="2">
        <v>20564.12</v>
      </c>
      <c r="P747" t="s">
        <v>48</v>
      </c>
      <c r="Q747" t="s">
        <v>49</v>
      </c>
      <c r="R747" t="str">
        <f>TEXT(Table1[[#This Row],[Order Date]],"mmmm")</f>
        <v>February</v>
      </c>
      <c r="S747">
        <f>YEAR(Table1[[#This Row],[Order Date]])</f>
        <v>2025</v>
      </c>
    </row>
    <row r="748" spans="1:19" x14ac:dyDescent="0.3">
      <c r="A748" t="s">
        <v>1532</v>
      </c>
      <c r="B748" s="1">
        <v>46064</v>
      </c>
      <c r="C748" t="s">
        <v>20</v>
      </c>
      <c r="D748" t="s">
        <v>21</v>
      </c>
      <c r="E748" t="s">
        <v>44</v>
      </c>
      <c r="F748" t="s">
        <v>31</v>
      </c>
      <c r="G748" t="s">
        <v>38</v>
      </c>
      <c r="H748" t="s">
        <v>106</v>
      </c>
      <c r="I748" t="s">
        <v>1533</v>
      </c>
      <c r="J748">
        <v>7</v>
      </c>
      <c r="K748" s="2">
        <v>1891.5</v>
      </c>
      <c r="L748">
        <v>0</v>
      </c>
      <c r="M748" s="2">
        <v>13240.5</v>
      </c>
      <c r="N748" s="2">
        <v>9406.98</v>
      </c>
      <c r="O748" s="2">
        <v>3833.52</v>
      </c>
      <c r="P748" t="s">
        <v>27</v>
      </c>
      <c r="Q748" t="s">
        <v>61</v>
      </c>
      <c r="R748" t="str">
        <f>TEXT(Table1[[#This Row],[Order Date]],"mmmm")</f>
        <v>February</v>
      </c>
      <c r="S748">
        <f>YEAR(Table1[[#This Row],[Order Date]])</f>
        <v>2026</v>
      </c>
    </row>
    <row r="749" spans="1:19" x14ac:dyDescent="0.3">
      <c r="A749" t="s">
        <v>1534</v>
      </c>
      <c r="B749" s="1">
        <v>45904</v>
      </c>
      <c r="C749" t="s">
        <v>35</v>
      </c>
      <c r="D749" t="s">
        <v>59</v>
      </c>
      <c r="E749" t="s">
        <v>22</v>
      </c>
      <c r="F749" t="s">
        <v>37</v>
      </c>
      <c r="G749" t="s">
        <v>45</v>
      </c>
      <c r="H749" t="s">
        <v>159</v>
      </c>
      <c r="I749" t="s">
        <v>1535</v>
      </c>
      <c r="J749">
        <v>5</v>
      </c>
      <c r="K749" s="2">
        <v>1478.21</v>
      </c>
      <c r="L749">
        <v>15</v>
      </c>
      <c r="M749" s="2">
        <v>6282.39</v>
      </c>
      <c r="N749" s="2">
        <v>3793.01</v>
      </c>
      <c r="O749" s="2">
        <v>2489.38</v>
      </c>
      <c r="P749" t="s">
        <v>27</v>
      </c>
      <c r="Q749" t="s">
        <v>42</v>
      </c>
      <c r="R749" t="str">
        <f>TEXT(Table1[[#This Row],[Order Date]],"mmmm")</f>
        <v>September</v>
      </c>
      <c r="S749">
        <f>YEAR(Table1[[#This Row],[Order Date]])</f>
        <v>2025</v>
      </c>
    </row>
    <row r="750" spans="1:19" x14ac:dyDescent="0.3">
      <c r="A750" t="s">
        <v>1536</v>
      </c>
      <c r="B750" s="1">
        <v>45959</v>
      </c>
      <c r="C750" t="s">
        <v>86</v>
      </c>
      <c r="D750" t="s">
        <v>90</v>
      </c>
      <c r="E750" t="s">
        <v>170</v>
      </c>
      <c r="F750" t="s">
        <v>23</v>
      </c>
      <c r="G750" t="s">
        <v>38</v>
      </c>
      <c r="H750" t="s">
        <v>72</v>
      </c>
      <c r="I750" t="s">
        <v>1537</v>
      </c>
      <c r="J750">
        <v>8</v>
      </c>
      <c r="K750" s="2">
        <v>4028.87</v>
      </c>
      <c r="L750">
        <v>0</v>
      </c>
      <c r="M750" s="2">
        <v>32230.959999999999</v>
      </c>
      <c r="N750" s="2">
        <v>23389.93</v>
      </c>
      <c r="O750" s="2">
        <v>8841.0300000000007</v>
      </c>
      <c r="P750" t="s">
        <v>27</v>
      </c>
      <c r="Q750" t="s">
        <v>49</v>
      </c>
      <c r="R750" t="str">
        <f>TEXT(Table1[[#This Row],[Order Date]],"mmmm")</f>
        <v>October</v>
      </c>
      <c r="S750">
        <f>YEAR(Table1[[#This Row],[Order Date]])</f>
        <v>2025</v>
      </c>
    </row>
    <row r="751" spans="1:19" x14ac:dyDescent="0.3">
      <c r="A751" t="s">
        <v>1538</v>
      </c>
      <c r="B751" s="1">
        <v>46168</v>
      </c>
      <c r="C751" t="s">
        <v>20</v>
      </c>
      <c r="D751" t="s">
        <v>55</v>
      </c>
      <c r="E751" t="s">
        <v>22</v>
      </c>
      <c r="F751" t="s">
        <v>37</v>
      </c>
      <c r="G751" t="s">
        <v>45</v>
      </c>
      <c r="H751" t="s">
        <v>46</v>
      </c>
      <c r="I751" t="s">
        <v>1539</v>
      </c>
      <c r="J751">
        <v>4</v>
      </c>
      <c r="K751" s="2">
        <v>605.47</v>
      </c>
      <c r="L751">
        <v>10</v>
      </c>
      <c r="M751" s="2">
        <v>2179.69</v>
      </c>
      <c r="N751" s="2">
        <v>1596.88</v>
      </c>
      <c r="O751" s="2">
        <v>582.80999999999995</v>
      </c>
      <c r="P751" t="s">
        <v>48</v>
      </c>
      <c r="Q751" t="s">
        <v>28</v>
      </c>
      <c r="R751" t="str">
        <f>TEXT(Table1[[#This Row],[Order Date]],"mmmm")</f>
        <v>May</v>
      </c>
      <c r="S751">
        <f>YEAR(Table1[[#This Row],[Order Date]])</f>
        <v>2026</v>
      </c>
    </row>
    <row r="752" spans="1:19" x14ac:dyDescent="0.3">
      <c r="A752" t="s">
        <v>1540</v>
      </c>
      <c r="B752" s="1">
        <v>45713</v>
      </c>
      <c r="C752" t="s">
        <v>86</v>
      </c>
      <c r="D752" t="s">
        <v>90</v>
      </c>
      <c r="E752" t="s">
        <v>120</v>
      </c>
      <c r="F752" t="s">
        <v>31</v>
      </c>
      <c r="G752" t="s">
        <v>38</v>
      </c>
      <c r="H752" t="s">
        <v>63</v>
      </c>
      <c r="I752" t="s">
        <v>1541</v>
      </c>
      <c r="J752">
        <v>2</v>
      </c>
      <c r="K752" s="2">
        <v>3483.91</v>
      </c>
      <c r="L752">
        <v>0</v>
      </c>
      <c r="M752" s="2">
        <v>6967.82</v>
      </c>
      <c r="N752" s="2">
        <v>4913.66</v>
      </c>
      <c r="O752" s="2">
        <v>2054.16</v>
      </c>
      <c r="P752" t="s">
        <v>41</v>
      </c>
      <c r="Q752" t="s">
        <v>28</v>
      </c>
      <c r="R752" t="str">
        <f>TEXT(Table1[[#This Row],[Order Date]],"mmmm")</f>
        <v>February</v>
      </c>
      <c r="S752">
        <f>YEAR(Table1[[#This Row],[Order Date]])</f>
        <v>2025</v>
      </c>
    </row>
    <row r="753" spans="1:19" x14ac:dyDescent="0.3">
      <c r="A753" t="s">
        <v>1542</v>
      </c>
      <c r="B753" s="1">
        <v>46014</v>
      </c>
      <c r="C753" t="s">
        <v>86</v>
      </c>
      <c r="D753" t="s">
        <v>90</v>
      </c>
      <c r="E753" t="s">
        <v>170</v>
      </c>
      <c r="F753" t="s">
        <v>37</v>
      </c>
      <c r="G753" t="s">
        <v>45</v>
      </c>
      <c r="H753" t="s">
        <v>67</v>
      </c>
      <c r="I753" t="s">
        <v>1543</v>
      </c>
      <c r="J753">
        <v>13</v>
      </c>
      <c r="K753" s="2">
        <v>802.96</v>
      </c>
      <c r="L753">
        <v>20</v>
      </c>
      <c r="M753" s="2">
        <v>8350.7800000000007</v>
      </c>
      <c r="N753" s="2">
        <v>4688.62</v>
      </c>
      <c r="O753" s="2">
        <v>3662.16</v>
      </c>
      <c r="P753" t="s">
        <v>41</v>
      </c>
      <c r="Q753" t="s">
        <v>28</v>
      </c>
      <c r="R753" t="str">
        <f>TEXT(Table1[[#This Row],[Order Date]],"mmmm")</f>
        <v>December</v>
      </c>
      <c r="S753">
        <f>YEAR(Table1[[#This Row],[Order Date]])</f>
        <v>2025</v>
      </c>
    </row>
    <row r="754" spans="1:19" x14ac:dyDescent="0.3">
      <c r="A754" t="s">
        <v>1544</v>
      </c>
      <c r="B754" s="1">
        <v>45807</v>
      </c>
      <c r="C754" t="s">
        <v>35</v>
      </c>
      <c r="D754" t="s">
        <v>36</v>
      </c>
      <c r="E754" t="s">
        <v>51</v>
      </c>
      <c r="F754" t="s">
        <v>37</v>
      </c>
      <c r="G754" t="s">
        <v>45</v>
      </c>
      <c r="H754" t="s">
        <v>67</v>
      </c>
      <c r="I754" t="s">
        <v>1545</v>
      </c>
      <c r="J754">
        <v>6</v>
      </c>
      <c r="K754" s="2">
        <v>736.94</v>
      </c>
      <c r="L754">
        <v>5</v>
      </c>
      <c r="M754" s="2">
        <v>4200.5600000000004</v>
      </c>
      <c r="N754" s="2">
        <v>2357.4699999999998</v>
      </c>
      <c r="O754" s="2">
        <v>1843.09</v>
      </c>
      <c r="P754" t="s">
        <v>41</v>
      </c>
      <c r="Q754" t="s">
        <v>49</v>
      </c>
      <c r="R754" t="str">
        <f>TEXT(Table1[[#This Row],[Order Date]],"mmmm")</f>
        <v>May</v>
      </c>
      <c r="S754">
        <f>YEAR(Table1[[#This Row],[Order Date]])</f>
        <v>2025</v>
      </c>
    </row>
    <row r="755" spans="1:19" x14ac:dyDescent="0.3">
      <c r="A755" t="s">
        <v>1546</v>
      </c>
      <c r="B755" s="1">
        <v>45973</v>
      </c>
      <c r="C755" t="s">
        <v>20</v>
      </c>
      <c r="D755" t="s">
        <v>55</v>
      </c>
      <c r="E755" t="s">
        <v>113</v>
      </c>
      <c r="F755" t="s">
        <v>23</v>
      </c>
      <c r="G755" t="s">
        <v>45</v>
      </c>
      <c r="H755" t="s">
        <v>159</v>
      </c>
      <c r="I755" t="s">
        <v>1547</v>
      </c>
      <c r="J755">
        <v>4</v>
      </c>
      <c r="K755" s="2">
        <v>4098.5</v>
      </c>
      <c r="L755">
        <v>20</v>
      </c>
      <c r="M755" s="2">
        <v>13115.2</v>
      </c>
      <c r="N755" s="2">
        <v>8252.15</v>
      </c>
      <c r="O755" s="2">
        <v>4863.05</v>
      </c>
      <c r="P755" t="s">
        <v>41</v>
      </c>
      <c r="Q755" t="s">
        <v>49</v>
      </c>
      <c r="R755" t="str">
        <f>TEXT(Table1[[#This Row],[Order Date]],"mmmm")</f>
        <v>November</v>
      </c>
      <c r="S755">
        <f>YEAR(Table1[[#This Row],[Order Date]])</f>
        <v>2025</v>
      </c>
    </row>
    <row r="756" spans="1:19" x14ac:dyDescent="0.3">
      <c r="A756" t="s">
        <v>1548</v>
      </c>
      <c r="B756" s="1">
        <v>46199</v>
      </c>
      <c r="C756" t="s">
        <v>35</v>
      </c>
      <c r="D756" t="s">
        <v>59</v>
      </c>
      <c r="E756" t="s">
        <v>22</v>
      </c>
      <c r="F756" t="s">
        <v>23</v>
      </c>
      <c r="G756" t="s">
        <v>38</v>
      </c>
      <c r="H756" t="s">
        <v>91</v>
      </c>
      <c r="I756" t="s">
        <v>1549</v>
      </c>
      <c r="J756">
        <v>7</v>
      </c>
      <c r="K756" s="2">
        <v>3095.52</v>
      </c>
      <c r="L756">
        <v>10</v>
      </c>
      <c r="M756" s="2">
        <v>19501.78</v>
      </c>
      <c r="N756" s="2">
        <v>10747.75</v>
      </c>
      <c r="O756" s="2">
        <v>8754.0300000000007</v>
      </c>
      <c r="P756" t="s">
        <v>41</v>
      </c>
      <c r="Q756" t="s">
        <v>42</v>
      </c>
      <c r="R756" t="str">
        <f>TEXT(Table1[[#This Row],[Order Date]],"mmmm")</f>
        <v>June</v>
      </c>
      <c r="S756">
        <f>YEAR(Table1[[#This Row],[Order Date]])</f>
        <v>2026</v>
      </c>
    </row>
    <row r="757" spans="1:19" x14ac:dyDescent="0.3">
      <c r="A757" t="s">
        <v>1550</v>
      </c>
      <c r="B757" s="1">
        <v>46201</v>
      </c>
      <c r="C757" t="s">
        <v>86</v>
      </c>
      <c r="D757" t="s">
        <v>90</v>
      </c>
      <c r="E757" t="s">
        <v>170</v>
      </c>
      <c r="F757" t="s">
        <v>37</v>
      </c>
      <c r="G757" t="s">
        <v>38</v>
      </c>
      <c r="H757" t="s">
        <v>106</v>
      </c>
      <c r="I757" t="s">
        <v>1551</v>
      </c>
      <c r="J757">
        <v>5</v>
      </c>
      <c r="K757" s="2">
        <v>3952.05</v>
      </c>
      <c r="L757">
        <v>0</v>
      </c>
      <c r="M757" s="2">
        <v>19760.25</v>
      </c>
      <c r="N757" s="2">
        <v>14234.7</v>
      </c>
      <c r="O757" s="2">
        <v>5525.55</v>
      </c>
      <c r="P757" t="s">
        <v>48</v>
      </c>
      <c r="Q757" t="s">
        <v>61</v>
      </c>
      <c r="R757" t="str">
        <f>TEXT(Table1[[#This Row],[Order Date]],"mmmm")</f>
        <v>June</v>
      </c>
      <c r="S757">
        <f>YEAR(Table1[[#This Row],[Order Date]])</f>
        <v>2026</v>
      </c>
    </row>
    <row r="758" spans="1:19" x14ac:dyDescent="0.3">
      <c r="A758" t="s">
        <v>1552</v>
      </c>
      <c r="B758" s="1">
        <v>45817</v>
      </c>
      <c r="C758" t="s">
        <v>20</v>
      </c>
      <c r="D758" t="s">
        <v>21</v>
      </c>
      <c r="E758" t="s">
        <v>22</v>
      </c>
      <c r="F758" t="s">
        <v>31</v>
      </c>
      <c r="G758" t="s">
        <v>38</v>
      </c>
      <c r="H758" t="s">
        <v>106</v>
      </c>
      <c r="I758" t="s">
        <v>1553</v>
      </c>
      <c r="J758">
        <v>8</v>
      </c>
      <c r="K758" s="2">
        <v>4421.28</v>
      </c>
      <c r="L758">
        <v>0</v>
      </c>
      <c r="M758" s="2">
        <v>35370.239999999998</v>
      </c>
      <c r="N758" s="2">
        <v>27958.11</v>
      </c>
      <c r="O758" s="2">
        <v>7412.13</v>
      </c>
      <c r="P758" t="s">
        <v>48</v>
      </c>
      <c r="Q758" t="s">
        <v>61</v>
      </c>
      <c r="R758" t="str">
        <f>TEXT(Table1[[#This Row],[Order Date]],"mmmm")</f>
        <v>June</v>
      </c>
      <c r="S758">
        <f>YEAR(Table1[[#This Row],[Order Date]])</f>
        <v>2025</v>
      </c>
    </row>
    <row r="759" spans="1:19" x14ac:dyDescent="0.3">
      <c r="A759" t="s">
        <v>1554</v>
      </c>
      <c r="B759" s="1">
        <v>45941</v>
      </c>
      <c r="C759" t="s">
        <v>86</v>
      </c>
      <c r="D759" t="s">
        <v>90</v>
      </c>
      <c r="E759" t="s">
        <v>113</v>
      </c>
      <c r="F759" t="s">
        <v>31</v>
      </c>
      <c r="G759" t="s">
        <v>38</v>
      </c>
      <c r="H759" t="s">
        <v>63</v>
      </c>
      <c r="I759" t="s">
        <v>1555</v>
      </c>
      <c r="J759">
        <v>7</v>
      </c>
      <c r="K759" s="2">
        <v>4472.1099999999997</v>
      </c>
      <c r="L759">
        <v>0</v>
      </c>
      <c r="M759" s="2">
        <v>31304.77</v>
      </c>
      <c r="N759" s="2">
        <v>18270.5</v>
      </c>
      <c r="O759" s="2">
        <v>13034.27</v>
      </c>
      <c r="P759" t="s">
        <v>48</v>
      </c>
      <c r="Q759" t="s">
        <v>61</v>
      </c>
      <c r="R759" t="str">
        <f>TEXT(Table1[[#This Row],[Order Date]],"mmmm")</f>
        <v>October</v>
      </c>
      <c r="S759">
        <f>YEAR(Table1[[#This Row],[Order Date]])</f>
        <v>2025</v>
      </c>
    </row>
    <row r="760" spans="1:19" x14ac:dyDescent="0.3">
      <c r="A760" t="s">
        <v>1556</v>
      </c>
      <c r="B760" s="1">
        <v>45999</v>
      </c>
      <c r="C760" t="s">
        <v>86</v>
      </c>
      <c r="D760" t="s">
        <v>87</v>
      </c>
      <c r="E760" t="s">
        <v>51</v>
      </c>
      <c r="F760" t="s">
        <v>37</v>
      </c>
      <c r="G760" t="s">
        <v>45</v>
      </c>
      <c r="H760" t="s">
        <v>67</v>
      </c>
      <c r="I760" t="s">
        <v>1557</v>
      </c>
      <c r="J760">
        <v>5</v>
      </c>
      <c r="K760" s="2">
        <v>2541.4899999999998</v>
      </c>
      <c r="L760">
        <v>5</v>
      </c>
      <c r="M760" s="2">
        <v>12072.08</v>
      </c>
      <c r="N760" s="2">
        <v>7155.88</v>
      </c>
      <c r="O760" s="2">
        <v>4916.2</v>
      </c>
      <c r="P760" t="s">
        <v>41</v>
      </c>
      <c r="Q760" t="s">
        <v>42</v>
      </c>
      <c r="R760" t="str">
        <f>TEXT(Table1[[#This Row],[Order Date]],"mmmm")</f>
        <v>December</v>
      </c>
      <c r="S760">
        <f>YEAR(Table1[[#This Row],[Order Date]])</f>
        <v>2025</v>
      </c>
    </row>
    <row r="761" spans="1:19" x14ac:dyDescent="0.3">
      <c r="A761" t="s">
        <v>1558</v>
      </c>
      <c r="B761" s="1">
        <v>45808</v>
      </c>
      <c r="C761" t="s">
        <v>86</v>
      </c>
      <c r="D761" t="s">
        <v>90</v>
      </c>
      <c r="E761" t="s">
        <v>44</v>
      </c>
      <c r="F761" t="s">
        <v>31</v>
      </c>
      <c r="G761" t="s">
        <v>38</v>
      </c>
      <c r="H761" t="s">
        <v>72</v>
      </c>
      <c r="I761" t="s">
        <v>1559</v>
      </c>
      <c r="J761">
        <v>5</v>
      </c>
      <c r="K761" s="2">
        <v>4897.3900000000003</v>
      </c>
      <c r="L761">
        <v>20</v>
      </c>
      <c r="M761" s="2">
        <v>19589.560000000001</v>
      </c>
      <c r="N761" s="2">
        <v>14642.36</v>
      </c>
      <c r="O761" s="2">
        <v>4947.2</v>
      </c>
      <c r="P761" t="s">
        <v>41</v>
      </c>
      <c r="Q761" t="s">
        <v>28</v>
      </c>
      <c r="R761" t="str">
        <f>TEXT(Table1[[#This Row],[Order Date]],"mmmm")</f>
        <v>May</v>
      </c>
      <c r="S761">
        <f>YEAR(Table1[[#This Row],[Order Date]])</f>
        <v>2025</v>
      </c>
    </row>
    <row r="762" spans="1:19" x14ac:dyDescent="0.3">
      <c r="A762" t="s">
        <v>1560</v>
      </c>
      <c r="B762" s="1">
        <v>46124</v>
      </c>
      <c r="C762" t="s">
        <v>86</v>
      </c>
      <c r="D762" t="s">
        <v>87</v>
      </c>
      <c r="E762" t="s">
        <v>113</v>
      </c>
      <c r="F762" t="s">
        <v>23</v>
      </c>
      <c r="G762" t="s">
        <v>24</v>
      </c>
      <c r="H762" t="s">
        <v>134</v>
      </c>
      <c r="I762" t="s">
        <v>1561</v>
      </c>
      <c r="J762">
        <v>6</v>
      </c>
      <c r="K762" s="2">
        <v>1413.27</v>
      </c>
      <c r="L762">
        <v>15</v>
      </c>
      <c r="M762" s="2">
        <v>7207.68</v>
      </c>
      <c r="N762" s="2">
        <v>4390.51</v>
      </c>
      <c r="O762" s="2">
        <v>2817.17</v>
      </c>
      <c r="P762" t="s">
        <v>27</v>
      </c>
      <c r="Q762" t="s">
        <v>42</v>
      </c>
      <c r="R762" t="str">
        <f>TEXT(Table1[[#This Row],[Order Date]],"mmmm")</f>
        <v>April</v>
      </c>
      <c r="S762">
        <f>YEAR(Table1[[#This Row],[Order Date]])</f>
        <v>2026</v>
      </c>
    </row>
    <row r="763" spans="1:19" x14ac:dyDescent="0.3">
      <c r="A763" t="s">
        <v>1562</v>
      </c>
      <c r="B763" s="1">
        <v>45736</v>
      </c>
      <c r="C763" t="s">
        <v>70</v>
      </c>
      <c r="D763" t="s">
        <v>75</v>
      </c>
      <c r="E763" t="s">
        <v>30</v>
      </c>
      <c r="F763" t="s">
        <v>37</v>
      </c>
      <c r="G763" t="s">
        <v>38</v>
      </c>
      <c r="H763" t="s">
        <v>39</v>
      </c>
      <c r="I763" t="s">
        <v>1563</v>
      </c>
      <c r="J763">
        <v>11</v>
      </c>
      <c r="K763" s="2">
        <v>934.51</v>
      </c>
      <c r="L763">
        <v>0</v>
      </c>
      <c r="M763" s="2">
        <v>10279.61</v>
      </c>
      <c r="N763" s="2">
        <v>7409.9</v>
      </c>
      <c r="O763" s="2">
        <v>2869.71</v>
      </c>
      <c r="P763" t="s">
        <v>27</v>
      </c>
      <c r="Q763" t="s">
        <v>28</v>
      </c>
      <c r="R763" t="str">
        <f>TEXT(Table1[[#This Row],[Order Date]],"mmmm")</f>
        <v>March</v>
      </c>
      <c r="S763">
        <f>YEAR(Table1[[#This Row],[Order Date]])</f>
        <v>2025</v>
      </c>
    </row>
    <row r="764" spans="1:19" x14ac:dyDescent="0.3">
      <c r="A764" t="s">
        <v>1564</v>
      </c>
      <c r="B764" s="1">
        <v>46033</v>
      </c>
      <c r="C764" t="s">
        <v>86</v>
      </c>
      <c r="D764" t="s">
        <v>87</v>
      </c>
      <c r="E764" t="s">
        <v>120</v>
      </c>
      <c r="F764" t="s">
        <v>37</v>
      </c>
      <c r="G764" t="s">
        <v>38</v>
      </c>
      <c r="H764" t="s">
        <v>91</v>
      </c>
      <c r="I764" t="s">
        <v>1565</v>
      </c>
      <c r="J764">
        <v>14</v>
      </c>
      <c r="K764" s="2">
        <v>356.94</v>
      </c>
      <c r="L764">
        <v>10</v>
      </c>
      <c r="M764" s="2">
        <v>4497.4399999999996</v>
      </c>
      <c r="N764" s="2">
        <v>3482.8</v>
      </c>
      <c r="O764" s="2">
        <v>1014.64</v>
      </c>
      <c r="P764" t="s">
        <v>48</v>
      </c>
      <c r="Q764" t="s">
        <v>61</v>
      </c>
      <c r="R764" t="str">
        <f>TEXT(Table1[[#This Row],[Order Date]],"mmmm")</f>
        <v>January</v>
      </c>
      <c r="S764">
        <f>YEAR(Table1[[#This Row],[Order Date]])</f>
        <v>2026</v>
      </c>
    </row>
    <row r="765" spans="1:19" x14ac:dyDescent="0.3">
      <c r="A765" t="s">
        <v>1566</v>
      </c>
      <c r="B765" s="1">
        <v>45947</v>
      </c>
      <c r="C765" t="s">
        <v>86</v>
      </c>
      <c r="D765" t="s">
        <v>87</v>
      </c>
      <c r="E765" t="s">
        <v>66</v>
      </c>
      <c r="F765" t="s">
        <v>23</v>
      </c>
      <c r="G765" t="s">
        <v>38</v>
      </c>
      <c r="H765" t="s">
        <v>91</v>
      </c>
      <c r="I765" t="s">
        <v>1567</v>
      </c>
      <c r="J765">
        <v>15</v>
      </c>
      <c r="K765" s="2">
        <v>2716.28</v>
      </c>
      <c r="L765">
        <v>15</v>
      </c>
      <c r="M765" s="2">
        <v>34632.57</v>
      </c>
      <c r="N765" s="2">
        <v>25526.639999999999</v>
      </c>
      <c r="O765" s="2">
        <v>9105.93</v>
      </c>
      <c r="P765" t="s">
        <v>48</v>
      </c>
      <c r="Q765" t="s">
        <v>49</v>
      </c>
      <c r="R765" t="str">
        <f>TEXT(Table1[[#This Row],[Order Date]],"mmmm")</f>
        <v>October</v>
      </c>
      <c r="S765">
        <f>YEAR(Table1[[#This Row],[Order Date]])</f>
        <v>2025</v>
      </c>
    </row>
    <row r="766" spans="1:19" x14ac:dyDescent="0.3">
      <c r="A766" t="s">
        <v>1568</v>
      </c>
      <c r="B766" s="1">
        <v>46110</v>
      </c>
      <c r="C766" t="s">
        <v>70</v>
      </c>
      <c r="D766" t="s">
        <v>71</v>
      </c>
      <c r="E766" t="s">
        <v>44</v>
      </c>
      <c r="F766" t="s">
        <v>31</v>
      </c>
      <c r="G766" t="s">
        <v>38</v>
      </c>
      <c r="H766" t="s">
        <v>106</v>
      </c>
      <c r="I766" t="s">
        <v>1569</v>
      </c>
      <c r="J766">
        <v>4</v>
      </c>
      <c r="K766" s="2">
        <v>4618.24</v>
      </c>
      <c r="L766">
        <v>5</v>
      </c>
      <c r="M766" s="2">
        <v>17549.310000000001</v>
      </c>
      <c r="N766" s="2">
        <v>10724.05</v>
      </c>
      <c r="O766" s="2">
        <v>6825.26</v>
      </c>
      <c r="P766" t="s">
        <v>48</v>
      </c>
      <c r="Q766" t="s">
        <v>28</v>
      </c>
      <c r="R766" t="str">
        <f>TEXT(Table1[[#This Row],[Order Date]],"mmmm")</f>
        <v>March</v>
      </c>
      <c r="S766">
        <f>YEAR(Table1[[#This Row],[Order Date]])</f>
        <v>2026</v>
      </c>
    </row>
    <row r="767" spans="1:19" x14ac:dyDescent="0.3">
      <c r="A767" t="s">
        <v>1570</v>
      </c>
      <c r="B767" s="1">
        <v>45819</v>
      </c>
      <c r="C767" t="s">
        <v>86</v>
      </c>
      <c r="D767" t="s">
        <v>90</v>
      </c>
      <c r="E767" t="s">
        <v>113</v>
      </c>
      <c r="F767" t="s">
        <v>23</v>
      </c>
      <c r="G767" t="s">
        <v>45</v>
      </c>
      <c r="H767" t="s">
        <v>159</v>
      </c>
      <c r="I767" t="s">
        <v>1571</v>
      </c>
      <c r="J767">
        <v>9</v>
      </c>
      <c r="K767" s="2">
        <v>4866.88</v>
      </c>
      <c r="L767">
        <v>20</v>
      </c>
      <c r="M767" s="2">
        <v>35041.54</v>
      </c>
      <c r="N767" s="2">
        <v>22579.72</v>
      </c>
      <c r="O767" s="2">
        <v>12461.82</v>
      </c>
      <c r="P767" t="s">
        <v>48</v>
      </c>
      <c r="Q767" t="s">
        <v>61</v>
      </c>
      <c r="R767" t="str">
        <f>TEXT(Table1[[#This Row],[Order Date]],"mmmm")</f>
        <v>June</v>
      </c>
      <c r="S767">
        <f>YEAR(Table1[[#This Row],[Order Date]])</f>
        <v>2025</v>
      </c>
    </row>
    <row r="768" spans="1:19" x14ac:dyDescent="0.3">
      <c r="A768" t="s">
        <v>1572</v>
      </c>
      <c r="B768" s="1">
        <v>45928</v>
      </c>
      <c r="C768" t="s">
        <v>70</v>
      </c>
      <c r="D768" t="s">
        <v>71</v>
      </c>
      <c r="E768" t="s">
        <v>22</v>
      </c>
      <c r="F768" t="s">
        <v>23</v>
      </c>
      <c r="G768" t="s">
        <v>45</v>
      </c>
      <c r="H768" t="s">
        <v>67</v>
      </c>
      <c r="I768" t="s">
        <v>1573</v>
      </c>
      <c r="J768">
        <v>4</v>
      </c>
      <c r="K768" s="2">
        <v>1825.91</v>
      </c>
      <c r="L768">
        <v>10</v>
      </c>
      <c r="M768" s="2">
        <v>6573.28</v>
      </c>
      <c r="N768" s="2">
        <v>5373.68</v>
      </c>
      <c r="O768" s="2">
        <v>1199.5999999999999</v>
      </c>
      <c r="P768" t="s">
        <v>27</v>
      </c>
      <c r="Q768" t="s">
        <v>61</v>
      </c>
      <c r="R768" t="str">
        <f>TEXT(Table1[[#This Row],[Order Date]],"mmmm")</f>
        <v>September</v>
      </c>
      <c r="S768">
        <f>YEAR(Table1[[#This Row],[Order Date]])</f>
        <v>2025</v>
      </c>
    </row>
    <row r="769" spans="1:19" x14ac:dyDescent="0.3">
      <c r="A769" t="s">
        <v>1574</v>
      </c>
      <c r="B769" s="1">
        <v>45668</v>
      </c>
      <c r="C769" t="s">
        <v>86</v>
      </c>
      <c r="D769" t="s">
        <v>87</v>
      </c>
      <c r="E769" t="s">
        <v>170</v>
      </c>
      <c r="F769" t="s">
        <v>37</v>
      </c>
      <c r="G769" t="s">
        <v>24</v>
      </c>
      <c r="H769" t="s">
        <v>134</v>
      </c>
      <c r="I769" t="s">
        <v>1575</v>
      </c>
      <c r="J769">
        <v>4</v>
      </c>
      <c r="K769" s="2">
        <v>3982.05</v>
      </c>
      <c r="L769">
        <v>0</v>
      </c>
      <c r="M769" s="2">
        <v>15928.2</v>
      </c>
      <c r="N769" s="2">
        <v>9821.3700000000008</v>
      </c>
      <c r="O769" s="2">
        <v>6106.83</v>
      </c>
      <c r="P769" t="s">
        <v>27</v>
      </c>
      <c r="Q769" t="s">
        <v>28</v>
      </c>
      <c r="R769" t="str">
        <f>TEXT(Table1[[#This Row],[Order Date]],"mmmm")</f>
        <v>January</v>
      </c>
      <c r="S769">
        <f>YEAR(Table1[[#This Row],[Order Date]])</f>
        <v>2025</v>
      </c>
    </row>
    <row r="770" spans="1:19" x14ac:dyDescent="0.3">
      <c r="A770" t="s">
        <v>1576</v>
      </c>
      <c r="B770" s="1">
        <v>45945</v>
      </c>
      <c r="C770" t="s">
        <v>20</v>
      </c>
      <c r="D770" t="s">
        <v>21</v>
      </c>
      <c r="E770" t="s">
        <v>51</v>
      </c>
      <c r="F770" t="s">
        <v>23</v>
      </c>
      <c r="G770" t="s">
        <v>45</v>
      </c>
      <c r="H770" t="s">
        <v>52</v>
      </c>
      <c r="I770" t="s">
        <v>1577</v>
      </c>
      <c r="J770">
        <v>4</v>
      </c>
      <c r="K770" s="2">
        <v>1065.92</v>
      </c>
      <c r="L770">
        <v>15</v>
      </c>
      <c r="M770" s="2">
        <v>3624.13</v>
      </c>
      <c r="N770" s="2">
        <v>2308.6799999999998</v>
      </c>
      <c r="O770" s="2">
        <v>1315.45</v>
      </c>
      <c r="P770" t="s">
        <v>27</v>
      </c>
      <c r="Q770" t="s">
        <v>28</v>
      </c>
      <c r="R770" t="str">
        <f>TEXT(Table1[[#This Row],[Order Date]],"mmmm")</f>
        <v>October</v>
      </c>
      <c r="S770">
        <f>YEAR(Table1[[#This Row],[Order Date]])</f>
        <v>2025</v>
      </c>
    </row>
    <row r="771" spans="1:19" x14ac:dyDescent="0.3">
      <c r="A771" t="s">
        <v>1578</v>
      </c>
      <c r="B771" s="1">
        <v>45715</v>
      </c>
      <c r="C771" t="s">
        <v>70</v>
      </c>
      <c r="D771" t="s">
        <v>71</v>
      </c>
      <c r="E771" t="s">
        <v>120</v>
      </c>
      <c r="F771" t="s">
        <v>23</v>
      </c>
      <c r="G771" t="s">
        <v>45</v>
      </c>
      <c r="H771" t="s">
        <v>67</v>
      </c>
      <c r="I771" t="s">
        <v>1579</v>
      </c>
      <c r="J771">
        <v>11</v>
      </c>
      <c r="K771" s="2">
        <v>3343.26</v>
      </c>
      <c r="L771">
        <v>5</v>
      </c>
      <c r="M771" s="2">
        <v>34937.07</v>
      </c>
      <c r="N771" s="2">
        <v>20060.57</v>
      </c>
      <c r="O771" s="2">
        <v>14876.5</v>
      </c>
      <c r="P771" t="s">
        <v>48</v>
      </c>
      <c r="Q771" t="s">
        <v>28</v>
      </c>
      <c r="R771" t="str">
        <f>TEXT(Table1[[#This Row],[Order Date]],"mmmm")</f>
        <v>February</v>
      </c>
      <c r="S771">
        <f>YEAR(Table1[[#This Row],[Order Date]])</f>
        <v>2025</v>
      </c>
    </row>
    <row r="772" spans="1:19" x14ac:dyDescent="0.3">
      <c r="A772" t="s">
        <v>1580</v>
      </c>
      <c r="B772" s="1">
        <v>45738</v>
      </c>
      <c r="C772" t="s">
        <v>70</v>
      </c>
      <c r="D772" t="s">
        <v>75</v>
      </c>
      <c r="E772" t="s">
        <v>22</v>
      </c>
      <c r="F772" t="s">
        <v>31</v>
      </c>
      <c r="G772" t="s">
        <v>45</v>
      </c>
      <c r="H772" t="s">
        <v>123</v>
      </c>
      <c r="I772" t="s">
        <v>1581</v>
      </c>
      <c r="J772">
        <v>6</v>
      </c>
      <c r="K772" s="2">
        <v>741.14</v>
      </c>
      <c r="L772">
        <v>10</v>
      </c>
      <c r="M772" s="2">
        <v>4002.16</v>
      </c>
      <c r="N772" s="2">
        <v>2402.1799999999998</v>
      </c>
      <c r="O772" s="2">
        <v>1599.98</v>
      </c>
      <c r="P772" t="s">
        <v>27</v>
      </c>
      <c r="Q772" t="s">
        <v>28</v>
      </c>
      <c r="R772" t="str">
        <f>TEXT(Table1[[#This Row],[Order Date]],"mmmm")</f>
        <v>March</v>
      </c>
      <c r="S772">
        <f>YEAR(Table1[[#This Row],[Order Date]])</f>
        <v>2025</v>
      </c>
    </row>
    <row r="773" spans="1:19" x14ac:dyDescent="0.3">
      <c r="A773" t="s">
        <v>1582</v>
      </c>
      <c r="B773" s="1">
        <v>45917</v>
      </c>
      <c r="C773" t="s">
        <v>70</v>
      </c>
      <c r="D773" t="s">
        <v>75</v>
      </c>
      <c r="E773" t="s">
        <v>51</v>
      </c>
      <c r="F773" t="s">
        <v>23</v>
      </c>
      <c r="G773" t="s">
        <v>38</v>
      </c>
      <c r="H773" t="s">
        <v>91</v>
      </c>
      <c r="I773" t="s">
        <v>1583</v>
      </c>
      <c r="J773">
        <v>11</v>
      </c>
      <c r="K773" s="2">
        <v>4408.57</v>
      </c>
      <c r="L773">
        <v>15</v>
      </c>
      <c r="M773" s="2">
        <v>41220.129999999997</v>
      </c>
      <c r="N773" s="2">
        <v>31490.560000000001</v>
      </c>
      <c r="O773" s="2">
        <v>9729.57</v>
      </c>
      <c r="P773" t="s">
        <v>41</v>
      </c>
      <c r="Q773" t="s">
        <v>28</v>
      </c>
      <c r="R773" t="str">
        <f>TEXT(Table1[[#This Row],[Order Date]],"mmmm")</f>
        <v>September</v>
      </c>
      <c r="S773">
        <f>YEAR(Table1[[#This Row],[Order Date]])</f>
        <v>2025</v>
      </c>
    </row>
    <row r="774" spans="1:19" x14ac:dyDescent="0.3">
      <c r="A774" t="s">
        <v>1584</v>
      </c>
      <c r="B774" s="1">
        <v>45705</v>
      </c>
      <c r="C774" t="s">
        <v>35</v>
      </c>
      <c r="D774" t="s">
        <v>59</v>
      </c>
      <c r="E774" t="s">
        <v>120</v>
      </c>
      <c r="F774" t="s">
        <v>37</v>
      </c>
      <c r="G774" t="s">
        <v>45</v>
      </c>
      <c r="H774" t="s">
        <v>123</v>
      </c>
      <c r="I774" t="s">
        <v>1585</v>
      </c>
      <c r="J774">
        <v>14</v>
      </c>
      <c r="K774" s="2">
        <v>901.16</v>
      </c>
      <c r="L774">
        <v>20</v>
      </c>
      <c r="M774" s="2">
        <v>10092.99</v>
      </c>
      <c r="N774" s="2">
        <v>7899.18</v>
      </c>
      <c r="O774" s="2">
        <v>2193.81</v>
      </c>
      <c r="P774" t="s">
        <v>41</v>
      </c>
      <c r="Q774" t="s">
        <v>42</v>
      </c>
      <c r="R774" t="str">
        <f>TEXT(Table1[[#This Row],[Order Date]],"mmmm")</f>
        <v>February</v>
      </c>
      <c r="S774">
        <f>YEAR(Table1[[#This Row],[Order Date]])</f>
        <v>2025</v>
      </c>
    </row>
    <row r="775" spans="1:19" x14ac:dyDescent="0.3">
      <c r="A775" t="s">
        <v>1586</v>
      </c>
      <c r="B775" s="1">
        <v>45793</v>
      </c>
      <c r="C775" t="s">
        <v>70</v>
      </c>
      <c r="D775" t="s">
        <v>71</v>
      </c>
      <c r="E775" t="s">
        <v>113</v>
      </c>
      <c r="F775" t="s">
        <v>31</v>
      </c>
      <c r="G775" t="s">
        <v>24</v>
      </c>
      <c r="H775" t="s">
        <v>32</v>
      </c>
      <c r="I775" t="s">
        <v>1587</v>
      </c>
      <c r="J775">
        <v>4</v>
      </c>
      <c r="K775" s="2">
        <v>1494.77</v>
      </c>
      <c r="L775">
        <v>15</v>
      </c>
      <c r="M775" s="2">
        <v>5082.22</v>
      </c>
      <c r="N775" s="2">
        <v>2852.13</v>
      </c>
      <c r="O775" s="2">
        <v>2230.09</v>
      </c>
      <c r="P775" t="s">
        <v>41</v>
      </c>
      <c r="Q775" t="s">
        <v>28</v>
      </c>
      <c r="R775" t="str">
        <f>TEXT(Table1[[#This Row],[Order Date]],"mmmm")</f>
        <v>May</v>
      </c>
      <c r="S775">
        <f>YEAR(Table1[[#This Row],[Order Date]])</f>
        <v>2025</v>
      </c>
    </row>
    <row r="776" spans="1:19" x14ac:dyDescent="0.3">
      <c r="A776" t="s">
        <v>1588</v>
      </c>
      <c r="B776" s="1">
        <v>45987</v>
      </c>
      <c r="C776" t="s">
        <v>35</v>
      </c>
      <c r="D776" t="s">
        <v>59</v>
      </c>
      <c r="E776" t="s">
        <v>22</v>
      </c>
      <c r="F776" t="s">
        <v>31</v>
      </c>
      <c r="G776" t="s">
        <v>24</v>
      </c>
      <c r="H776" t="s">
        <v>134</v>
      </c>
      <c r="I776" t="s">
        <v>1589</v>
      </c>
      <c r="J776">
        <v>4</v>
      </c>
      <c r="K776" s="2">
        <v>737.64</v>
      </c>
      <c r="L776">
        <v>5</v>
      </c>
      <c r="M776" s="2">
        <v>2803.03</v>
      </c>
      <c r="N776" s="2">
        <v>2152.14</v>
      </c>
      <c r="O776" s="2">
        <v>650.89</v>
      </c>
      <c r="P776" t="s">
        <v>27</v>
      </c>
      <c r="Q776" t="s">
        <v>28</v>
      </c>
      <c r="R776" t="str">
        <f>TEXT(Table1[[#This Row],[Order Date]],"mmmm")</f>
        <v>November</v>
      </c>
      <c r="S776">
        <f>YEAR(Table1[[#This Row],[Order Date]])</f>
        <v>2025</v>
      </c>
    </row>
    <row r="777" spans="1:19" x14ac:dyDescent="0.3">
      <c r="A777" t="s">
        <v>1590</v>
      </c>
      <c r="B777" s="1">
        <v>45964</v>
      </c>
      <c r="C777" t="s">
        <v>20</v>
      </c>
      <c r="D777" t="s">
        <v>55</v>
      </c>
      <c r="E777" t="s">
        <v>113</v>
      </c>
      <c r="F777" t="s">
        <v>31</v>
      </c>
      <c r="G777" t="s">
        <v>45</v>
      </c>
      <c r="H777" t="s">
        <v>67</v>
      </c>
      <c r="I777" t="s">
        <v>1591</v>
      </c>
      <c r="J777">
        <v>11</v>
      </c>
      <c r="K777" s="2">
        <v>3506.42</v>
      </c>
      <c r="L777">
        <v>20</v>
      </c>
      <c r="M777" s="2">
        <v>30856.5</v>
      </c>
      <c r="N777" s="2">
        <v>19860.98</v>
      </c>
      <c r="O777" s="2">
        <v>10995.52</v>
      </c>
      <c r="P777" t="s">
        <v>41</v>
      </c>
      <c r="Q777" t="s">
        <v>49</v>
      </c>
      <c r="R777" t="str">
        <f>TEXT(Table1[[#This Row],[Order Date]],"mmmm")</f>
        <v>November</v>
      </c>
      <c r="S777">
        <f>YEAR(Table1[[#This Row],[Order Date]])</f>
        <v>2025</v>
      </c>
    </row>
    <row r="778" spans="1:19" x14ac:dyDescent="0.3">
      <c r="A778" t="s">
        <v>1592</v>
      </c>
      <c r="B778" s="1">
        <v>45948</v>
      </c>
      <c r="C778" t="s">
        <v>86</v>
      </c>
      <c r="D778" t="s">
        <v>90</v>
      </c>
      <c r="E778" t="s">
        <v>22</v>
      </c>
      <c r="F778" t="s">
        <v>31</v>
      </c>
      <c r="G778" t="s">
        <v>24</v>
      </c>
      <c r="H778" t="s">
        <v>25</v>
      </c>
      <c r="I778" t="s">
        <v>1309</v>
      </c>
      <c r="J778">
        <v>13</v>
      </c>
      <c r="K778" s="2">
        <v>3630.65</v>
      </c>
      <c r="L778">
        <v>0</v>
      </c>
      <c r="M778" s="2">
        <v>47198.45</v>
      </c>
      <c r="N778" s="2">
        <v>32172.3</v>
      </c>
      <c r="O778" s="2">
        <v>15026.15</v>
      </c>
      <c r="P778" t="s">
        <v>48</v>
      </c>
      <c r="Q778" t="s">
        <v>28</v>
      </c>
      <c r="R778" t="str">
        <f>TEXT(Table1[[#This Row],[Order Date]],"mmmm")</f>
        <v>October</v>
      </c>
      <c r="S778">
        <f>YEAR(Table1[[#This Row],[Order Date]])</f>
        <v>2025</v>
      </c>
    </row>
    <row r="779" spans="1:19" x14ac:dyDescent="0.3">
      <c r="A779" t="s">
        <v>1593</v>
      </c>
      <c r="B779" s="1">
        <v>45921</v>
      </c>
      <c r="C779" t="s">
        <v>70</v>
      </c>
      <c r="D779" t="s">
        <v>75</v>
      </c>
      <c r="E779" t="s">
        <v>120</v>
      </c>
      <c r="F779" t="s">
        <v>37</v>
      </c>
      <c r="G779" t="s">
        <v>45</v>
      </c>
      <c r="H779" t="s">
        <v>159</v>
      </c>
      <c r="I779" t="s">
        <v>1013</v>
      </c>
      <c r="J779">
        <v>8</v>
      </c>
      <c r="K779" s="2">
        <v>3549.92</v>
      </c>
      <c r="L779">
        <v>15</v>
      </c>
      <c r="M779" s="2">
        <v>24139.46</v>
      </c>
      <c r="N779" s="2">
        <v>14822.46</v>
      </c>
      <c r="O779" s="2">
        <v>9317</v>
      </c>
      <c r="P779" t="s">
        <v>41</v>
      </c>
      <c r="Q779" t="s">
        <v>61</v>
      </c>
      <c r="R779" t="str">
        <f>TEXT(Table1[[#This Row],[Order Date]],"mmmm")</f>
        <v>September</v>
      </c>
      <c r="S779">
        <f>YEAR(Table1[[#This Row],[Order Date]])</f>
        <v>2025</v>
      </c>
    </row>
    <row r="780" spans="1:19" x14ac:dyDescent="0.3">
      <c r="A780" t="s">
        <v>1594</v>
      </c>
      <c r="B780" s="1">
        <v>46037</v>
      </c>
      <c r="C780" t="s">
        <v>20</v>
      </c>
      <c r="D780" t="s">
        <v>55</v>
      </c>
      <c r="E780" t="s">
        <v>51</v>
      </c>
      <c r="F780" t="s">
        <v>23</v>
      </c>
      <c r="G780" t="s">
        <v>24</v>
      </c>
      <c r="H780" t="s">
        <v>171</v>
      </c>
      <c r="I780" t="s">
        <v>1595</v>
      </c>
      <c r="J780">
        <v>13</v>
      </c>
      <c r="K780" s="2">
        <v>2445.54</v>
      </c>
      <c r="L780">
        <v>0</v>
      </c>
      <c r="M780" s="2">
        <v>31792.02</v>
      </c>
      <c r="N780" s="2">
        <v>23568.7</v>
      </c>
      <c r="O780" s="2">
        <v>8223.32</v>
      </c>
      <c r="P780" t="s">
        <v>41</v>
      </c>
      <c r="Q780" t="s">
        <v>28</v>
      </c>
      <c r="R780" t="str">
        <f>TEXT(Table1[[#This Row],[Order Date]],"mmmm")</f>
        <v>January</v>
      </c>
      <c r="S780">
        <f>YEAR(Table1[[#This Row],[Order Date]])</f>
        <v>2026</v>
      </c>
    </row>
    <row r="781" spans="1:19" x14ac:dyDescent="0.3">
      <c r="A781" t="s">
        <v>1596</v>
      </c>
      <c r="B781" s="1">
        <v>45770</v>
      </c>
      <c r="C781" t="s">
        <v>35</v>
      </c>
      <c r="D781" t="s">
        <v>36</v>
      </c>
      <c r="E781" t="s">
        <v>44</v>
      </c>
      <c r="F781" t="s">
        <v>31</v>
      </c>
      <c r="G781" t="s">
        <v>38</v>
      </c>
      <c r="H781" t="s">
        <v>106</v>
      </c>
      <c r="I781" t="s">
        <v>1597</v>
      </c>
      <c r="J781">
        <v>7</v>
      </c>
      <c r="K781" s="2">
        <v>4394.6400000000003</v>
      </c>
      <c r="L781">
        <v>20</v>
      </c>
      <c r="M781" s="2">
        <v>24609.98</v>
      </c>
      <c r="N781" s="2">
        <v>18201.54</v>
      </c>
      <c r="O781" s="2">
        <v>6408.44</v>
      </c>
      <c r="P781" t="s">
        <v>48</v>
      </c>
      <c r="Q781" t="s">
        <v>61</v>
      </c>
      <c r="R781" t="str">
        <f>TEXT(Table1[[#This Row],[Order Date]],"mmmm")</f>
        <v>April</v>
      </c>
      <c r="S781">
        <f>YEAR(Table1[[#This Row],[Order Date]])</f>
        <v>2025</v>
      </c>
    </row>
    <row r="782" spans="1:19" x14ac:dyDescent="0.3">
      <c r="A782" t="s">
        <v>1598</v>
      </c>
      <c r="B782" s="1">
        <v>45831</v>
      </c>
      <c r="C782" t="s">
        <v>86</v>
      </c>
      <c r="D782" t="s">
        <v>90</v>
      </c>
      <c r="E782" t="s">
        <v>30</v>
      </c>
      <c r="F782" t="s">
        <v>23</v>
      </c>
      <c r="G782" t="s">
        <v>38</v>
      </c>
      <c r="H782" t="s">
        <v>39</v>
      </c>
      <c r="I782" t="s">
        <v>1599</v>
      </c>
      <c r="J782">
        <v>8</v>
      </c>
      <c r="K782" s="2">
        <v>2153.1999999999998</v>
      </c>
      <c r="L782">
        <v>15</v>
      </c>
      <c r="M782" s="2">
        <v>14641.76</v>
      </c>
      <c r="N782" s="2">
        <v>10825.08</v>
      </c>
      <c r="O782" s="2">
        <v>3816.68</v>
      </c>
      <c r="P782" t="s">
        <v>27</v>
      </c>
      <c r="Q782" t="s">
        <v>61</v>
      </c>
      <c r="R782" t="str">
        <f>TEXT(Table1[[#This Row],[Order Date]],"mmmm")</f>
        <v>June</v>
      </c>
      <c r="S782">
        <f>YEAR(Table1[[#This Row],[Order Date]])</f>
        <v>2025</v>
      </c>
    </row>
    <row r="783" spans="1:19" x14ac:dyDescent="0.3">
      <c r="A783" t="s">
        <v>1600</v>
      </c>
      <c r="B783" s="1">
        <v>46053</v>
      </c>
      <c r="C783" t="s">
        <v>20</v>
      </c>
      <c r="D783" t="s">
        <v>21</v>
      </c>
      <c r="E783" t="s">
        <v>170</v>
      </c>
      <c r="F783" t="s">
        <v>23</v>
      </c>
      <c r="G783" t="s">
        <v>38</v>
      </c>
      <c r="H783" t="s">
        <v>72</v>
      </c>
      <c r="I783" t="s">
        <v>1601</v>
      </c>
      <c r="J783">
        <v>1</v>
      </c>
      <c r="K783" s="2">
        <v>4247.76</v>
      </c>
      <c r="L783">
        <v>15</v>
      </c>
      <c r="M783" s="2">
        <v>3610.6</v>
      </c>
      <c r="N783" s="2">
        <v>2198.44</v>
      </c>
      <c r="O783" s="2">
        <v>1412.16</v>
      </c>
      <c r="P783" t="s">
        <v>41</v>
      </c>
      <c r="Q783" t="s">
        <v>61</v>
      </c>
      <c r="R783" t="str">
        <f>TEXT(Table1[[#This Row],[Order Date]],"mmmm")</f>
        <v>January</v>
      </c>
      <c r="S783">
        <f>YEAR(Table1[[#This Row],[Order Date]])</f>
        <v>2026</v>
      </c>
    </row>
    <row r="784" spans="1:19" x14ac:dyDescent="0.3">
      <c r="A784" t="s">
        <v>1602</v>
      </c>
      <c r="B784" s="1">
        <v>45909</v>
      </c>
      <c r="C784" t="s">
        <v>70</v>
      </c>
      <c r="D784" t="s">
        <v>71</v>
      </c>
      <c r="E784" t="s">
        <v>66</v>
      </c>
      <c r="F784" t="s">
        <v>23</v>
      </c>
      <c r="G784" t="s">
        <v>38</v>
      </c>
      <c r="H784" t="s">
        <v>39</v>
      </c>
      <c r="I784" t="s">
        <v>1603</v>
      </c>
      <c r="J784">
        <v>11</v>
      </c>
      <c r="K784" s="2">
        <v>4684.79</v>
      </c>
      <c r="L784">
        <v>20</v>
      </c>
      <c r="M784" s="2">
        <v>41226.15</v>
      </c>
      <c r="N784" s="2">
        <v>25283.77</v>
      </c>
      <c r="O784" s="2">
        <v>15942.38</v>
      </c>
      <c r="P784" t="s">
        <v>41</v>
      </c>
      <c r="Q784" t="s">
        <v>61</v>
      </c>
      <c r="R784" t="str">
        <f>TEXT(Table1[[#This Row],[Order Date]],"mmmm")</f>
        <v>September</v>
      </c>
      <c r="S784">
        <f>YEAR(Table1[[#This Row],[Order Date]])</f>
        <v>2025</v>
      </c>
    </row>
    <row r="785" spans="1:19" x14ac:dyDescent="0.3">
      <c r="A785" t="s">
        <v>1604</v>
      </c>
      <c r="B785" s="1">
        <v>45741</v>
      </c>
      <c r="C785" t="s">
        <v>70</v>
      </c>
      <c r="D785" t="s">
        <v>75</v>
      </c>
      <c r="E785" t="s">
        <v>22</v>
      </c>
      <c r="F785" t="s">
        <v>31</v>
      </c>
      <c r="G785" t="s">
        <v>24</v>
      </c>
      <c r="H785" t="s">
        <v>25</v>
      </c>
      <c r="I785" t="s">
        <v>435</v>
      </c>
      <c r="J785">
        <v>14</v>
      </c>
      <c r="K785" s="2">
        <v>568.20000000000005</v>
      </c>
      <c r="L785">
        <v>20</v>
      </c>
      <c r="M785" s="2">
        <v>6363.84</v>
      </c>
      <c r="N785" s="2">
        <v>3895.83</v>
      </c>
      <c r="O785" s="2">
        <v>2468.0100000000002</v>
      </c>
      <c r="P785" t="s">
        <v>41</v>
      </c>
      <c r="Q785" t="s">
        <v>28</v>
      </c>
      <c r="R785" t="str">
        <f>TEXT(Table1[[#This Row],[Order Date]],"mmmm")</f>
        <v>March</v>
      </c>
      <c r="S785">
        <f>YEAR(Table1[[#This Row],[Order Date]])</f>
        <v>2025</v>
      </c>
    </row>
    <row r="786" spans="1:19" x14ac:dyDescent="0.3">
      <c r="A786" t="s">
        <v>1605</v>
      </c>
      <c r="B786" s="1">
        <v>45701</v>
      </c>
      <c r="C786" t="s">
        <v>20</v>
      </c>
      <c r="D786" t="s">
        <v>21</v>
      </c>
      <c r="E786" t="s">
        <v>170</v>
      </c>
      <c r="F786" t="s">
        <v>37</v>
      </c>
      <c r="G786" t="s">
        <v>24</v>
      </c>
      <c r="H786" t="s">
        <v>56</v>
      </c>
      <c r="I786" t="s">
        <v>1606</v>
      </c>
      <c r="J786">
        <v>14</v>
      </c>
      <c r="K786" s="2">
        <v>3221.55</v>
      </c>
      <c r="L786">
        <v>15</v>
      </c>
      <c r="M786" s="2">
        <v>38336.44</v>
      </c>
      <c r="N786" s="2">
        <v>29206.65</v>
      </c>
      <c r="O786" s="2">
        <v>9129.7900000000009</v>
      </c>
      <c r="P786" t="s">
        <v>27</v>
      </c>
      <c r="Q786" t="s">
        <v>28</v>
      </c>
      <c r="R786" t="str">
        <f>TEXT(Table1[[#This Row],[Order Date]],"mmmm")</f>
        <v>February</v>
      </c>
      <c r="S786">
        <f>YEAR(Table1[[#This Row],[Order Date]])</f>
        <v>2025</v>
      </c>
    </row>
    <row r="787" spans="1:19" x14ac:dyDescent="0.3">
      <c r="A787" t="s">
        <v>1607</v>
      </c>
      <c r="B787" s="1">
        <v>45677</v>
      </c>
      <c r="C787" t="s">
        <v>86</v>
      </c>
      <c r="D787" t="s">
        <v>90</v>
      </c>
      <c r="E787" t="s">
        <v>22</v>
      </c>
      <c r="F787" t="s">
        <v>31</v>
      </c>
      <c r="G787" t="s">
        <v>45</v>
      </c>
      <c r="H787" t="s">
        <v>123</v>
      </c>
      <c r="I787" t="s">
        <v>1608</v>
      </c>
      <c r="J787">
        <v>7</v>
      </c>
      <c r="K787" s="2">
        <v>500.86</v>
      </c>
      <c r="L787">
        <v>15</v>
      </c>
      <c r="M787" s="2">
        <v>2980.12</v>
      </c>
      <c r="N787" s="2">
        <v>1643.59</v>
      </c>
      <c r="O787" s="2">
        <v>1336.53</v>
      </c>
      <c r="P787" t="s">
        <v>27</v>
      </c>
      <c r="Q787" t="s">
        <v>42</v>
      </c>
      <c r="R787" t="str">
        <f>TEXT(Table1[[#This Row],[Order Date]],"mmmm")</f>
        <v>January</v>
      </c>
      <c r="S787">
        <f>YEAR(Table1[[#This Row],[Order Date]])</f>
        <v>2025</v>
      </c>
    </row>
    <row r="788" spans="1:19" x14ac:dyDescent="0.3">
      <c r="A788" t="s">
        <v>1609</v>
      </c>
      <c r="B788" s="1">
        <v>46120</v>
      </c>
      <c r="C788" t="s">
        <v>86</v>
      </c>
      <c r="D788" t="s">
        <v>87</v>
      </c>
      <c r="E788" t="s">
        <v>120</v>
      </c>
      <c r="F788" t="s">
        <v>23</v>
      </c>
      <c r="G788" t="s">
        <v>24</v>
      </c>
      <c r="H788" t="s">
        <v>25</v>
      </c>
      <c r="I788" t="s">
        <v>1610</v>
      </c>
      <c r="J788">
        <v>10</v>
      </c>
      <c r="K788" s="2">
        <v>373.03</v>
      </c>
      <c r="L788">
        <v>0</v>
      </c>
      <c r="M788" s="2">
        <v>3730.3</v>
      </c>
      <c r="N788" s="2">
        <v>2757.97</v>
      </c>
      <c r="O788" s="2">
        <v>972.33</v>
      </c>
      <c r="P788" t="s">
        <v>41</v>
      </c>
      <c r="Q788" t="s">
        <v>61</v>
      </c>
      <c r="R788" t="str">
        <f>TEXT(Table1[[#This Row],[Order Date]],"mmmm")</f>
        <v>April</v>
      </c>
      <c r="S788">
        <f>YEAR(Table1[[#This Row],[Order Date]])</f>
        <v>2026</v>
      </c>
    </row>
    <row r="789" spans="1:19" x14ac:dyDescent="0.3">
      <c r="A789" t="s">
        <v>1611</v>
      </c>
      <c r="B789" s="1">
        <v>45889</v>
      </c>
      <c r="C789" t="s">
        <v>70</v>
      </c>
      <c r="D789" t="s">
        <v>75</v>
      </c>
      <c r="E789" t="s">
        <v>120</v>
      </c>
      <c r="F789" t="s">
        <v>23</v>
      </c>
      <c r="G789" t="s">
        <v>45</v>
      </c>
      <c r="H789" t="s">
        <v>52</v>
      </c>
      <c r="I789" t="s">
        <v>1612</v>
      </c>
      <c r="J789">
        <v>14</v>
      </c>
      <c r="K789" s="2">
        <v>3337.95</v>
      </c>
      <c r="L789">
        <v>5</v>
      </c>
      <c r="M789" s="2">
        <v>44394.73</v>
      </c>
      <c r="N789" s="2">
        <v>30130.92</v>
      </c>
      <c r="O789" s="2">
        <v>14263.81</v>
      </c>
      <c r="P789" t="s">
        <v>41</v>
      </c>
      <c r="Q789" t="s">
        <v>49</v>
      </c>
      <c r="R789" t="str">
        <f>TEXT(Table1[[#This Row],[Order Date]],"mmmm")</f>
        <v>August</v>
      </c>
      <c r="S789">
        <f>YEAR(Table1[[#This Row],[Order Date]])</f>
        <v>2025</v>
      </c>
    </row>
    <row r="790" spans="1:19" x14ac:dyDescent="0.3">
      <c r="A790" t="s">
        <v>1613</v>
      </c>
      <c r="B790" s="1">
        <v>46176</v>
      </c>
      <c r="C790" t="s">
        <v>70</v>
      </c>
      <c r="D790" t="s">
        <v>75</v>
      </c>
      <c r="E790" t="s">
        <v>51</v>
      </c>
      <c r="F790" t="s">
        <v>37</v>
      </c>
      <c r="G790" t="s">
        <v>45</v>
      </c>
      <c r="H790" t="s">
        <v>46</v>
      </c>
      <c r="I790" t="s">
        <v>1614</v>
      </c>
      <c r="J790">
        <v>14</v>
      </c>
      <c r="K790" s="2">
        <v>1731.51</v>
      </c>
      <c r="L790">
        <v>0</v>
      </c>
      <c r="M790" s="2">
        <v>24241.14</v>
      </c>
      <c r="N790" s="2">
        <v>16503.919999999998</v>
      </c>
      <c r="O790" s="2">
        <v>7737.22</v>
      </c>
      <c r="P790" t="s">
        <v>48</v>
      </c>
      <c r="Q790" t="s">
        <v>28</v>
      </c>
      <c r="R790" t="str">
        <f>TEXT(Table1[[#This Row],[Order Date]],"mmmm")</f>
        <v>June</v>
      </c>
      <c r="S790">
        <f>YEAR(Table1[[#This Row],[Order Date]])</f>
        <v>2026</v>
      </c>
    </row>
    <row r="791" spans="1:19" x14ac:dyDescent="0.3">
      <c r="A791" t="s">
        <v>1615</v>
      </c>
      <c r="B791" s="1">
        <v>45762</v>
      </c>
      <c r="C791" t="s">
        <v>86</v>
      </c>
      <c r="D791" t="s">
        <v>90</v>
      </c>
      <c r="E791" t="s">
        <v>44</v>
      </c>
      <c r="F791" t="s">
        <v>23</v>
      </c>
      <c r="G791" t="s">
        <v>45</v>
      </c>
      <c r="H791" t="s">
        <v>46</v>
      </c>
      <c r="I791" t="s">
        <v>1616</v>
      </c>
      <c r="J791">
        <v>11</v>
      </c>
      <c r="K791" s="2">
        <v>2695.4</v>
      </c>
      <c r="L791">
        <v>20</v>
      </c>
      <c r="M791" s="2">
        <v>23719.52</v>
      </c>
      <c r="N791" s="2">
        <v>17989.919999999998</v>
      </c>
      <c r="O791" s="2">
        <v>5729.6</v>
      </c>
      <c r="P791" t="s">
        <v>48</v>
      </c>
      <c r="Q791" t="s">
        <v>61</v>
      </c>
      <c r="R791" t="str">
        <f>TEXT(Table1[[#This Row],[Order Date]],"mmmm")</f>
        <v>April</v>
      </c>
      <c r="S791">
        <f>YEAR(Table1[[#This Row],[Order Date]])</f>
        <v>2025</v>
      </c>
    </row>
    <row r="792" spans="1:19" x14ac:dyDescent="0.3">
      <c r="A792" t="s">
        <v>1617</v>
      </c>
      <c r="B792" s="1">
        <v>45896</v>
      </c>
      <c r="C792" t="s">
        <v>70</v>
      </c>
      <c r="D792" t="s">
        <v>75</v>
      </c>
      <c r="E792" t="s">
        <v>66</v>
      </c>
      <c r="F792" t="s">
        <v>31</v>
      </c>
      <c r="G792" t="s">
        <v>38</v>
      </c>
      <c r="H792" t="s">
        <v>72</v>
      </c>
      <c r="I792" t="s">
        <v>1618</v>
      </c>
      <c r="J792">
        <v>15</v>
      </c>
      <c r="K792" s="2">
        <v>2136.25</v>
      </c>
      <c r="L792">
        <v>0</v>
      </c>
      <c r="M792" s="2">
        <v>32043.75</v>
      </c>
      <c r="N792" s="2">
        <v>21827.48</v>
      </c>
      <c r="O792" s="2">
        <v>10216.27</v>
      </c>
      <c r="P792" t="s">
        <v>27</v>
      </c>
      <c r="Q792" t="s">
        <v>42</v>
      </c>
      <c r="R792" t="str">
        <f>TEXT(Table1[[#This Row],[Order Date]],"mmmm")</f>
        <v>August</v>
      </c>
      <c r="S792">
        <f>YEAR(Table1[[#This Row],[Order Date]])</f>
        <v>2025</v>
      </c>
    </row>
    <row r="793" spans="1:19" x14ac:dyDescent="0.3">
      <c r="A793" t="s">
        <v>1619</v>
      </c>
      <c r="B793" s="1">
        <v>46077</v>
      </c>
      <c r="C793" t="s">
        <v>86</v>
      </c>
      <c r="D793" t="s">
        <v>87</v>
      </c>
      <c r="E793" t="s">
        <v>51</v>
      </c>
      <c r="F793" t="s">
        <v>23</v>
      </c>
      <c r="G793" t="s">
        <v>38</v>
      </c>
      <c r="H793" t="s">
        <v>39</v>
      </c>
      <c r="I793" t="s">
        <v>1620</v>
      </c>
      <c r="J793">
        <v>8</v>
      </c>
      <c r="K793" s="2">
        <v>3772.72</v>
      </c>
      <c r="L793">
        <v>20</v>
      </c>
      <c r="M793" s="2">
        <v>24145.41</v>
      </c>
      <c r="N793" s="2">
        <v>13981.56</v>
      </c>
      <c r="O793" s="2">
        <v>10163.85</v>
      </c>
      <c r="P793" t="s">
        <v>27</v>
      </c>
      <c r="Q793" t="s">
        <v>28</v>
      </c>
      <c r="R793" t="str">
        <f>TEXT(Table1[[#This Row],[Order Date]],"mmmm")</f>
        <v>February</v>
      </c>
      <c r="S793">
        <f>YEAR(Table1[[#This Row],[Order Date]])</f>
        <v>2026</v>
      </c>
    </row>
    <row r="794" spans="1:19" x14ac:dyDescent="0.3">
      <c r="A794" t="s">
        <v>1621</v>
      </c>
      <c r="B794" s="1">
        <v>45866</v>
      </c>
      <c r="C794" t="s">
        <v>70</v>
      </c>
      <c r="D794" t="s">
        <v>75</v>
      </c>
      <c r="E794" t="s">
        <v>51</v>
      </c>
      <c r="F794" t="s">
        <v>31</v>
      </c>
      <c r="G794" t="s">
        <v>45</v>
      </c>
      <c r="H794" t="s">
        <v>46</v>
      </c>
      <c r="I794" t="s">
        <v>1622</v>
      </c>
      <c r="J794">
        <v>1</v>
      </c>
      <c r="K794" s="2">
        <v>1295.5</v>
      </c>
      <c r="L794">
        <v>15</v>
      </c>
      <c r="M794" s="2">
        <v>1101.17</v>
      </c>
      <c r="N794" s="2">
        <v>841.47</v>
      </c>
      <c r="O794" s="2">
        <v>259.7</v>
      </c>
      <c r="P794" t="s">
        <v>27</v>
      </c>
      <c r="Q794" t="s">
        <v>42</v>
      </c>
      <c r="R794" t="str">
        <f>TEXT(Table1[[#This Row],[Order Date]],"mmmm")</f>
        <v>July</v>
      </c>
      <c r="S794">
        <f>YEAR(Table1[[#This Row],[Order Date]])</f>
        <v>2025</v>
      </c>
    </row>
    <row r="795" spans="1:19" x14ac:dyDescent="0.3">
      <c r="A795" t="s">
        <v>1623</v>
      </c>
      <c r="B795" s="1">
        <v>46124</v>
      </c>
      <c r="C795" t="s">
        <v>20</v>
      </c>
      <c r="D795" t="s">
        <v>55</v>
      </c>
      <c r="E795" t="s">
        <v>22</v>
      </c>
      <c r="F795" t="s">
        <v>37</v>
      </c>
      <c r="G795" t="s">
        <v>45</v>
      </c>
      <c r="H795" t="s">
        <v>52</v>
      </c>
      <c r="I795" t="s">
        <v>1624</v>
      </c>
      <c r="J795">
        <v>1</v>
      </c>
      <c r="K795" s="2">
        <v>3866.81</v>
      </c>
      <c r="L795">
        <v>20</v>
      </c>
      <c r="M795" s="2">
        <v>3093.45</v>
      </c>
      <c r="N795" s="2">
        <v>2303.02</v>
      </c>
      <c r="O795" s="2">
        <v>790.43</v>
      </c>
      <c r="P795" t="s">
        <v>27</v>
      </c>
      <c r="Q795" t="s">
        <v>61</v>
      </c>
      <c r="R795" t="str">
        <f>TEXT(Table1[[#This Row],[Order Date]],"mmmm")</f>
        <v>April</v>
      </c>
      <c r="S795">
        <f>YEAR(Table1[[#This Row],[Order Date]])</f>
        <v>2026</v>
      </c>
    </row>
    <row r="796" spans="1:19" x14ac:dyDescent="0.3">
      <c r="A796" t="s">
        <v>1625</v>
      </c>
      <c r="B796" s="1">
        <v>46051</v>
      </c>
      <c r="C796" t="s">
        <v>35</v>
      </c>
      <c r="D796" t="s">
        <v>36</v>
      </c>
      <c r="E796" t="s">
        <v>22</v>
      </c>
      <c r="F796" t="s">
        <v>23</v>
      </c>
      <c r="G796" t="s">
        <v>38</v>
      </c>
      <c r="H796" t="s">
        <v>39</v>
      </c>
      <c r="I796" t="s">
        <v>1626</v>
      </c>
      <c r="J796">
        <v>2</v>
      </c>
      <c r="K796" s="2">
        <v>836.31</v>
      </c>
      <c r="L796">
        <v>15</v>
      </c>
      <c r="M796" s="2">
        <v>1421.73</v>
      </c>
      <c r="N796" s="2">
        <v>1012.36</v>
      </c>
      <c r="O796" s="2">
        <v>409.37</v>
      </c>
      <c r="P796" t="s">
        <v>48</v>
      </c>
      <c r="Q796" t="s">
        <v>42</v>
      </c>
      <c r="R796" t="str">
        <f>TEXT(Table1[[#This Row],[Order Date]],"mmmm")</f>
        <v>January</v>
      </c>
      <c r="S796">
        <f>YEAR(Table1[[#This Row],[Order Date]])</f>
        <v>2026</v>
      </c>
    </row>
    <row r="797" spans="1:19" x14ac:dyDescent="0.3">
      <c r="A797" t="s">
        <v>1627</v>
      </c>
      <c r="B797" s="1">
        <v>45918</v>
      </c>
      <c r="C797" t="s">
        <v>70</v>
      </c>
      <c r="D797" t="s">
        <v>71</v>
      </c>
      <c r="E797" t="s">
        <v>51</v>
      </c>
      <c r="F797" t="s">
        <v>31</v>
      </c>
      <c r="G797" t="s">
        <v>45</v>
      </c>
      <c r="H797" t="s">
        <v>46</v>
      </c>
      <c r="I797" t="s">
        <v>1628</v>
      </c>
      <c r="J797">
        <v>13</v>
      </c>
      <c r="K797" s="2">
        <v>3416.49</v>
      </c>
      <c r="L797">
        <v>20</v>
      </c>
      <c r="M797" s="2">
        <v>35531.5</v>
      </c>
      <c r="N797" s="2">
        <v>21876.720000000001</v>
      </c>
      <c r="O797" s="2">
        <v>13654.78</v>
      </c>
      <c r="P797" t="s">
        <v>41</v>
      </c>
      <c r="Q797" t="s">
        <v>49</v>
      </c>
      <c r="R797" t="str">
        <f>TEXT(Table1[[#This Row],[Order Date]],"mmmm")</f>
        <v>September</v>
      </c>
      <c r="S797">
        <f>YEAR(Table1[[#This Row],[Order Date]])</f>
        <v>2025</v>
      </c>
    </row>
    <row r="798" spans="1:19" x14ac:dyDescent="0.3">
      <c r="A798" t="s">
        <v>1629</v>
      </c>
      <c r="B798" s="1">
        <v>45803</v>
      </c>
      <c r="C798" t="s">
        <v>35</v>
      </c>
      <c r="D798" t="s">
        <v>59</v>
      </c>
      <c r="E798" t="s">
        <v>51</v>
      </c>
      <c r="F798" t="s">
        <v>23</v>
      </c>
      <c r="G798" t="s">
        <v>38</v>
      </c>
      <c r="H798" t="s">
        <v>72</v>
      </c>
      <c r="I798" t="s">
        <v>1630</v>
      </c>
      <c r="J798">
        <v>8</v>
      </c>
      <c r="K798" s="2">
        <v>409.36</v>
      </c>
      <c r="L798">
        <v>5</v>
      </c>
      <c r="M798" s="2">
        <v>3111.14</v>
      </c>
      <c r="N798" s="2">
        <v>1770</v>
      </c>
      <c r="O798" s="2">
        <v>1341.14</v>
      </c>
      <c r="P798" t="s">
        <v>48</v>
      </c>
      <c r="Q798" t="s">
        <v>49</v>
      </c>
      <c r="R798" t="str">
        <f>TEXT(Table1[[#This Row],[Order Date]],"mmmm")</f>
        <v>May</v>
      </c>
      <c r="S798">
        <f>YEAR(Table1[[#This Row],[Order Date]])</f>
        <v>2025</v>
      </c>
    </row>
    <row r="799" spans="1:19" x14ac:dyDescent="0.3">
      <c r="A799" t="s">
        <v>1631</v>
      </c>
      <c r="B799" s="1">
        <v>45861</v>
      </c>
      <c r="C799" t="s">
        <v>86</v>
      </c>
      <c r="D799" t="s">
        <v>87</v>
      </c>
      <c r="E799" t="s">
        <v>66</v>
      </c>
      <c r="F799" t="s">
        <v>23</v>
      </c>
      <c r="G799" t="s">
        <v>24</v>
      </c>
      <c r="H799" t="s">
        <v>32</v>
      </c>
      <c r="I799" t="s">
        <v>590</v>
      </c>
      <c r="J799">
        <v>15</v>
      </c>
      <c r="K799" s="2">
        <v>4697.78</v>
      </c>
      <c r="L799">
        <v>15</v>
      </c>
      <c r="M799" s="2">
        <v>59896.69</v>
      </c>
      <c r="N799" s="2">
        <v>44642.42</v>
      </c>
      <c r="O799" s="2">
        <v>15254.27</v>
      </c>
      <c r="P799" t="s">
        <v>27</v>
      </c>
      <c r="Q799" t="s">
        <v>42</v>
      </c>
      <c r="R799" t="str">
        <f>TEXT(Table1[[#This Row],[Order Date]],"mmmm")</f>
        <v>July</v>
      </c>
      <c r="S799">
        <f>YEAR(Table1[[#This Row],[Order Date]])</f>
        <v>2025</v>
      </c>
    </row>
    <row r="800" spans="1:19" x14ac:dyDescent="0.3">
      <c r="A800" t="s">
        <v>1632</v>
      </c>
      <c r="B800" s="1">
        <v>46111</v>
      </c>
      <c r="C800" t="s">
        <v>86</v>
      </c>
      <c r="D800" t="s">
        <v>87</v>
      </c>
      <c r="E800" t="s">
        <v>44</v>
      </c>
      <c r="F800" t="s">
        <v>23</v>
      </c>
      <c r="G800" t="s">
        <v>45</v>
      </c>
      <c r="H800" t="s">
        <v>67</v>
      </c>
      <c r="I800" t="s">
        <v>1143</v>
      </c>
      <c r="J800">
        <v>12</v>
      </c>
      <c r="K800" s="2">
        <v>2012.85</v>
      </c>
      <c r="L800">
        <v>0</v>
      </c>
      <c r="M800" s="2">
        <v>24154.2</v>
      </c>
      <c r="N800" s="2">
        <v>14123.27</v>
      </c>
      <c r="O800" s="2">
        <v>10030.93</v>
      </c>
      <c r="P800" t="s">
        <v>27</v>
      </c>
      <c r="Q800" t="s">
        <v>42</v>
      </c>
      <c r="R800" t="str">
        <f>TEXT(Table1[[#This Row],[Order Date]],"mmmm")</f>
        <v>March</v>
      </c>
      <c r="S800">
        <f>YEAR(Table1[[#This Row],[Order Date]])</f>
        <v>2026</v>
      </c>
    </row>
    <row r="801" spans="1:19" x14ac:dyDescent="0.3">
      <c r="A801" t="s">
        <v>1633</v>
      </c>
      <c r="B801" s="1">
        <v>46106</v>
      </c>
      <c r="C801" t="s">
        <v>86</v>
      </c>
      <c r="D801" t="s">
        <v>87</v>
      </c>
      <c r="E801" t="s">
        <v>113</v>
      </c>
      <c r="F801" t="s">
        <v>37</v>
      </c>
      <c r="G801" t="s">
        <v>45</v>
      </c>
      <c r="H801" t="s">
        <v>123</v>
      </c>
      <c r="I801" t="s">
        <v>1634</v>
      </c>
      <c r="J801">
        <v>14</v>
      </c>
      <c r="K801" s="2">
        <v>2987.69</v>
      </c>
      <c r="L801">
        <v>10</v>
      </c>
      <c r="M801" s="2">
        <v>37644.89</v>
      </c>
      <c r="N801" s="2">
        <v>22197.65</v>
      </c>
      <c r="O801" s="2">
        <v>15447.24</v>
      </c>
      <c r="P801" t="s">
        <v>41</v>
      </c>
      <c r="Q801" t="s">
        <v>49</v>
      </c>
      <c r="R801" t="str">
        <f>TEXT(Table1[[#This Row],[Order Date]],"mmmm")</f>
        <v>March</v>
      </c>
      <c r="S801">
        <f>YEAR(Table1[[#This Row],[Order Date]])</f>
        <v>2026</v>
      </c>
    </row>
    <row r="802" spans="1:19" x14ac:dyDescent="0.3">
      <c r="A802" t="s">
        <v>1635</v>
      </c>
      <c r="B802" s="1">
        <v>46044</v>
      </c>
      <c r="C802" t="s">
        <v>20</v>
      </c>
      <c r="D802" t="s">
        <v>55</v>
      </c>
      <c r="E802" t="s">
        <v>120</v>
      </c>
      <c r="F802" t="s">
        <v>31</v>
      </c>
      <c r="G802" t="s">
        <v>45</v>
      </c>
      <c r="H802" t="s">
        <v>46</v>
      </c>
      <c r="I802" t="s">
        <v>1636</v>
      </c>
      <c r="J802">
        <v>5</v>
      </c>
      <c r="K802" s="2">
        <v>3846</v>
      </c>
      <c r="L802">
        <v>0</v>
      </c>
      <c r="M802" s="2">
        <v>19230</v>
      </c>
      <c r="N802" s="2">
        <v>13923.52</v>
      </c>
      <c r="O802" s="2">
        <v>5306.48</v>
      </c>
      <c r="P802" t="s">
        <v>41</v>
      </c>
      <c r="Q802" t="s">
        <v>42</v>
      </c>
      <c r="R802" t="str">
        <f>TEXT(Table1[[#This Row],[Order Date]],"mmmm")</f>
        <v>January</v>
      </c>
      <c r="S802">
        <f>YEAR(Table1[[#This Row],[Order Date]])</f>
        <v>2026</v>
      </c>
    </row>
    <row r="803" spans="1:19" x14ac:dyDescent="0.3">
      <c r="A803" t="s">
        <v>1637</v>
      </c>
      <c r="B803" s="1">
        <v>45972</v>
      </c>
      <c r="C803" t="s">
        <v>86</v>
      </c>
      <c r="D803" t="s">
        <v>90</v>
      </c>
      <c r="E803" t="s">
        <v>30</v>
      </c>
      <c r="F803" t="s">
        <v>31</v>
      </c>
      <c r="G803" t="s">
        <v>38</v>
      </c>
      <c r="H803" t="s">
        <v>91</v>
      </c>
      <c r="I803" t="s">
        <v>1638</v>
      </c>
      <c r="J803">
        <v>6</v>
      </c>
      <c r="K803" s="2">
        <v>892.97</v>
      </c>
      <c r="L803">
        <v>5</v>
      </c>
      <c r="M803" s="2">
        <v>5089.93</v>
      </c>
      <c r="N803" s="2">
        <v>3003.53</v>
      </c>
      <c r="O803" s="2">
        <v>2086.4</v>
      </c>
      <c r="P803" t="s">
        <v>41</v>
      </c>
      <c r="Q803" t="s">
        <v>42</v>
      </c>
      <c r="R803" t="str">
        <f>TEXT(Table1[[#This Row],[Order Date]],"mmmm")</f>
        <v>November</v>
      </c>
      <c r="S803">
        <f>YEAR(Table1[[#This Row],[Order Date]])</f>
        <v>2025</v>
      </c>
    </row>
    <row r="804" spans="1:19" x14ac:dyDescent="0.3">
      <c r="A804" t="s">
        <v>1639</v>
      </c>
      <c r="B804" s="1">
        <v>45737</v>
      </c>
      <c r="C804" t="s">
        <v>20</v>
      </c>
      <c r="D804" t="s">
        <v>55</v>
      </c>
      <c r="E804" t="s">
        <v>66</v>
      </c>
      <c r="F804" t="s">
        <v>23</v>
      </c>
      <c r="G804" t="s">
        <v>24</v>
      </c>
      <c r="H804" t="s">
        <v>56</v>
      </c>
      <c r="I804" t="s">
        <v>1640</v>
      </c>
      <c r="J804">
        <v>1</v>
      </c>
      <c r="K804" s="2">
        <v>807.35</v>
      </c>
      <c r="L804">
        <v>20</v>
      </c>
      <c r="M804" s="2">
        <v>645.88</v>
      </c>
      <c r="N804" s="2">
        <v>479.71</v>
      </c>
      <c r="O804" s="2">
        <v>166.17</v>
      </c>
      <c r="P804" t="s">
        <v>48</v>
      </c>
      <c r="Q804" t="s">
        <v>42</v>
      </c>
      <c r="R804" t="str">
        <f>TEXT(Table1[[#This Row],[Order Date]],"mmmm")</f>
        <v>March</v>
      </c>
      <c r="S804">
        <f>YEAR(Table1[[#This Row],[Order Date]])</f>
        <v>2025</v>
      </c>
    </row>
    <row r="805" spans="1:19" x14ac:dyDescent="0.3">
      <c r="A805" t="s">
        <v>1641</v>
      </c>
      <c r="B805" s="1">
        <v>45899</v>
      </c>
      <c r="C805" t="s">
        <v>20</v>
      </c>
      <c r="D805" t="s">
        <v>55</v>
      </c>
      <c r="E805" t="s">
        <v>120</v>
      </c>
      <c r="F805" t="s">
        <v>37</v>
      </c>
      <c r="G805" t="s">
        <v>38</v>
      </c>
      <c r="H805" t="s">
        <v>106</v>
      </c>
      <c r="I805" t="s">
        <v>1642</v>
      </c>
      <c r="J805">
        <v>12</v>
      </c>
      <c r="K805" s="2">
        <v>3622.38</v>
      </c>
      <c r="L805">
        <v>0</v>
      </c>
      <c r="M805" s="2">
        <v>43468.56</v>
      </c>
      <c r="N805" s="2">
        <v>31631.439999999999</v>
      </c>
      <c r="O805" s="2">
        <v>11837.12</v>
      </c>
      <c r="P805" t="s">
        <v>41</v>
      </c>
      <c r="Q805" t="s">
        <v>49</v>
      </c>
      <c r="R805" t="str">
        <f>TEXT(Table1[[#This Row],[Order Date]],"mmmm")</f>
        <v>August</v>
      </c>
      <c r="S805">
        <f>YEAR(Table1[[#This Row],[Order Date]])</f>
        <v>2025</v>
      </c>
    </row>
    <row r="806" spans="1:19" x14ac:dyDescent="0.3">
      <c r="A806" t="s">
        <v>1643</v>
      </c>
      <c r="B806" s="1">
        <v>45692</v>
      </c>
      <c r="C806" t="s">
        <v>20</v>
      </c>
      <c r="D806" t="s">
        <v>21</v>
      </c>
      <c r="E806" t="s">
        <v>113</v>
      </c>
      <c r="F806" t="s">
        <v>23</v>
      </c>
      <c r="G806" t="s">
        <v>24</v>
      </c>
      <c r="H806" t="s">
        <v>171</v>
      </c>
      <c r="I806" t="s">
        <v>1644</v>
      </c>
      <c r="J806">
        <v>10</v>
      </c>
      <c r="K806" s="2">
        <v>663.96</v>
      </c>
      <c r="L806">
        <v>20</v>
      </c>
      <c r="M806" s="2">
        <v>5311.68</v>
      </c>
      <c r="N806" s="2">
        <v>3964.58</v>
      </c>
      <c r="O806" s="2">
        <v>1347.1</v>
      </c>
      <c r="P806" t="s">
        <v>27</v>
      </c>
      <c r="Q806" t="s">
        <v>42</v>
      </c>
      <c r="R806" t="str">
        <f>TEXT(Table1[[#This Row],[Order Date]],"mmmm")</f>
        <v>February</v>
      </c>
      <c r="S806">
        <f>YEAR(Table1[[#This Row],[Order Date]])</f>
        <v>2025</v>
      </c>
    </row>
    <row r="807" spans="1:19" x14ac:dyDescent="0.3">
      <c r="A807" t="s">
        <v>1645</v>
      </c>
      <c r="B807" s="1">
        <v>46044</v>
      </c>
      <c r="C807" t="s">
        <v>35</v>
      </c>
      <c r="D807" t="s">
        <v>59</v>
      </c>
      <c r="E807" t="s">
        <v>22</v>
      </c>
      <c r="F807" t="s">
        <v>23</v>
      </c>
      <c r="G807" t="s">
        <v>45</v>
      </c>
      <c r="H807" t="s">
        <v>123</v>
      </c>
      <c r="I807" t="s">
        <v>1646</v>
      </c>
      <c r="J807">
        <v>13</v>
      </c>
      <c r="K807" s="2">
        <v>2611.69</v>
      </c>
      <c r="L807">
        <v>5</v>
      </c>
      <c r="M807" s="2">
        <v>32254.37</v>
      </c>
      <c r="N807" s="2">
        <v>19427.11</v>
      </c>
      <c r="O807" s="2">
        <v>12827.26</v>
      </c>
      <c r="P807" t="s">
        <v>48</v>
      </c>
      <c r="Q807" t="s">
        <v>61</v>
      </c>
      <c r="R807" t="str">
        <f>TEXT(Table1[[#This Row],[Order Date]],"mmmm")</f>
        <v>January</v>
      </c>
      <c r="S807">
        <f>YEAR(Table1[[#This Row],[Order Date]])</f>
        <v>2026</v>
      </c>
    </row>
    <row r="808" spans="1:19" x14ac:dyDescent="0.3">
      <c r="A808" t="s">
        <v>1647</v>
      </c>
      <c r="B808" s="1">
        <v>46168</v>
      </c>
      <c r="C808" t="s">
        <v>70</v>
      </c>
      <c r="D808" t="s">
        <v>71</v>
      </c>
      <c r="E808" t="s">
        <v>120</v>
      </c>
      <c r="F808" t="s">
        <v>37</v>
      </c>
      <c r="G808" t="s">
        <v>45</v>
      </c>
      <c r="H808" t="s">
        <v>159</v>
      </c>
      <c r="I808" t="s">
        <v>1648</v>
      </c>
      <c r="J808">
        <v>8</v>
      </c>
      <c r="K808" s="2">
        <v>1520.03</v>
      </c>
      <c r="L808">
        <v>5</v>
      </c>
      <c r="M808" s="2">
        <v>11552.23</v>
      </c>
      <c r="N808" s="2">
        <v>9021.6299999999992</v>
      </c>
      <c r="O808" s="2">
        <v>2530.6</v>
      </c>
      <c r="P808" t="s">
        <v>27</v>
      </c>
      <c r="Q808" t="s">
        <v>28</v>
      </c>
      <c r="R808" t="str">
        <f>TEXT(Table1[[#This Row],[Order Date]],"mmmm")</f>
        <v>May</v>
      </c>
      <c r="S808">
        <f>YEAR(Table1[[#This Row],[Order Date]])</f>
        <v>2026</v>
      </c>
    </row>
    <row r="809" spans="1:19" x14ac:dyDescent="0.3">
      <c r="A809" t="s">
        <v>1649</v>
      </c>
      <c r="B809" s="1">
        <v>46153</v>
      </c>
      <c r="C809" t="s">
        <v>86</v>
      </c>
      <c r="D809" t="s">
        <v>87</v>
      </c>
      <c r="E809" t="s">
        <v>120</v>
      </c>
      <c r="F809" t="s">
        <v>23</v>
      </c>
      <c r="G809" t="s">
        <v>45</v>
      </c>
      <c r="H809" t="s">
        <v>67</v>
      </c>
      <c r="I809" t="s">
        <v>1650</v>
      </c>
      <c r="J809">
        <v>13</v>
      </c>
      <c r="K809" s="2">
        <v>748.75</v>
      </c>
      <c r="L809">
        <v>5</v>
      </c>
      <c r="M809" s="2">
        <v>9247.06</v>
      </c>
      <c r="N809" s="2">
        <v>5401.26</v>
      </c>
      <c r="O809" s="2">
        <v>3845.8</v>
      </c>
      <c r="P809" t="s">
        <v>27</v>
      </c>
      <c r="Q809" t="s">
        <v>42</v>
      </c>
      <c r="R809" t="str">
        <f>TEXT(Table1[[#This Row],[Order Date]],"mmmm")</f>
        <v>May</v>
      </c>
      <c r="S809">
        <f>YEAR(Table1[[#This Row],[Order Date]])</f>
        <v>2026</v>
      </c>
    </row>
    <row r="810" spans="1:19" x14ac:dyDescent="0.3">
      <c r="A810" t="s">
        <v>1651</v>
      </c>
      <c r="B810" s="1">
        <v>46169</v>
      </c>
      <c r="C810" t="s">
        <v>35</v>
      </c>
      <c r="D810" t="s">
        <v>59</v>
      </c>
      <c r="E810" t="s">
        <v>30</v>
      </c>
      <c r="F810" t="s">
        <v>37</v>
      </c>
      <c r="G810" t="s">
        <v>24</v>
      </c>
      <c r="H810" t="s">
        <v>32</v>
      </c>
      <c r="I810" t="s">
        <v>1652</v>
      </c>
      <c r="J810">
        <v>13</v>
      </c>
      <c r="K810" s="2">
        <v>3597.37</v>
      </c>
      <c r="L810">
        <v>15</v>
      </c>
      <c r="M810" s="2">
        <v>39750.94</v>
      </c>
      <c r="N810" s="2">
        <v>24192.93</v>
      </c>
      <c r="O810" s="2">
        <v>15558.01</v>
      </c>
      <c r="P810" t="s">
        <v>41</v>
      </c>
      <c r="Q810" t="s">
        <v>49</v>
      </c>
      <c r="R810" t="str">
        <f>TEXT(Table1[[#This Row],[Order Date]],"mmmm")</f>
        <v>May</v>
      </c>
      <c r="S810">
        <f>YEAR(Table1[[#This Row],[Order Date]])</f>
        <v>2026</v>
      </c>
    </row>
    <row r="811" spans="1:19" x14ac:dyDescent="0.3">
      <c r="A811" t="s">
        <v>1653</v>
      </c>
      <c r="B811" s="1">
        <v>46050</v>
      </c>
      <c r="C811" t="s">
        <v>86</v>
      </c>
      <c r="D811" t="s">
        <v>90</v>
      </c>
      <c r="E811" t="s">
        <v>170</v>
      </c>
      <c r="F811" t="s">
        <v>31</v>
      </c>
      <c r="G811" t="s">
        <v>45</v>
      </c>
      <c r="H811" t="s">
        <v>159</v>
      </c>
      <c r="I811" t="s">
        <v>660</v>
      </c>
      <c r="J811">
        <v>10</v>
      </c>
      <c r="K811" s="2">
        <v>3368.65</v>
      </c>
      <c r="L811">
        <v>10</v>
      </c>
      <c r="M811" s="2">
        <v>30317.85</v>
      </c>
      <c r="N811" s="2">
        <v>17145.45</v>
      </c>
      <c r="O811" s="2">
        <v>13172.4</v>
      </c>
      <c r="P811" t="s">
        <v>48</v>
      </c>
      <c r="Q811" t="s">
        <v>61</v>
      </c>
      <c r="R811" t="str">
        <f>TEXT(Table1[[#This Row],[Order Date]],"mmmm")</f>
        <v>January</v>
      </c>
      <c r="S811">
        <f>YEAR(Table1[[#This Row],[Order Date]])</f>
        <v>2026</v>
      </c>
    </row>
    <row r="812" spans="1:19" x14ac:dyDescent="0.3">
      <c r="A812" t="s">
        <v>1654</v>
      </c>
      <c r="B812" s="1">
        <v>45900</v>
      </c>
      <c r="C812" t="s">
        <v>86</v>
      </c>
      <c r="D812" t="s">
        <v>90</v>
      </c>
      <c r="E812" t="s">
        <v>22</v>
      </c>
      <c r="F812" t="s">
        <v>37</v>
      </c>
      <c r="G812" t="s">
        <v>24</v>
      </c>
      <c r="H812" t="s">
        <v>56</v>
      </c>
      <c r="I812" t="s">
        <v>1655</v>
      </c>
      <c r="J812">
        <v>5</v>
      </c>
      <c r="K812" s="2">
        <v>4354.6000000000004</v>
      </c>
      <c r="L812">
        <v>0</v>
      </c>
      <c r="M812" s="2">
        <v>21773</v>
      </c>
      <c r="N812" s="2">
        <v>12258.79</v>
      </c>
      <c r="O812" s="2">
        <v>9514.2099999999991</v>
      </c>
      <c r="P812" t="s">
        <v>41</v>
      </c>
      <c r="Q812" t="s">
        <v>61</v>
      </c>
      <c r="R812" t="str">
        <f>TEXT(Table1[[#This Row],[Order Date]],"mmmm")</f>
        <v>August</v>
      </c>
      <c r="S812">
        <f>YEAR(Table1[[#This Row],[Order Date]])</f>
        <v>2025</v>
      </c>
    </row>
    <row r="813" spans="1:19" x14ac:dyDescent="0.3">
      <c r="A813" t="s">
        <v>1656</v>
      </c>
      <c r="B813" s="1">
        <v>45991</v>
      </c>
      <c r="C813" t="s">
        <v>20</v>
      </c>
      <c r="D813" t="s">
        <v>55</v>
      </c>
      <c r="E813" t="s">
        <v>51</v>
      </c>
      <c r="F813" t="s">
        <v>31</v>
      </c>
      <c r="G813" t="s">
        <v>45</v>
      </c>
      <c r="H813" t="s">
        <v>46</v>
      </c>
      <c r="I813" t="s">
        <v>1657</v>
      </c>
      <c r="J813">
        <v>11</v>
      </c>
      <c r="K813" s="2">
        <v>4074.37</v>
      </c>
      <c r="L813">
        <v>20</v>
      </c>
      <c r="M813" s="2">
        <v>35854.46</v>
      </c>
      <c r="N813" s="2">
        <v>26080.41</v>
      </c>
      <c r="O813" s="2">
        <v>9774.0499999999993</v>
      </c>
      <c r="P813" t="s">
        <v>48</v>
      </c>
      <c r="Q813" t="s">
        <v>42</v>
      </c>
      <c r="R813" t="str">
        <f>TEXT(Table1[[#This Row],[Order Date]],"mmmm")</f>
        <v>November</v>
      </c>
      <c r="S813">
        <f>YEAR(Table1[[#This Row],[Order Date]])</f>
        <v>2025</v>
      </c>
    </row>
    <row r="814" spans="1:19" x14ac:dyDescent="0.3">
      <c r="A814" t="s">
        <v>1658</v>
      </c>
      <c r="B814" s="1">
        <v>46173</v>
      </c>
      <c r="C814" t="s">
        <v>70</v>
      </c>
      <c r="D814" t="s">
        <v>71</v>
      </c>
      <c r="E814" t="s">
        <v>51</v>
      </c>
      <c r="F814" t="s">
        <v>37</v>
      </c>
      <c r="G814" t="s">
        <v>24</v>
      </c>
      <c r="H814" t="s">
        <v>134</v>
      </c>
      <c r="I814" t="s">
        <v>1659</v>
      </c>
      <c r="J814">
        <v>3</v>
      </c>
      <c r="K814" s="2">
        <v>3564.19</v>
      </c>
      <c r="L814">
        <v>15</v>
      </c>
      <c r="M814" s="2">
        <v>9088.68</v>
      </c>
      <c r="N814" s="2">
        <v>5902.6</v>
      </c>
      <c r="O814" s="2">
        <v>3186.08</v>
      </c>
      <c r="P814" t="s">
        <v>27</v>
      </c>
      <c r="Q814" t="s">
        <v>61</v>
      </c>
      <c r="R814" t="str">
        <f>TEXT(Table1[[#This Row],[Order Date]],"mmmm")</f>
        <v>May</v>
      </c>
      <c r="S814">
        <f>YEAR(Table1[[#This Row],[Order Date]])</f>
        <v>2026</v>
      </c>
    </row>
    <row r="815" spans="1:19" x14ac:dyDescent="0.3">
      <c r="A815" t="s">
        <v>1660</v>
      </c>
      <c r="B815" s="1">
        <v>45690</v>
      </c>
      <c r="C815" t="s">
        <v>70</v>
      </c>
      <c r="D815" t="s">
        <v>75</v>
      </c>
      <c r="E815" t="s">
        <v>51</v>
      </c>
      <c r="F815" t="s">
        <v>23</v>
      </c>
      <c r="G815" t="s">
        <v>24</v>
      </c>
      <c r="H815" t="s">
        <v>56</v>
      </c>
      <c r="I815" t="s">
        <v>1661</v>
      </c>
      <c r="J815">
        <v>6</v>
      </c>
      <c r="K815" s="2">
        <v>1827.53</v>
      </c>
      <c r="L815">
        <v>15</v>
      </c>
      <c r="M815" s="2">
        <v>9320.4</v>
      </c>
      <c r="N815" s="2">
        <v>7186.74</v>
      </c>
      <c r="O815" s="2">
        <v>2133.66</v>
      </c>
      <c r="P815" t="s">
        <v>41</v>
      </c>
      <c r="Q815" t="s">
        <v>49</v>
      </c>
      <c r="R815" t="str">
        <f>TEXT(Table1[[#This Row],[Order Date]],"mmmm")</f>
        <v>February</v>
      </c>
      <c r="S815">
        <f>YEAR(Table1[[#This Row],[Order Date]])</f>
        <v>2025</v>
      </c>
    </row>
    <row r="816" spans="1:19" x14ac:dyDescent="0.3">
      <c r="A816" t="s">
        <v>1662</v>
      </c>
      <c r="B816" s="1">
        <v>46065</v>
      </c>
      <c r="C816" t="s">
        <v>35</v>
      </c>
      <c r="D816" t="s">
        <v>36</v>
      </c>
      <c r="E816" t="s">
        <v>30</v>
      </c>
      <c r="F816" t="s">
        <v>31</v>
      </c>
      <c r="G816" t="s">
        <v>38</v>
      </c>
      <c r="H816" t="s">
        <v>106</v>
      </c>
      <c r="I816" t="s">
        <v>1663</v>
      </c>
      <c r="J816">
        <v>4</v>
      </c>
      <c r="K816" s="2">
        <v>3650.88</v>
      </c>
      <c r="L816">
        <v>0</v>
      </c>
      <c r="M816" s="2">
        <v>14603.52</v>
      </c>
      <c r="N816" s="2">
        <v>8742.94</v>
      </c>
      <c r="O816" s="2">
        <v>5860.58</v>
      </c>
      <c r="P816" t="s">
        <v>41</v>
      </c>
      <c r="Q816" t="s">
        <v>28</v>
      </c>
      <c r="R816" t="str">
        <f>TEXT(Table1[[#This Row],[Order Date]],"mmmm")</f>
        <v>February</v>
      </c>
      <c r="S816">
        <f>YEAR(Table1[[#This Row],[Order Date]])</f>
        <v>2026</v>
      </c>
    </row>
    <row r="817" spans="1:19" x14ac:dyDescent="0.3">
      <c r="A817" t="s">
        <v>1664</v>
      </c>
      <c r="B817" s="1">
        <v>46046</v>
      </c>
      <c r="C817" t="s">
        <v>35</v>
      </c>
      <c r="D817" t="s">
        <v>36</v>
      </c>
      <c r="E817" t="s">
        <v>113</v>
      </c>
      <c r="F817" t="s">
        <v>31</v>
      </c>
      <c r="G817" t="s">
        <v>38</v>
      </c>
      <c r="H817" t="s">
        <v>72</v>
      </c>
      <c r="I817" t="s">
        <v>1665</v>
      </c>
      <c r="J817">
        <v>5</v>
      </c>
      <c r="K817" s="2">
        <v>3170.28</v>
      </c>
      <c r="L817">
        <v>20</v>
      </c>
      <c r="M817" s="2">
        <v>12681.12</v>
      </c>
      <c r="N817" s="2">
        <v>6987.8</v>
      </c>
      <c r="O817" s="2">
        <v>5693.32</v>
      </c>
      <c r="P817" t="s">
        <v>41</v>
      </c>
      <c r="Q817" t="s">
        <v>28</v>
      </c>
      <c r="R817" t="str">
        <f>TEXT(Table1[[#This Row],[Order Date]],"mmmm")</f>
        <v>January</v>
      </c>
      <c r="S817">
        <f>YEAR(Table1[[#This Row],[Order Date]])</f>
        <v>2026</v>
      </c>
    </row>
    <row r="818" spans="1:19" x14ac:dyDescent="0.3">
      <c r="A818" t="s">
        <v>1666</v>
      </c>
      <c r="B818" s="1">
        <v>45705</v>
      </c>
      <c r="C818" t="s">
        <v>70</v>
      </c>
      <c r="D818" t="s">
        <v>75</v>
      </c>
      <c r="E818" t="s">
        <v>22</v>
      </c>
      <c r="F818" t="s">
        <v>37</v>
      </c>
      <c r="G818" t="s">
        <v>38</v>
      </c>
      <c r="H818" t="s">
        <v>63</v>
      </c>
      <c r="I818" t="s">
        <v>1667</v>
      </c>
      <c r="J818">
        <v>4</v>
      </c>
      <c r="K818" s="2">
        <v>4487.2700000000004</v>
      </c>
      <c r="L818">
        <v>20</v>
      </c>
      <c r="M818" s="2">
        <v>14359.26</v>
      </c>
      <c r="N818" s="2">
        <v>10442.629999999999</v>
      </c>
      <c r="O818" s="2">
        <v>3916.63</v>
      </c>
      <c r="P818" t="s">
        <v>41</v>
      </c>
      <c r="Q818" t="s">
        <v>49</v>
      </c>
      <c r="R818" t="str">
        <f>TEXT(Table1[[#This Row],[Order Date]],"mmmm")</f>
        <v>February</v>
      </c>
      <c r="S818">
        <f>YEAR(Table1[[#This Row],[Order Date]])</f>
        <v>2025</v>
      </c>
    </row>
    <row r="819" spans="1:19" x14ac:dyDescent="0.3">
      <c r="A819" t="s">
        <v>1668</v>
      </c>
      <c r="B819" s="1">
        <v>45896</v>
      </c>
      <c r="C819" t="s">
        <v>86</v>
      </c>
      <c r="D819" t="s">
        <v>90</v>
      </c>
      <c r="E819" t="s">
        <v>44</v>
      </c>
      <c r="F819" t="s">
        <v>23</v>
      </c>
      <c r="G819" t="s">
        <v>45</v>
      </c>
      <c r="H819" t="s">
        <v>159</v>
      </c>
      <c r="I819" t="s">
        <v>1669</v>
      </c>
      <c r="J819">
        <v>1</v>
      </c>
      <c r="K819" s="2">
        <v>1744</v>
      </c>
      <c r="L819">
        <v>15</v>
      </c>
      <c r="M819" s="2">
        <v>1482.4</v>
      </c>
      <c r="N819" s="2">
        <v>996.6</v>
      </c>
      <c r="O819" s="2">
        <v>485.8</v>
      </c>
      <c r="P819" t="s">
        <v>48</v>
      </c>
      <c r="Q819" t="s">
        <v>61</v>
      </c>
      <c r="R819" t="str">
        <f>TEXT(Table1[[#This Row],[Order Date]],"mmmm")</f>
        <v>August</v>
      </c>
      <c r="S819">
        <f>YEAR(Table1[[#This Row],[Order Date]])</f>
        <v>2025</v>
      </c>
    </row>
    <row r="820" spans="1:19" x14ac:dyDescent="0.3">
      <c r="A820" t="s">
        <v>1670</v>
      </c>
      <c r="B820" s="1">
        <v>45928</v>
      </c>
      <c r="C820" t="s">
        <v>20</v>
      </c>
      <c r="D820" t="s">
        <v>21</v>
      </c>
      <c r="E820" t="s">
        <v>113</v>
      </c>
      <c r="F820" t="s">
        <v>23</v>
      </c>
      <c r="G820" t="s">
        <v>45</v>
      </c>
      <c r="H820" t="s">
        <v>159</v>
      </c>
      <c r="I820" t="s">
        <v>1671</v>
      </c>
      <c r="J820">
        <v>14</v>
      </c>
      <c r="K820" s="2">
        <v>1696.46</v>
      </c>
      <c r="L820">
        <v>15</v>
      </c>
      <c r="M820" s="2">
        <v>20187.87</v>
      </c>
      <c r="N820" s="2">
        <v>12858.47</v>
      </c>
      <c r="O820" s="2">
        <v>7329.4</v>
      </c>
      <c r="P820" t="s">
        <v>41</v>
      </c>
      <c r="Q820" t="s">
        <v>42</v>
      </c>
      <c r="R820" t="str">
        <f>TEXT(Table1[[#This Row],[Order Date]],"mmmm")</f>
        <v>September</v>
      </c>
      <c r="S820">
        <f>YEAR(Table1[[#This Row],[Order Date]])</f>
        <v>2025</v>
      </c>
    </row>
    <row r="821" spans="1:19" x14ac:dyDescent="0.3">
      <c r="A821" t="s">
        <v>1672</v>
      </c>
      <c r="B821" s="1">
        <v>45901</v>
      </c>
      <c r="C821" t="s">
        <v>35</v>
      </c>
      <c r="D821" t="s">
        <v>59</v>
      </c>
      <c r="E821" t="s">
        <v>22</v>
      </c>
      <c r="F821" t="s">
        <v>31</v>
      </c>
      <c r="G821" t="s">
        <v>38</v>
      </c>
      <c r="H821" t="s">
        <v>72</v>
      </c>
      <c r="I821" t="s">
        <v>1673</v>
      </c>
      <c r="J821">
        <v>3</v>
      </c>
      <c r="K821" s="2">
        <v>3823.26</v>
      </c>
      <c r="L821">
        <v>10</v>
      </c>
      <c r="M821" s="2">
        <v>10322.799999999999</v>
      </c>
      <c r="N821" s="2">
        <v>6931.68</v>
      </c>
      <c r="O821" s="2">
        <v>3391.12</v>
      </c>
      <c r="P821" t="s">
        <v>41</v>
      </c>
      <c r="Q821" t="s">
        <v>28</v>
      </c>
      <c r="R821" t="str">
        <f>TEXT(Table1[[#This Row],[Order Date]],"mmmm")</f>
        <v>September</v>
      </c>
      <c r="S821">
        <f>YEAR(Table1[[#This Row],[Order Date]])</f>
        <v>2025</v>
      </c>
    </row>
    <row r="822" spans="1:19" x14ac:dyDescent="0.3">
      <c r="A822" t="s">
        <v>1674</v>
      </c>
      <c r="B822" s="1">
        <v>46045</v>
      </c>
      <c r="C822" t="s">
        <v>86</v>
      </c>
      <c r="D822" t="s">
        <v>87</v>
      </c>
      <c r="E822" t="s">
        <v>44</v>
      </c>
      <c r="F822" t="s">
        <v>37</v>
      </c>
      <c r="G822" t="s">
        <v>45</v>
      </c>
      <c r="H822" t="s">
        <v>123</v>
      </c>
      <c r="I822" t="s">
        <v>1675</v>
      </c>
      <c r="J822">
        <v>10</v>
      </c>
      <c r="K822" s="2">
        <v>4555.0600000000004</v>
      </c>
      <c r="L822">
        <v>20</v>
      </c>
      <c r="M822" s="2">
        <v>36440.480000000003</v>
      </c>
      <c r="N822" s="2">
        <v>23277.98</v>
      </c>
      <c r="O822" s="2">
        <v>13162.5</v>
      </c>
      <c r="P822" t="s">
        <v>48</v>
      </c>
      <c r="Q822" t="s">
        <v>28</v>
      </c>
      <c r="R822" t="str">
        <f>TEXT(Table1[[#This Row],[Order Date]],"mmmm")</f>
        <v>January</v>
      </c>
      <c r="S822">
        <f>YEAR(Table1[[#This Row],[Order Date]])</f>
        <v>2026</v>
      </c>
    </row>
    <row r="823" spans="1:19" x14ac:dyDescent="0.3">
      <c r="A823" t="s">
        <v>1676</v>
      </c>
      <c r="B823" s="1">
        <v>45872</v>
      </c>
      <c r="C823" t="s">
        <v>86</v>
      </c>
      <c r="D823" t="s">
        <v>90</v>
      </c>
      <c r="E823" t="s">
        <v>22</v>
      </c>
      <c r="F823" t="s">
        <v>37</v>
      </c>
      <c r="G823" t="s">
        <v>24</v>
      </c>
      <c r="H823" t="s">
        <v>25</v>
      </c>
      <c r="I823" t="s">
        <v>1677</v>
      </c>
      <c r="J823">
        <v>14</v>
      </c>
      <c r="K823" s="2">
        <v>2365.17</v>
      </c>
      <c r="L823">
        <v>20</v>
      </c>
      <c r="M823" s="2">
        <v>26489.9</v>
      </c>
      <c r="N823" s="2">
        <v>15949.27</v>
      </c>
      <c r="O823" s="2">
        <v>10540.63</v>
      </c>
      <c r="P823" t="s">
        <v>41</v>
      </c>
      <c r="Q823" t="s">
        <v>42</v>
      </c>
      <c r="R823" t="str">
        <f>TEXT(Table1[[#This Row],[Order Date]],"mmmm")</f>
        <v>August</v>
      </c>
      <c r="S823">
        <f>YEAR(Table1[[#This Row],[Order Date]])</f>
        <v>2025</v>
      </c>
    </row>
    <row r="824" spans="1:19" x14ac:dyDescent="0.3">
      <c r="A824" t="s">
        <v>1678</v>
      </c>
      <c r="B824" s="1">
        <v>45702</v>
      </c>
      <c r="C824" t="s">
        <v>35</v>
      </c>
      <c r="D824" t="s">
        <v>36</v>
      </c>
      <c r="E824" t="s">
        <v>120</v>
      </c>
      <c r="F824" t="s">
        <v>37</v>
      </c>
      <c r="G824" t="s">
        <v>24</v>
      </c>
      <c r="H824" t="s">
        <v>32</v>
      </c>
      <c r="I824" t="s">
        <v>1679</v>
      </c>
      <c r="J824">
        <v>3</v>
      </c>
      <c r="K824" s="2">
        <v>4319.6400000000003</v>
      </c>
      <c r="L824">
        <v>15</v>
      </c>
      <c r="M824" s="2">
        <v>11015.08</v>
      </c>
      <c r="N824" s="2">
        <v>7058.32</v>
      </c>
      <c r="O824" s="2">
        <v>3956.76</v>
      </c>
      <c r="P824" t="s">
        <v>48</v>
      </c>
      <c r="Q824" t="s">
        <v>49</v>
      </c>
      <c r="R824" t="str">
        <f>TEXT(Table1[[#This Row],[Order Date]],"mmmm")</f>
        <v>February</v>
      </c>
      <c r="S824">
        <f>YEAR(Table1[[#This Row],[Order Date]])</f>
        <v>2025</v>
      </c>
    </row>
    <row r="825" spans="1:19" x14ac:dyDescent="0.3">
      <c r="A825" t="s">
        <v>1680</v>
      </c>
      <c r="B825" s="1">
        <v>46008</v>
      </c>
      <c r="C825" t="s">
        <v>20</v>
      </c>
      <c r="D825" t="s">
        <v>55</v>
      </c>
      <c r="E825" t="s">
        <v>113</v>
      </c>
      <c r="F825" t="s">
        <v>37</v>
      </c>
      <c r="G825" t="s">
        <v>38</v>
      </c>
      <c r="H825" t="s">
        <v>63</v>
      </c>
      <c r="I825" t="s">
        <v>1681</v>
      </c>
      <c r="J825">
        <v>10</v>
      </c>
      <c r="K825" s="2">
        <v>4034.68</v>
      </c>
      <c r="L825">
        <v>15</v>
      </c>
      <c r="M825" s="2">
        <v>34294.78</v>
      </c>
      <c r="N825" s="2">
        <v>18871.23</v>
      </c>
      <c r="O825" s="2">
        <v>15423.55</v>
      </c>
      <c r="P825" t="s">
        <v>48</v>
      </c>
      <c r="Q825" t="s">
        <v>28</v>
      </c>
      <c r="R825" t="str">
        <f>TEXT(Table1[[#This Row],[Order Date]],"mmmm")</f>
        <v>December</v>
      </c>
      <c r="S825">
        <f>YEAR(Table1[[#This Row],[Order Date]])</f>
        <v>2025</v>
      </c>
    </row>
    <row r="826" spans="1:19" x14ac:dyDescent="0.3">
      <c r="A826" t="s">
        <v>1682</v>
      </c>
      <c r="B826" s="1">
        <v>46202</v>
      </c>
      <c r="C826" t="s">
        <v>70</v>
      </c>
      <c r="D826" t="s">
        <v>75</v>
      </c>
      <c r="E826" t="s">
        <v>22</v>
      </c>
      <c r="F826" t="s">
        <v>23</v>
      </c>
      <c r="G826" t="s">
        <v>24</v>
      </c>
      <c r="H826" t="s">
        <v>32</v>
      </c>
      <c r="I826" t="s">
        <v>1683</v>
      </c>
      <c r="J826">
        <v>4</v>
      </c>
      <c r="K826" s="2">
        <v>279.39</v>
      </c>
      <c r="L826">
        <v>0</v>
      </c>
      <c r="M826" s="2">
        <v>1117.56</v>
      </c>
      <c r="N826" s="2">
        <v>670.43</v>
      </c>
      <c r="O826" s="2">
        <v>447.13</v>
      </c>
      <c r="P826" t="s">
        <v>41</v>
      </c>
      <c r="Q826" t="s">
        <v>61</v>
      </c>
      <c r="R826" t="str">
        <f>TEXT(Table1[[#This Row],[Order Date]],"mmmm")</f>
        <v>June</v>
      </c>
      <c r="S826">
        <f>YEAR(Table1[[#This Row],[Order Date]])</f>
        <v>2026</v>
      </c>
    </row>
    <row r="827" spans="1:19" x14ac:dyDescent="0.3">
      <c r="A827" t="s">
        <v>1684</v>
      </c>
      <c r="B827" s="1">
        <v>45783</v>
      </c>
      <c r="C827" t="s">
        <v>20</v>
      </c>
      <c r="D827" t="s">
        <v>55</v>
      </c>
      <c r="E827" t="s">
        <v>120</v>
      </c>
      <c r="F827" t="s">
        <v>37</v>
      </c>
      <c r="G827" t="s">
        <v>24</v>
      </c>
      <c r="H827" t="s">
        <v>134</v>
      </c>
      <c r="I827" t="s">
        <v>1685</v>
      </c>
      <c r="J827">
        <v>5</v>
      </c>
      <c r="K827" s="2">
        <v>1709.5</v>
      </c>
      <c r="L827">
        <v>15</v>
      </c>
      <c r="M827" s="2">
        <v>7265.38</v>
      </c>
      <c r="N827" s="2">
        <v>4722.57</v>
      </c>
      <c r="O827" s="2">
        <v>2542.81</v>
      </c>
      <c r="P827" t="s">
        <v>27</v>
      </c>
      <c r="Q827" t="s">
        <v>28</v>
      </c>
      <c r="R827" t="str">
        <f>TEXT(Table1[[#This Row],[Order Date]],"mmmm")</f>
        <v>May</v>
      </c>
      <c r="S827">
        <f>YEAR(Table1[[#This Row],[Order Date]])</f>
        <v>2025</v>
      </c>
    </row>
    <row r="828" spans="1:19" x14ac:dyDescent="0.3">
      <c r="A828" t="s">
        <v>1686</v>
      </c>
      <c r="B828" s="1">
        <v>45862</v>
      </c>
      <c r="C828" t="s">
        <v>35</v>
      </c>
      <c r="D828" t="s">
        <v>59</v>
      </c>
      <c r="E828" t="s">
        <v>120</v>
      </c>
      <c r="F828" t="s">
        <v>31</v>
      </c>
      <c r="G828" t="s">
        <v>45</v>
      </c>
      <c r="H828" t="s">
        <v>52</v>
      </c>
      <c r="I828" t="s">
        <v>1687</v>
      </c>
      <c r="J828">
        <v>10</v>
      </c>
      <c r="K828" s="2">
        <v>1707.11</v>
      </c>
      <c r="L828">
        <v>15</v>
      </c>
      <c r="M828" s="2">
        <v>14510.43</v>
      </c>
      <c r="N828" s="2">
        <v>10448.64</v>
      </c>
      <c r="O828" s="2">
        <v>4061.79</v>
      </c>
      <c r="P828" t="s">
        <v>27</v>
      </c>
      <c r="Q828" t="s">
        <v>42</v>
      </c>
      <c r="R828" t="str">
        <f>TEXT(Table1[[#This Row],[Order Date]],"mmmm")</f>
        <v>July</v>
      </c>
      <c r="S828">
        <f>YEAR(Table1[[#This Row],[Order Date]])</f>
        <v>2025</v>
      </c>
    </row>
    <row r="829" spans="1:19" x14ac:dyDescent="0.3">
      <c r="A829" t="s">
        <v>1688</v>
      </c>
      <c r="B829" s="1">
        <v>46183</v>
      </c>
      <c r="C829" t="s">
        <v>20</v>
      </c>
      <c r="D829" t="s">
        <v>21</v>
      </c>
      <c r="E829" t="s">
        <v>30</v>
      </c>
      <c r="F829" t="s">
        <v>31</v>
      </c>
      <c r="G829" t="s">
        <v>45</v>
      </c>
      <c r="H829" t="s">
        <v>159</v>
      </c>
      <c r="I829" t="s">
        <v>1689</v>
      </c>
      <c r="J829">
        <v>3</v>
      </c>
      <c r="K829" s="2">
        <v>403.08</v>
      </c>
      <c r="L829">
        <v>15</v>
      </c>
      <c r="M829" s="2">
        <v>1027.8499999999999</v>
      </c>
      <c r="N829" s="2">
        <v>817.05</v>
      </c>
      <c r="O829" s="2">
        <v>210.8</v>
      </c>
      <c r="P829" t="s">
        <v>27</v>
      </c>
      <c r="Q829" t="s">
        <v>28</v>
      </c>
      <c r="R829" t="str">
        <f>TEXT(Table1[[#This Row],[Order Date]],"mmmm")</f>
        <v>June</v>
      </c>
      <c r="S829">
        <f>YEAR(Table1[[#This Row],[Order Date]])</f>
        <v>2026</v>
      </c>
    </row>
    <row r="830" spans="1:19" x14ac:dyDescent="0.3">
      <c r="A830" t="s">
        <v>1690</v>
      </c>
      <c r="B830" s="1">
        <v>46039</v>
      </c>
      <c r="C830" t="s">
        <v>70</v>
      </c>
      <c r="D830" t="s">
        <v>75</v>
      </c>
      <c r="E830" t="s">
        <v>51</v>
      </c>
      <c r="F830" t="s">
        <v>37</v>
      </c>
      <c r="G830" t="s">
        <v>24</v>
      </c>
      <c r="H830" t="s">
        <v>56</v>
      </c>
      <c r="I830" t="s">
        <v>1691</v>
      </c>
      <c r="J830">
        <v>8</v>
      </c>
      <c r="K830" s="2">
        <v>2599.12</v>
      </c>
      <c r="L830">
        <v>0</v>
      </c>
      <c r="M830" s="2">
        <v>20792.96</v>
      </c>
      <c r="N830" s="2">
        <v>12025.49</v>
      </c>
      <c r="O830" s="2">
        <v>8767.4699999999993</v>
      </c>
      <c r="P830" t="s">
        <v>48</v>
      </c>
      <c r="Q830" t="s">
        <v>28</v>
      </c>
      <c r="R830" t="str">
        <f>TEXT(Table1[[#This Row],[Order Date]],"mmmm")</f>
        <v>January</v>
      </c>
      <c r="S830">
        <f>YEAR(Table1[[#This Row],[Order Date]])</f>
        <v>2026</v>
      </c>
    </row>
    <row r="831" spans="1:19" x14ac:dyDescent="0.3">
      <c r="A831" t="s">
        <v>1692</v>
      </c>
      <c r="B831" s="1">
        <v>46180</v>
      </c>
      <c r="C831" t="s">
        <v>70</v>
      </c>
      <c r="D831" t="s">
        <v>75</v>
      </c>
      <c r="E831" t="s">
        <v>44</v>
      </c>
      <c r="F831" t="s">
        <v>37</v>
      </c>
      <c r="G831" t="s">
        <v>38</v>
      </c>
      <c r="H831" t="s">
        <v>91</v>
      </c>
      <c r="I831" t="s">
        <v>1693</v>
      </c>
      <c r="J831">
        <v>3</v>
      </c>
      <c r="K831" s="2">
        <v>1419.17</v>
      </c>
      <c r="L831">
        <v>15</v>
      </c>
      <c r="M831" s="2">
        <v>3618.88</v>
      </c>
      <c r="N831" s="2">
        <v>2668.64</v>
      </c>
      <c r="O831" s="2">
        <v>950.24</v>
      </c>
      <c r="P831" t="s">
        <v>27</v>
      </c>
      <c r="Q831" t="s">
        <v>49</v>
      </c>
      <c r="R831" t="str">
        <f>TEXT(Table1[[#This Row],[Order Date]],"mmmm")</f>
        <v>June</v>
      </c>
      <c r="S831">
        <f>YEAR(Table1[[#This Row],[Order Date]])</f>
        <v>2026</v>
      </c>
    </row>
    <row r="832" spans="1:19" x14ac:dyDescent="0.3">
      <c r="A832" t="s">
        <v>1694</v>
      </c>
      <c r="B832" s="1">
        <v>46168</v>
      </c>
      <c r="C832" t="s">
        <v>70</v>
      </c>
      <c r="D832" t="s">
        <v>71</v>
      </c>
      <c r="E832" t="s">
        <v>44</v>
      </c>
      <c r="F832" t="s">
        <v>23</v>
      </c>
      <c r="G832" t="s">
        <v>24</v>
      </c>
      <c r="H832" t="s">
        <v>134</v>
      </c>
      <c r="I832" t="s">
        <v>1695</v>
      </c>
      <c r="J832">
        <v>11</v>
      </c>
      <c r="K832" s="2">
        <v>469.68</v>
      </c>
      <c r="L832">
        <v>15</v>
      </c>
      <c r="M832" s="2">
        <v>4391.51</v>
      </c>
      <c r="N832" s="2">
        <v>3308.26</v>
      </c>
      <c r="O832" s="2">
        <v>1083.25</v>
      </c>
      <c r="P832" t="s">
        <v>27</v>
      </c>
      <c r="Q832" t="s">
        <v>61</v>
      </c>
      <c r="R832" t="str">
        <f>TEXT(Table1[[#This Row],[Order Date]],"mmmm")</f>
        <v>May</v>
      </c>
      <c r="S832">
        <f>YEAR(Table1[[#This Row],[Order Date]])</f>
        <v>2026</v>
      </c>
    </row>
    <row r="833" spans="1:19" x14ac:dyDescent="0.3">
      <c r="A833" t="s">
        <v>1696</v>
      </c>
      <c r="B833" s="1">
        <v>45680</v>
      </c>
      <c r="C833" t="s">
        <v>86</v>
      </c>
      <c r="D833" t="s">
        <v>90</v>
      </c>
      <c r="E833" t="s">
        <v>120</v>
      </c>
      <c r="F833" t="s">
        <v>37</v>
      </c>
      <c r="G833" t="s">
        <v>38</v>
      </c>
      <c r="H833" t="s">
        <v>63</v>
      </c>
      <c r="I833" t="s">
        <v>1697</v>
      </c>
      <c r="J833">
        <v>7</v>
      </c>
      <c r="K833" s="2">
        <v>1108.3800000000001</v>
      </c>
      <c r="L833">
        <v>10</v>
      </c>
      <c r="M833" s="2">
        <v>6982.79</v>
      </c>
      <c r="N833" s="2">
        <v>4623.54</v>
      </c>
      <c r="O833" s="2">
        <v>2359.25</v>
      </c>
      <c r="P833" t="s">
        <v>41</v>
      </c>
      <c r="Q833" t="s">
        <v>61</v>
      </c>
      <c r="R833" t="str">
        <f>TEXT(Table1[[#This Row],[Order Date]],"mmmm")</f>
        <v>January</v>
      </c>
      <c r="S833">
        <f>YEAR(Table1[[#This Row],[Order Date]])</f>
        <v>2025</v>
      </c>
    </row>
    <row r="834" spans="1:19" x14ac:dyDescent="0.3">
      <c r="A834" t="s">
        <v>1698</v>
      </c>
      <c r="B834" s="1">
        <v>45892</v>
      </c>
      <c r="C834" t="s">
        <v>70</v>
      </c>
      <c r="D834" t="s">
        <v>71</v>
      </c>
      <c r="E834" t="s">
        <v>170</v>
      </c>
      <c r="F834" t="s">
        <v>31</v>
      </c>
      <c r="G834" t="s">
        <v>38</v>
      </c>
      <c r="H834" t="s">
        <v>72</v>
      </c>
      <c r="I834" t="s">
        <v>1699</v>
      </c>
      <c r="J834">
        <v>5</v>
      </c>
      <c r="K834" s="2">
        <v>1931.6</v>
      </c>
      <c r="L834">
        <v>20</v>
      </c>
      <c r="M834" s="2">
        <v>7726.4</v>
      </c>
      <c r="N834" s="2">
        <v>4565.67</v>
      </c>
      <c r="O834" s="2">
        <v>3160.73</v>
      </c>
      <c r="P834" t="s">
        <v>48</v>
      </c>
      <c r="Q834" t="s">
        <v>61</v>
      </c>
      <c r="R834" t="str">
        <f>TEXT(Table1[[#This Row],[Order Date]],"mmmm")</f>
        <v>August</v>
      </c>
      <c r="S834">
        <f>YEAR(Table1[[#This Row],[Order Date]])</f>
        <v>2025</v>
      </c>
    </row>
    <row r="835" spans="1:19" x14ac:dyDescent="0.3">
      <c r="A835" t="s">
        <v>1700</v>
      </c>
      <c r="B835" s="1">
        <v>46091</v>
      </c>
      <c r="C835" t="s">
        <v>70</v>
      </c>
      <c r="D835" t="s">
        <v>75</v>
      </c>
      <c r="E835" t="s">
        <v>66</v>
      </c>
      <c r="F835" t="s">
        <v>37</v>
      </c>
      <c r="G835" t="s">
        <v>45</v>
      </c>
      <c r="H835" t="s">
        <v>52</v>
      </c>
      <c r="I835" t="s">
        <v>1701</v>
      </c>
      <c r="J835">
        <v>4</v>
      </c>
      <c r="K835" s="2">
        <v>1646.28</v>
      </c>
      <c r="L835">
        <v>10</v>
      </c>
      <c r="M835" s="2">
        <v>5926.61</v>
      </c>
      <c r="N835" s="2">
        <v>3905.11</v>
      </c>
      <c r="O835" s="2">
        <v>2021.5</v>
      </c>
      <c r="P835" t="s">
        <v>27</v>
      </c>
      <c r="Q835" t="s">
        <v>42</v>
      </c>
      <c r="R835" t="str">
        <f>TEXT(Table1[[#This Row],[Order Date]],"mmmm")</f>
        <v>March</v>
      </c>
      <c r="S835">
        <f>YEAR(Table1[[#This Row],[Order Date]])</f>
        <v>2026</v>
      </c>
    </row>
    <row r="836" spans="1:19" x14ac:dyDescent="0.3">
      <c r="A836" t="s">
        <v>1702</v>
      </c>
      <c r="B836" s="1">
        <v>46021</v>
      </c>
      <c r="C836" t="s">
        <v>86</v>
      </c>
      <c r="D836" t="s">
        <v>87</v>
      </c>
      <c r="E836" t="s">
        <v>66</v>
      </c>
      <c r="F836" t="s">
        <v>37</v>
      </c>
      <c r="G836" t="s">
        <v>45</v>
      </c>
      <c r="H836" t="s">
        <v>46</v>
      </c>
      <c r="I836" t="s">
        <v>1703</v>
      </c>
      <c r="J836">
        <v>8</v>
      </c>
      <c r="K836" s="2">
        <v>3187.6</v>
      </c>
      <c r="L836">
        <v>15</v>
      </c>
      <c r="M836" s="2">
        <v>21675.68</v>
      </c>
      <c r="N836" s="2">
        <v>12260.34</v>
      </c>
      <c r="O836" s="2">
        <v>9415.34</v>
      </c>
      <c r="P836" t="s">
        <v>48</v>
      </c>
      <c r="Q836" t="s">
        <v>42</v>
      </c>
      <c r="R836" t="str">
        <f>TEXT(Table1[[#This Row],[Order Date]],"mmmm")</f>
        <v>December</v>
      </c>
      <c r="S836">
        <f>YEAR(Table1[[#This Row],[Order Date]])</f>
        <v>2025</v>
      </c>
    </row>
    <row r="837" spans="1:19" x14ac:dyDescent="0.3">
      <c r="A837" t="s">
        <v>1704</v>
      </c>
      <c r="B837" s="1">
        <v>45812</v>
      </c>
      <c r="C837" t="s">
        <v>86</v>
      </c>
      <c r="D837" t="s">
        <v>90</v>
      </c>
      <c r="E837" t="s">
        <v>51</v>
      </c>
      <c r="F837" t="s">
        <v>23</v>
      </c>
      <c r="G837" t="s">
        <v>24</v>
      </c>
      <c r="H837" t="s">
        <v>56</v>
      </c>
      <c r="I837" t="s">
        <v>1705</v>
      </c>
      <c r="J837">
        <v>2</v>
      </c>
      <c r="K837" s="2">
        <v>1739.2</v>
      </c>
      <c r="L837">
        <v>20</v>
      </c>
      <c r="M837" s="2">
        <v>2782.72</v>
      </c>
      <c r="N837" s="2">
        <v>1986.25</v>
      </c>
      <c r="O837" s="2">
        <v>796.47</v>
      </c>
      <c r="P837" t="s">
        <v>48</v>
      </c>
      <c r="Q837" t="s">
        <v>28</v>
      </c>
      <c r="R837" t="str">
        <f>TEXT(Table1[[#This Row],[Order Date]],"mmmm")</f>
        <v>June</v>
      </c>
      <c r="S837">
        <f>YEAR(Table1[[#This Row],[Order Date]])</f>
        <v>2025</v>
      </c>
    </row>
    <row r="838" spans="1:19" x14ac:dyDescent="0.3">
      <c r="A838" t="s">
        <v>1706</v>
      </c>
      <c r="B838" s="1">
        <v>46175</v>
      </c>
      <c r="C838" t="s">
        <v>86</v>
      </c>
      <c r="D838" t="s">
        <v>87</v>
      </c>
      <c r="E838" t="s">
        <v>44</v>
      </c>
      <c r="F838" t="s">
        <v>37</v>
      </c>
      <c r="G838" t="s">
        <v>45</v>
      </c>
      <c r="H838" t="s">
        <v>123</v>
      </c>
      <c r="I838" t="s">
        <v>1707</v>
      </c>
      <c r="J838">
        <v>7</v>
      </c>
      <c r="K838" s="2">
        <v>4800.96</v>
      </c>
      <c r="L838">
        <v>5</v>
      </c>
      <c r="M838" s="2">
        <v>31926.38</v>
      </c>
      <c r="N838" s="2">
        <v>25477.46</v>
      </c>
      <c r="O838" s="2">
        <v>6448.92</v>
      </c>
      <c r="P838" t="s">
        <v>27</v>
      </c>
      <c r="Q838" t="s">
        <v>28</v>
      </c>
      <c r="R838" t="str">
        <f>TEXT(Table1[[#This Row],[Order Date]],"mmmm")</f>
        <v>June</v>
      </c>
      <c r="S838">
        <f>YEAR(Table1[[#This Row],[Order Date]])</f>
        <v>2026</v>
      </c>
    </row>
    <row r="839" spans="1:19" x14ac:dyDescent="0.3">
      <c r="A839" t="s">
        <v>1708</v>
      </c>
      <c r="B839" s="1">
        <v>46015</v>
      </c>
      <c r="C839" t="s">
        <v>70</v>
      </c>
      <c r="D839" t="s">
        <v>71</v>
      </c>
      <c r="E839" t="s">
        <v>44</v>
      </c>
      <c r="F839" t="s">
        <v>31</v>
      </c>
      <c r="G839" t="s">
        <v>24</v>
      </c>
      <c r="H839" t="s">
        <v>171</v>
      </c>
      <c r="I839" t="s">
        <v>1709</v>
      </c>
      <c r="J839">
        <v>13</v>
      </c>
      <c r="K839" s="2">
        <v>3085.82</v>
      </c>
      <c r="L839">
        <v>0</v>
      </c>
      <c r="M839" s="2">
        <v>40115.660000000003</v>
      </c>
      <c r="N839" s="2">
        <v>29913.82</v>
      </c>
      <c r="O839" s="2">
        <v>10201.84</v>
      </c>
      <c r="P839" t="s">
        <v>27</v>
      </c>
      <c r="Q839" t="s">
        <v>61</v>
      </c>
      <c r="R839" t="str">
        <f>TEXT(Table1[[#This Row],[Order Date]],"mmmm")</f>
        <v>December</v>
      </c>
      <c r="S839">
        <f>YEAR(Table1[[#This Row],[Order Date]])</f>
        <v>2025</v>
      </c>
    </row>
    <row r="840" spans="1:19" x14ac:dyDescent="0.3">
      <c r="A840" t="s">
        <v>1710</v>
      </c>
      <c r="B840" s="1">
        <v>45806</v>
      </c>
      <c r="C840" t="s">
        <v>35</v>
      </c>
      <c r="D840" t="s">
        <v>36</v>
      </c>
      <c r="E840" t="s">
        <v>66</v>
      </c>
      <c r="F840" t="s">
        <v>37</v>
      </c>
      <c r="G840" t="s">
        <v>24</v>
      </c>
      <c r="H840" t="s">
        <v>134</v>
      </c>
      <c r="I840" t="s">
        <v>728</v>
      </c>
      <c r="J840">
        <v>14</v>
      </c>
      <c r="K840" s="2">
        <v>2416.2600000000002</v>
      </c>
      <c r="L840">
        <v>10</v>
      </c>
      <c r="M840" s="2">
        <v>30444.880000000001</v>
      </c>
      <c r="N840" s="2">
        <v>23014.3</v>
      </c>
      <c r="O840" s="2">
        <v>7430.58</v>
      </c>
      <c r="P840" t="s">
        <v>48</v>
      </c>
      <c r="Q840" t="s">
        <v>28</v>
      </c>
      <c r="R840" t="str">
        <f>TEXT(Table1[[#This Row],[Order Date]],"mmmm")</f>
        <v>May</v>
      </c>
      <c r="S840">
        <f>YEAR(Table1[[#This Row],[Order Date]])</f>
        <v>2025</v>
      </c>
    </row>
    <row r="841" spans="1:19" x14ac:dyDescent="0.3">
      <c r="A841" t="s">
        <v>1711</v>
      </c>
      <c r="B841" s="1">
        <v>46158</v>
      </c>
      <c r="C841" t="s">
        <v>20</v>
      </c>
      <c r="D841" t="s">
        <v>55</v>
      </c>
      <c r="E841" t="s">
        <v>66</v>
      </c>
      <c r="F841" t="s">
        <v>31</v>
      </c>
      <c r="G841" t="s">
        <v>38</v>
      </c>
      <c r="H841" t="s">
        <v>106</v>
      </c>
      <c r="I841" t="s">
        <v>1712</v>
      </c>
      <c r="J841">
        <v>12</v>
      </c>
      <c r="K841" s="2">
        <v>1695.97</v>
      </c>
      <c r="L841">
        <v>20</v>
      </c>
      <c r="M841" s="2">
        <v>16281.31</v>
      </c>
      <c r="N841" s="2">
        <v>12998.45</v>
      </c>
      <c r="O841" s="2">
        <v>3282.86</v>
      </c>
      <c r="P841" t="s">
        <v>41</v>
      </c>
      <c r="Q841" t="s">
        <v>61</v>
      </c>
      <c r="R841" t="str">
        <f>TEXT(Table1[[#This Row],[Order Date]],"mmmm")</f>
        <v>May</v>
      </c>
      <c r="S841">
        <f>YEAR(Table1[[#This Row],[Order Date]])</f>
        <v>2026</v>
      </c>
    </row>
    <row r="842" spans="1:19" x14ac:dyDescent="0.3">
      <c r="A842" t="s">
        <v>1713</v>
      </c>
      <c r="B842" s="1">
        <v>46073</v>
      </c>
      <c r="C842" t="s">
        <v>35</v>
      </c>
      <c r="D842" t="s">
        <v>59</v>
      </c>
      <c r="E842" t="s">
        <v>30</v>
      </c>
      <c r="F842" t="s">
        <v>37</v>
      </c>
      <c r="G842" t="s">
        <v>45</v>
      </c>
      <c r="H842" t="s">
        <v>52</v>
      </c>
      <c r="I842" t="s">
        <v>1714</v>
      </c>
      <c r="J842">
        <v>7</v>
      </c>
      <c r="K842" s="2">
        <v>1898.62</v>
      </c>
      <c r="L842">
        <v>10</v>
      </c>
      <c r="M842" s="2">
        <v>11961.31</v>
      </c>
      <c r="N842" s="2">
        <v>9232.58</v>
      </c>
      <c r="O842" s="2">
        <v>2728.73</v>
      </c>
      <c r="P842" t="s">
        <v>27</v>
      </c>
      <c r="Q842" t="s">
        <v>49</v>
      </c>
      <c r="R842" t="str">
        <f>TEXT(Table1[[#This Row],[Order Date]],"mmmm")</f>
        <v>February</v>
      </c>
      <c r="S842">
        <f>YEAR(Table1[[#This Row],[Order Date]])</f>
        <v>2026</v>
      </c>
    </row>
    <row r="843" spans="1:19" x14ac:dyDescent="0.3">
      <c r="A843" t="s">
        <v>1715</v>
      </c>
      <c r="B843" s="1">
        <v>45798</v>
      </c>
      <c r="C843" t="s">
        <v>70</v>
      </c>
      <c r="D843" t="s">
        <v>71</v>
      </c>
      <c r="E843" t="s">
        <v>66</v>
      </c>
      <c r="F843" t="s">
        <v>31</v>
      </c>
      <c r="G843" t="s">
        <v>45</v>
      </c>
      <c r="H843" t="s">
        <v>52</v>
      </c>
      <c r="I843" t="s">
        <v>1716</v>
      </c>
      <c r="J843">
        <v>9</v>
      </c>
      <c r="K843" s="2">
        <v>2017.33</v>
      </c>
      <c r="L843">
        <v>15</v>
      </c>
      <c r="M843" s="2">
        <v>15432.57</v>
      </c>
      <c r="N843" s="2">
        <v>10872.95</v>
      </c>
      <c r="O843" s="2">
        <v>4559.62</v>
      </c>
      <c r="P843" t="s">
        <v>48</v>
      </c>
      <c r="Q843" t="s">
        <v>49</v>
      </c>
      <c r="R843" t="str">
        <f>TEXT(Table1[[#This Row],[Order Date]],"mmmm")</f>
        <v>May</v>
      </c>
      <c r="S843">
        <f>YEAR(Table1[[#This Row],[Order Date]])</f>
        <v>2025</v>
      </c>
    </row>
    <row r="844" spans="1:19" x14ac:dyDescent="0.3">
      <c r="A844" t="s">
        <v>1717</v>
      </c>
      <c r="B844" s="1">
        <v>46049</v>
      </c>
      <c r="C844" t="s">
        <v>86</v>
      </c>
      <c r="D844" t="s">
        <v>87</v>
      </c>
      <c r="E844" t="s">
        <v>120</v>
      </c>
      <c r="F844" t="s">
        <v>23</v>
      </c>
      <c r="G844" t="s">
        <v>24</v>
      </c>
      <c r="H844" t="s">
        <v>134</v>
      </c>
      <c r="I844" t="s">
        <v>1718</v>
      </c>
      <c r="J844">
        <v>7</v>
      </c>
      <c r="K844" s="2">
        <v>2562.86</v>
      </c>
      <c r="L844">
        <v>10</v>
      </c>
      <c r="M844" s="2">
        <v>16146.02</v>
      </c>
      <c r="N844" s="2">
        <v>8988.25</v>
      </c>
      <c r="O844" s="2">
        <v>7157.77</v>
      </c>
      <c r="P844" t="s">
        <v>27</v>
      </c>
      <c r="Q844" t="s">
        <v>28</v>
      </c>
      <c r="R844" t="str">
        <f>TEXT(Table1[[#This Row],[Order Date]],"mmmm")</f>
        <v>January</v>
      </c>
      <c r="S844">
        <f>YEAR(Table1[[#This Row],[Order Date]])</f>
        <v>2026</v>
      </c>
    </row>
    <row r="845" spans="1:19" x14ac:dyDescent="0.3">
      <c r="A845" t="s">
        <v>1719</v>
      </c>
      <c r="B845" s="1">
        <v>45917</v>
      </c>
      <c r="C845" t="s">
        <v>70</v>
      </c>
      <c r="D845" t="s">
        <v>75</v>
      </c>
      <c r="E845" t="s">
        <v>113</v>
      </c>
      <c r="F845" t="s">
        <v>31</v>
      </c>
      <c r="G845" t="s">
        <v>45</v>
      </c>
      <c r="H845" t="s">
        <v>52</v>
      </c>
      <c r="I845" t="s">
        <v>1720</v>
      </c>
      <c r="J845">
        <v>3</v>
      </c>
      <c r="K845" s="2">
        <v>675.37</v>
      </c>
      <c r="L845">
        <v>5</v>
      </c>
      <c r="M845" s="2">
        <v>1924.8</v>
      </c>
      <c r="N845" s="2">
        <v>1389.91</v>
      </c>
      <c r="O845" s="2">
        <v>534.89</v>
      </c>
      <c r="P845" t="s">
        <v>41</v>
      </c>
      <c r="Q845" t="s">
        <v>28</v>
      </c>
      <c r="R845" t="str">
        <f>TEXT(Table1[[#This Row],[Order Date]],"mmmm")</f>
        <v>September</v>
      </c>
      <c r="S845">
        <f>YEAR(Table1[[#This Row],[Order Date]])</f>
        <v>2025</v>
      </c>
    </row>
    <row r="846" spans="1:19" x14ac:dyDescent="0.3">
      <c r="A846" t="s">
        <v>1721</v>
      </c>
      <c r="B846" s="1">
        <v>45999</v>
      </c>
      <c r="C846" t="s">
        <v>35</v>
      </c>
      <c r="D846" t="s">
        <v>36</v>
      </c>
      <c r="E846" t="s">
        <v>44</v>
      </c>
      <c r="F846" t="s">
        <v>23</v>
      </c>
      <c r="G846" t="s">
        <v>24</v>
      </c>
      <c r="H846" t="s">
        <v>134</v>
      </c>
      <c r="I846" t="s">
        <v>1722</v>
      </c>
      <c r="J846">
        <v>15</v>
      </c>
      <c r="K846" s="2">
        <v>4923.88</v>
      </c>
      <c r="L846">
        <v>5</v>
      </c>
      <c r="M846" s="2">
        <v>70165.289999999994</v>
      </c>
      <c r="N846" s="2">
        <v>39936.160000000003</v>
      </c>
      <c r="O846" s="2">
        <v>30229.13</v>
      </c>
      <c r="P846" t="s">
        <v>41</v>
      </c>
      <c r="Q846" t="s">
        <v>28</v>
      </c>
      <c r="R846" t="str">
        <f>TEXT(Table1[[#This Row],[Order Date]],"mmmm")</f>
        <v>December</v>
      </c>
      <c r="S846">
        <f>YEAR(Table1[[#This Row],[Order Date]])</f>
        <v>2025</v>
      </c>
    </row>
    <row r="847" spans="1:19" x14ac:dyDescent="0.3">
      <c r="A847" t="s">
        <v>1723</v>
      </c>
      <c r="B847" s="1">
        <v>46201</v>
      </c>
      <c r="C847" t="s">
        <v>20</v>
      </c>
      <c r="D847" t="s">
        <v>55</v>
      </c>
      <c r="E847" t="s">
        <v>22</v>
      </c>
      <c r="F847" t="s">
        <v>23</v>
      </c>
      <c r="G847" t="s">
        <v>38</v>
      </c>
      <c r="H847" t="s">
        <v>72</v>
      </c>
      <c r="I847" t="s">
        <v>1724</v>
      </c>
      <c r="J847">
        <v>9</v>
      </c>
      <c r="K847" s="2">
        <v>1601.02</v>
      </c>
      <c r="L847">
        <v>15</v>
      </c>
      <c r="M847" s="2">
        <v>12247.8</v>
      </c>
      <c r="N847" s="2">
        <v>8782.89</v>
      </c>
      <c r="O847" s="2">
        <v>3464.91</v>
      </c>
      <c r="P847" t="s">
        <v>48</v>
      </c>
      <c r="Q847" t="s">
        <v>49</v>
      </c>
      <c r="R847" t="str">
        <f>TEXT(Table1[[#This Row],[Order Date]],"mmmm")</f>
        <v>June</v>
      </c>
      <c r="S847">
        <f>YEAR(Table1[[#This Row],[Order Date]])</f>
        <v>2026</v>
      </c>
    </row>
    <row r="848" spans="1:19" x14ac:dyDescent="0.3">
      <c r="A848" t="s">
        <v>1725</v>
      </c>
      <c r="B848" s="1">
        <v>45923</v>
      </c>
      <c r="C848" t="s">
        <v>86</v>
      </c>
      <c r="D848" t="s">
        <v>87</v>
      </c>
      <c r="E848" t="s">
        <v>170</v>
      </c>
      <c r="F848" t="s">
        <v>37</v>
      </c>
      <c r="G848" t="s">
        <v>38</v>
      </c>
      <c r="H848" t="s">
        <v>39</v>
      </c>
      <c r="I848" t="s">
        <v>1726</v>
      </c>
      <c r="J848">
        <v>7</v>
      </c>
      <c r="K848" s="2">
        <v>4030.89</v>
      </c>
      <c r="L848">
        <v>20</v>
      </c>
      <c r="M848" s="2">
        <v>22572.98</v>
      </c>
      <c r="N848" s="2">
        <v>13364.18</v>
      </c>
      <c r="O848" s="2">
        <v>9208.7999999999993</v>
      </c>
      <c r="P848" t="s">
        <v>41</v>
      </c>
      <c r="Q848" t="s">
        <v>61</v>
      </c>
      <c r="R848" t="str">
        <f>TEXT(Table1[[#This Row],[Order Date]],"mmmm")</f>
        <v>September</v>
      </c>
      <c r="S848">
        <f>YEAR(Table1[[#This Row],[Order Date]])</f>
        <v>2025</v>
      </c>
    </row>
    <row r="849" spans="1:19" x14ac:dyDescent="0.3">
      <c r="A849" t="s">
        <v>1727</v>
      </c>
      <c r="B849" s="1">
        <v>46160</v>
      </c>
      <c r="C849" t="s">
        <v>70</v>
      </c>
      <c r="D849" t="s">
        <v>75</v>
      </c>
      <c r="E849" t="s">
        <v>113</v>
      </c>
      <c r="F849" t="s">
        <v>31</v>
      </c>
      <c r="G849" t="s">
        <v>38</v>
      </c>
      <c r="H849" t="s">
        <v>106</v>
      </c>
      <c r="I849" t="s">
        <v>1728</v>
      </c>
      <c r="J849">
        <v>8</v>
      </c>
      <c r="K849" s="2">
        <v>4946.68</v>
      </c>
      <c r="L849">
        <v>15</v>
      </c>
      <c r="M849" s="2">
        <v>33637.42</v>
      </c>
      <c r="N849" s="2">
        <v>19121.95</v>
      </c>
      <c r="O849" s="2">
        <v>14515.47</v>
      </c>
      <c r="P849" t="s">
        <v>27</v>
      </c>
      <c r="Q849" t="s">
        <v>28</v>
      </c>
      <c r="R849" t="str">
        <f>TEXT(Table1[[#This Row],[Order Date]],"mmmm")</f>
        <v>May</v>
      </c>
      <c r="S849">
        <f>YEAR(Table1[[#This Row],[Order Date]])</f>
        <v>2026</v>
      </c>
    </row>
    <row r="850" spans="1:19" x14ac:dyDescent="0.3">
      <c r="A850" t="s">
        <v>1729</v>
      </c>
      <c r="B850" s="1">
        <v>46033</v>
      </c>
      <c r="C850" t="s">
        <v>20</v>
      </c>
      <c r="D850" t="s">
        <v>21</v>
      </c>
      <c r="E850" t="s">
        <v>44</v>
      </c>
      <c r="F850" t="s">
        <v>31</v>
      </c>
      <c r="G850" t="s">
        <v>38</v>
      </c>
      <c r="H850" t="s">
        <v>72</v>
      </c>
      <c r="I850" t="s">
        <v>1730</v>
      </c>
      <c r="J850">
        <v>11</v>
      </c>
      <c r="K850" s="2">
        <v>2325.85</v>
      </c>
      <c r="L850">
        <v>15</v>
      </c>
      <c r="M850" s="2">
        <v>21746.7</v>
      </c>
      <c r="N850" s="2">
        <v>16436.919999999998</v>
      </c>
      <c r="O850" s="2">
        <v>5309.78</v>
      </c>
      <c r="P850" t="s">
        <v>41</v>
      </c>
      <c r="Q850" t="s">
        <v>61</v>
      </c>
      <c r="R850" t="str">
        <f>TEXT(Table1[[#This Row],[Order Date]],"mmmm")</f>
        <v>January</v>
      </c>
      <c r="S850">
        <f>YEAR(Table1[[#This Row],[Order Date]])</f>
        <v>2026</v>
      </c>
    </row>
    <row r="851" spans="1:19" x14ac:dyDescent="0.3">
      <c r="A851" t="s">
        <v>1731</v>
      </c>
      <c r="B851" s="1">
        <v>45847</v>
      </c>
      <c r="C851" t="s">
        <v>86</v>
      </c>
      <c r="D851" t="s">
        <v>87</v>
      </c>
      <c r="E851" t="s">
        <v>22</v>
      </c>
      <c r="F851" t="s">
        <v>31</v>
      </c>
      <c r="G851" t="s">
        <v>24</v>
      </c>
      <c r="H851" t="s">
        <v>32</v>
      </c>
      <c r="I851" t="s">
        <v>1732</v>
      </c>
      <c r="J851">
        <v>2</v>
      </c>
      <c r="K851" s="2">
        <v>1144.47</v>
      </c>
      <c r="L851">
        <v>5</v>
      </c>
      <c r="M851" s="2">
        <v>2174.4899999999998</v>
      </c>
      <c r="N851" s="2">
        <v>1666.34</v>
      </c>
      <c r="O851" s="2">
        <v>508.15</v>
      </c>
      <c r="P851" t="s">
        <v>41</v>
      </c>
      <c r="Q851" t="s">
        <v>28</v>
      </c>
      <c r="R851" t="str">
        <f>TEXT(Table1[[#This Row],[Order Date]],"mmmm")</f>
        <v>July</v>
      </c>
      <c r="S851">
        <f>YEAR(Table1[[#This Row],[Order Date]])</f>
        <v>2025</v>
      </c>
    </row>
    <row r="852" spans="1:19" x14ac:dyDescent="0.3">
      <c r="A852" t="s">
        <v>1733</v>
      </c>
      <c r="B852" s="1">
        <v>46178</v>
      </c>
      <c r="C852" t="s">
        <v>70</v>
      </c>
      <c r="D852" t="s">
        <v>71</v>
      </c>
      <c r="E852" t="s">
        <v>51</v>
      </c>
      <c r="F852" t="s">
        <v>37</v>
      </c>
      <c r="G852" t="s">
        <v>45</v>
      </c>
      <c r="H852" t="s">
        <v>67</v>
      </c>
      <c r="I852" t="s">
        <v>1734</v>
      </c>
      <c r="J852">
        <v>9</v>
      </c>
      <c r="K852" s="2">
        <v>3956.53</v>
      </c>
      <c r="L852">
        <v>10</v>
      </c>
      <c r="M852" s="2">
        <v>32047.89</v>
      </c>
      <c r="N852" s="2">
        <v>23624.13</v>
      </c>
      <c r="O852" s="2">
        <v>8423.76</v>
      </c>
      <c r="P852" t="s">
        <v>48</v>
      </c>
      <c r="Q852" t="s">
        <v>42</v>
      </c>
      <c r="R852" t="str">
        <f>TEXT(Table1[[#This Row],[Order Date]],"mmmm")</f>
        <v>June</v>
      </c>
      <c r="S852">
        <f>YEAR(Table1[[#This Row],[Order Date]])</f>
        <v>2026</v>
      </c>
    </row>
    <row r="853" spans="1:19" x14ac:dyDescent="0.3">
      <c r="A853" t="s">
        <v>1735</v>
      </c>
      <c r="B853" s="1">
        <v>45710</v>
      </c>
      <c r="C853" t="s">
        <v>35</v>
      </c>
      <c r="D853" t="s">
        <v>36</v>
      </c>
      <c r="E853" t="s">
        <v>66</v>
      </c>
      <c r="F853" t="s">
        <v>37</v>
      </c>
      <c r="G853" t="s">
        <v>45</v>
      </c>
      <c r="H853" t="s">
        <v>159</v>
      </c>
      <c r="I853" t="s">
        <v>1736</v>
      </c>
      <c r="J853">
        <v>11</v>
      </c>
      <c r="K853" s="2">
        <v>2939.92</v>
      </c>
      <c r="L853">
        <v>10</v>
      </c>
      <c r="M853" s="2">
        <v>29105.21</v>
      </c>
      <c r="N853" s="2">
        <v>18063.93</v>
      </c>
      <c r="O853" s="2">
        <v>11041.28</v>
      </c>
      <c r="P853" t="s">
        <v>27</v>
      </c>
      <c r="Q853" t="s">
        <v>28</v>
      </c>
      <c r="R853" t="str">
        <f>TEXT(Table1[[#This Row],[Order Date]],"mmmm")</f>
        <v>February</v>
      </c>
      <c r="S853">
        <f>YEAR(Table1[[#This Row],[Order Date]])</f>
        <v>2025</v>
      </c>
    </row>
    <row r="854" spans="1:19" x14ac:dyDescent="0.3">
      <c r="A854" t="s">
        <v>1737</v>
      </c>
      <c r="B854" s="1">
        <v>45736</v>
      </c>
      <c r="C854" t="s">
        <v>70</v>
      </c>
      <c r="D854" t="s">
        <v>71</v>
      </c>
      <c r="E854" t="s">
        <v>51</v>
      </c>
      <c r="F854" t="s">
        <v>37</v>
      </c>
      <c r="G854" t="s">
        <v>24</v>
      </c>
      <c r="H854" t="s">
        <v>56</v>
      </c>
      <c r="I854" t="s">
        <v>1738</v>
      </c>
      <c r="J854">
        <v>12</v>
      </c>
      <c r="K854" s="2">
        <v>588.48</v>
      </c>
      <c r="L854">
        <v>20</v>
      </c>
      <c r="M854" s="2">
        <v>5649.41</v>
      </c>
      <c r="N854" s="2">
        <v>3153.52</v>
      </c>
      <c r="O854" s="2">
        <v>2495.89</v>
      </c>
      <c r="P854" t="s">
        <v>41</v>
      </c>
      <c r="Q854" t="s">
        <v>61</v>
      </c>
      <c r="R854" t="str">
        <f>TEXT(Table1[[#This Row],[Order Date]],"mmmm")</f>
        <v>March</v>
      </c>
      <c r="S854">
        <f>YEAR(Table1[[#This Row],[Order Date]])</f>
        <v>2025</v>
      </c>
    </row>
    <row r="855" spans="1:19" x14ac:dyDescent="0.3">
      <c r="A855" t="s">
        <v>1739</v>
      </c>
      <c r="B855" s="1">
        <v>45776</v>
      </c>
      <c r="C855" t="s">
        <v>35</v>
      </c>
      <c r="D855" t="s">
        <v>36</v>
      </c>
      <c r="E855" t="s">
        <v>22</v>
      </c>
      <c r="F855" t="s">
        <v>31</v>
      </c>
      <c r="G855" t="s">
        <v>45</v>
      </c>
      <c r="H855" t="s">
        <v>52</v>
      </c>
      <c r="I855" t="s">
        <v>1740</v>
      </c>
      <c r="J855">
        <v>12</v>
      </c>
      <c r="K855" s="2">
        <v>3309.56</v>
      </c>
      <c r="L855">
        <v>0</v>
      </c>
      <c r="M855" s="2">
        <v>39714.720000000001</v>
      </c>
      <c r="N855" s="2">
        <v>23449.82</v>
      </c>
      <c r="O855" s="2">
        <v>16264.9</v>
      </c>
      <c r="P855" t="s">
        <v>27</v>
      </c>
      <c r="Q855" t="s">
        <v>42</v>
      </c>
      <c r="R855" t="str">
        <f>TEXT(Table1[[#This Row],[Order Date]],"mmmm")</f>
        <v>April</v>
      </c>
      <c r="S855">
        <f>YEAR(Table1[[#This Row],[Order Date]])</f>
        <v>2025</v>
      </c>
    </row>
    <row r="856" spans="1:19" x14ac:dyDescent="0.3">
      <c r="A856" t="s">
        <v>1741</v>
      </c>
      <c r="B856" s="1">
        <v>45741</v>
      </c>
      <c r="C856" t="s">
        <v>35</v>
      </c>
      <c r="D856" t="s">
        <v>36</v>
      </c>
      <c r="E856" t="s">
        <v>170</v>
      </c>
      <c r="F856" t="s">
        <v>37</v>
      </c>
      <c r="G856" t="s">
        <v>45</v>
      </c>
      <c r="H856" t="s">
        <v>67</v>
      </c>
      <c r="I856" t="s">
        <v>1742</v>
      </c>
      <c r="J856">
        <v>7</v>
      </c>
      <c r="K856" s="2">
        <v>4442.42</v>
      </c>
      <c r="L856">
        <v>10</v>
      </c>
      <c r="M856" s="2">
        <v>27987.25</v>
      </c>
      <c r="N856" s="2">
        <v>21015.93</v>
      </c>
      <c r="O856" s="2">
        <v>6971.32</v>
      </c>
      <c r="P856" t="s">
        <v>48</v>
      </c>
      <c r="Q856" t="s">
        <v>42</v>
      </c>
      <c r="R856" t="str">
        <f>TEXT(Table1[[#This Row],[Order Date]],"mmmm")</f>
        <v>March</v>
      </c>
      <c r="S856">
        <f>YEAR(Table1[[#This Row],[Order Date]])</f>
        <v>2025</v>
      </c>
    </row>
    <row r="857" spans="1:19" x14ac:dyDescent="0.3">
      <c r="A857" t="s">
        <v>1743</v>
      </c>
      <c r="B857" s="1">
        <v>46019</v>
      </c>
      <c r="C857" t="s">
        <v>35</v>
      </c>
      <c r="D857" t="s">
        <v>36</v>
      </c>
      <c r="E857" t="s">
        <v>113</v>
      </c>
      <c r="F857" t="s">
        <v>23</v>
      </c>
      <c r="G857" t="s">
        <v>38</v>
      </c>
      <c r="H857" t="s">
        <v>106</v>
      </c>
      <c r="I857" t="s">
        <v>1744</v>
      </c>
      <c r="J857">
        <v>8</v>
      </c>
      <c r="K857" s="2">
        <v>260.08999999999997</v>
      </c>
      <c r="L857">
        <v>15</v>
      </c>
      <c r="M857" s="2">
        <v>1768.61</v>
      </c>
      <c r="N857" s="2">
        <v>1100.07</v>
      </c>
      <c r="O857" s="2">
        <v>668.54</v>
      </c>
      <c r="P857" t="s">
        <v>27</v>
      </c>
      <c r="Q857" t="s">
        <v>61</v>
      </c>
      <c r="R857" t="str">
        <f>TEXT(Table1[[#This Row],[Order Date]],"mmmm")</f>
        <v>December</v>
      </c>
      <c r="S857">
        <f>YEAR(Table1[[#This Row],[Order Date]])</f>
        <v>2025</v>
      </c>
    </row>
    <row r="858" spans="1:19" x14ac:dyDescent="0.3">
      <c r="A858" t="s">
        <v>1745</v>
      </c>
      <c r="B858" s="1">
        <v>46021</v>
      </c>
      <c r="C858" t="s">
        <v>70</v>
      </c>
      <c r="D858" t="s">
        <v>75</v>
      </c>
      <c r="E858" t="s">
        <v>170</v>
      </c>
      <c r="F858" t="s">
        <v>37</v>
      </c>
      <c r="G858" t="s">
        <v>38</v>
      </c>
      <c r="H858" t="s">
        <v>39</v>
      </c>
      <c r="I858" t="s">
        <v>1746</v>
      </c>
      <c r="J858">
        <v>9</v>
      </c>
      <c r="K858" s="2">
        <v>4882.91</v>
      </c>
      <c r="L858">
        <v>0</v>
      </c>
      <c r="M858" s="2">
        <v>43946.19</v>
      </c>
      <c r="N858" s="2">
        <v>34100.53</v>
      </c>
      <c r="O858" s="2">
        <v>9845.66</v>
      </c>
      <c r="P858" t="s">
        <v>27</v>
      </c>
      <c r="Q858" t="s">
        <v>49</v>
      </c>
      <c r="R858" t="str">
        <f>TEXT(Table1[[#This Row],[Order Date]],"mmmm")</f>
        <v>December</v>
      </c>
      <c r="S858">
        <f>YEAR(Table1[[#This Row],[Order Date]])</f>
        <v>2025</v>
      </c>
    </row>
    <row r="859" spans="1:19" x14ac:dyDescent="0.3">
      <c r="A859" t="s">
        <v>1747</v>
      </c>
      <c r="B859" s="1">
        <v>45970</v>
      </c>
      <c r="C859" t="s">
        <v>70</v>
      </c>
      <c r="D859" t="s">
        <v>71</v>
      </c>
      <c r="E859" t="s">
        <v>51</v>
      </c>
      <c r="F859" t="s">
        <v>37</v>
      </c>
      <c r="G859" t="s">
        <v>38</v>
      </c>
      <c r="H859" t="s">
        <v>91</v>
      </c>
      <c r="I859" t="s">
        <v>1748</v>
      </c>
      <c r="J859">
        <v>4</v>
      </c>
      <c r="K859" s="2">
        <v>3286.78</v>
      </c>
      <c r="L859">
        <v>0</v>
      </c>
      <c r="M859" s="2">
        <v>13147.12</v>
      </c>
      <c r="N859" s="2">
        <v>10699.71</v>
      </c>
      <c r="O859" s="2">
        <v>2447.41</v>
      </c>
      <c r="P859" t="s">
        <v>27</v>
      </c>
      <c r="Q859" t="s">
        <v>49</v>
      </c>
      <c r="R859" t="str">
        <f>TEXT(Table1[[#This Row],[Order Date]],"mmmm")</f>
        <v>November</v>
      </c>
      <c r="S859">
        <f>YEAR(Table1[[#This Row],[Order Date]])</f>
        <v>2025</v>
      </c>
    </row>
    <row r="860" spans="1:19" x14ac:dyDescent="0.3">
      <c r="A860" t="s">
        <v>1749</v>
      </c>
      <c r="B860" s="1">
        <v>45785</v>
      </c>
      <c r="C860" t="s">
        <v>86</v>
      </c>
      <c r="D860" t="s">
        <v>87</v>
      </c>
      <c r="E860" t="s">
        <v>66</v>
      </c>
      <c r="F860" t="s">
        <v>31</v>
      </c>
      <c r="G860" t="s">
        <v>45</v>
      </c>
      <c r="H860" t="s">
        <v>159</v>
      </c>
      <c r="I860" t="s">
        <v>1750</v>
      </c>
      <c r="J860">
        <v>8</v>
      </c>
      <c r="K860" s="2">
        <v>2688.13</v>
      </c>
      <c r="L860">
        <v>15</v>
      </c>
      <c r="M860" s="2">
        <v>18279.28</v>
      </c>
      <c r="N860" s="2">
        <v>11255.94</v>
      </c>
      <c r="O860" s="2">
        <v>7023.34</v>
      </c>
      <c r="P860" t="s">
        <v>27</v>
      </c>
      <c r="Q860" t="s">
        <v>61</v>
      </c>
      <c r="R860" t="str">
        <f>TEXT(Table1[[#This Row],[Order Date]],"mmmm")</f>
        <v>May</v>
      </c>
      <c r="S860">
        <f>YEAR(Table1[[#This Row],[Order Date]])</f>
        <v>2025</v>
      </c>
    </row>
    <row r="861" spans="1:19" x14ac:dyDescent="0.3">
      <c r="A861" t="s">
        <v>1751</v>
      </c>
      <c r="B861" s="1">
        <v>46005</v>
      </c>
      <c r="C861" t="s">
        <v>86</v>
      </c>
      <c r="D861" t="s">
        <v>90</v>
      </c>
      <c r="E861" t="s">
        <v>120</v>
      </c>
      <c r="F861" t="s">
        <v>31</v>
      </c>
      <c r="G861" t="s">
        <v>24</v>
      </c>
      <c r="H861" t="s">
        <v>32</v>
      </c>
      <c r="I861" t="s">
        <v>1752</v>
      </c>
      <c r="J861">
        <v>4</v>
      </c>
      <c r="K861" s="2">
        <v>725.08</v>
      </c>
      <c r="L861">
        <v>15</v>
      </c>
      <c r="M861" s="2">
        <v>2465.27</v>
      </c>
      <c r="N861" s="2">
        <v>1466.1</v>
      </c>
      <c r="O861" s="2">
        <v>999.17</v>
      </c>
      <c r="P861" t="s">
        <v>41</v>
      </c>
      <c r="Q861" t="s">
        <v>42</v>
      </c>
      <c r="R861" t="str">
        <f>TEXT(Table1[[#This Row],[Order Date]],"mmmm")</f>
        <v>December</v>
      </c>
      <c r="S861">
        <f>YEAR(Table1[[#This Row],[Order Date]])</f>
        <v>2025</v>
      </c>
    </row>
    <row r="862" spans="1:19" x14ac:dyDescent="0.3">
      <c r="A862" t="s">
        <v>1753</v>
      </c>
      <c r="B862" s="1">
        <v>45778</v>
      </c>
      <c r="C862" t="s">
        <v>35</v>
      </c>
      <c r="D862" t="s">
        <v>36</v>
      </c>
      <c r="E862" t="s">
        <v>66</v>
      </c>
      <c r="F862" t="s">
        <v>37</v>
      </c>
      <c r="G862" t="s">
        <v>45</v>
      </c>
      <c r="H862" t="s">
        <v>67</v>
      </c>
      <c r="I862" t="s">
        <v>1754</v>
      </c>
      <c r="J862">
        <v>1</v>
      </c>
      <c r="K862" s="2">
        <v>2323.4499999999998</v>
      </c>
      <c r="L862">
        <v>5</v>
      </c>
      <c r="M862" s="2">
        <v>2207.2800000000002</v>
      </c>
      <c r="N862" s="2">
        <v>1239.52</v>
      </c>
      <c r="O862" s="2">
        <v>967.76</v>
      </c>
      <c r="P862" t="s">
        <v>48</v>
      </c>
      <c r="Q862" t="s">
        <v>28</v>
      </c>
      <c r="R862" t="str">
        <f>TEXT(Table1[[#This Row],[Order Date]],"mmmm")</f>
        <v>May</v>
      </c>
      <c r="S862">
        <f>YEAR(Table1[[#This Row],[Order Date]])</f>
        <v>2025</v>
      </c>
    </row>
    <row r="863" spans="1:19" x14ac:dyDescent="0.3">
      <c r="A863" t="s">
        <v>1755</v>
      </c>
      <c r="B863" s="1">
        <v>45861</v>
      </c>
      <c r="C863" t="s">
        <v>86</v>
      </c>
      <c r="D863" t="s">
        <v>90</v>
      </c>
      <c r="E863" t="s">
        <v>66</v>
      </c>
      <c r="F863" t="s">
        <v>37</v>
      </c>
      <c r="G863" t="s">
        <v>38</v>
      </c>
      <c r="H863" t="s">
        <v>72</v>
      </c>
      <c r="I863" t="s">
        <v>1756</v>
      </c>
      <c r="J863">
        <v>9</v>
      </c>
      <c r="K863" s="2">
        <v>3391.65</v>
      </c>
      <c r="L863">
        <v>10</v>
      </c>
      <c r="M863" s="2">
        <v>27472.37</v>
      </c>
      <c r="N863" s="2">
        <v>22525.200000000001</v>
      </c>
      <c r="O863" s="2">
        <v>4947.17</v>
      </c>
      <c r="P863" t="s">
        <v>41</v>
      </c>
      <c r="Q863" t="s">
        <v>42</v>
      </c>
      <c r="R863" t="str">
        <f>TEXT(Table1[[#This Row],[Order Date]],"mmmm")</f>
        <v>July</v>
      </c>
      <c r="S863">
        <f>YEAR(Table1[[#This Row],[Order Date]])</f>
        <v>2025</v>
      </c>
    </row>
    <row r="864" spans="1:19" x14ac:dyDescent="0.3">
      <c r="A864" t="s">
        <v>1757</v>
      </c>
      <c r="B864" s="1">
        <v>45718</v>
      </c>
      <c r="C864" t="s">
        <v>20</v>
      </c>
      <c r="D864" t="s">
        <v>21</v>
      </c>
      <c r="E864" t="s">
        <v>30</v>
      </c>
      <c r="F864" t="s">
        <v>37</v>
      </c>
      <c r="G864" t="s">
        <v>45</v>
      </c>
      <c r="H864" t="s">
        <v>52</v>
      </c>
      <c r="I864" t="s">
        <v>1758</v>
      </c>
      <c r="J864">
        <v>12</v>
      </c>
      <c r="K864" s="2">
        <v>1317.04</v>
      </c>
      <c r="L864">
        <v>15</v>
      </c>
      <c r="M864" s="2">
        <v>13433.81</v>
      </c>
      <c r="N864" s="2">
        <v>9749.26</v>
      </c>
      <c r="O864" s="2">
        <v>3684.55</v>
      </c>
      <c r="P864" t="s">
        <v>48</v>
      </c>
      <c r="Q864" t="s">
        <v>49</v>
      </c>
      <c r="R864" t="str">
        <f>TEXT(Table1[[#This Row],[Order Date]],"mmmm")</f>
        <v>March</v>
      </c>
      <c r="S864">
        <f>YEAR(Table1[[#This Row],[Order Date]])</f>
        <v>2025</v>
      </c>
    </row>
    <row r="865" spans="1:19" x14ac:dyDescent="0.3">
      <c r="A865" t="s">
        <v>1759</v>
      </c>
      <c r="B865" s="1">
        <v>45675</v>
      </c>
      <c r="C865" t="s">
        <v>86</v>
      </c>
      <c r="D865" t="s">
        <v>90</v>
      </c>
      <c r="E865" t="s">
        <v>44</v>
      </c>
      <c r="F865" t="s">
        <v>31</v>
      </c>
      <c r="G865" t="s">
        <v>45</v>
      </c>
      <c r="H865" t="s">
        <v>46</v>
      </c>
      <c r="I865" t="s">
        <v>1760</v>
      </c>
      <c r="J865">
        <v>4</v>
      </c>
      <c r="K865" s="2">
        <v>2552.92</v>
      </c>
      <c r="L865">
        <v>20</v>
      </c>
      <c r="M865" s="2">
        <v>8169.34</v>
      </c>
      <c r="N865" s="2">
        <v>5510.51</v>
      </c>
      <c r="O865" s="2">
        <v>2658.83</v>
      </c>
      <c r="P865" t="s">
        <v>41</v>
      </c>
      <c r="Q865" t="s">
        <v>61</v>
      </c>
      <c r="R865" t="str">
        <f>TEXT(Table1[[#This Row],[Order Date]],"mmmm")</f>
        <v>January</v>
      </c>
      <c r="S865">
        <f>YEAR(Table1[[#This Row],[Order Date]])</f>
        <v>2025</v>
      </c>
    </row>
    <row r="866" spans="1:19" x14ac:dyDescent="0.3">
      <c r="A866" t="s">
        <v>1761</v>
      </c>
      <c r="B866" s="1">
        <v>45852</v>
      </c>
      <c r="C866" t="s">
        <v>70</v>
      </c>
      <c r="D866" t="s">
        <v>71</v>
      </c>
      <c r="E866" t="s">
        <v>22</v>
      </c>
      <c r="F866" t="s">
        <v>37</v>
      </c>
      <c r="G866" t="s">
        <v>38</v>
      </c>
      <c r="H866" t="s">
        <v>72</v>
      </c>
      <c r="I866" t="s">
        <v>1762</v>
      </c>
      <c r="J866">
        <v>15</v>
      </c>
      <c r="K866" s="2">
        <v>1721.11</v>
      </c>
      <c r="L866">
        <v>10</v>
      </c>
      <c r="M866" s="2">
        <v>23234.98</v>
      </c>
      <c r="N866" s="2">
        <v>16760.939999999999</v>
      </c>
      <c r="O866" s="2">
        <v>6474.04</v>
      </c>
      <c r="P866" t="s">
        <v>41</v>
      </c>
      <c r="Q866" t="s">
        <v>61</v>
      </c>
      <c r="R866" t="str">
        <f>TEXT(Table1[[#This Row],[Order Date]],"mmmm")</f>
        <v>July</v>
      </c>
      <c r="S866">
        <f>YEAR(Table1[[#This Row],[Order Date]])</f>
        <v>2025</v>
      </c>
    </row>
    <row r="867" spans="1:19" x14ac:dyDescent="0.3">
      <c r="A867" t="s">
        <v>1763</v>
      </c>
      <c r="B867" s="1">
        <v>45933</v>
      </c>
      <c r="C867" t="s">
        <v>86</v>
      </c>
      <c r="D867" t="s">
        <v>90</v>
      </c>
      <c r="E867" t="s">
        <v>170</v>
      </c>
      <c r="F867" t="s">
        <v>23</v>
      </c>
      <c r="G867" t="s">
        <v>45</v>
      </c>
      <c r="H867" t="s">
        <v>123</v>
      </c>
      <c r="I867" t="s">
        <v>1764</v>
      </c>
      <c r="J867">
        <v>5</v>
      </c>
      <c r="K867" s="2">
        <v>3979.88</v>
      </c>
      <c r="L867">
        <v>5</v>
      </c>
      <c r="M867" s="2">
        <v>18904.43</v>
      </c>
      <c r="N867" s="2">
        <v>11340.21</v>
      </c>
      <c r="O867" s="2">
        <v>7564.22</v>
      </c>
      <c r="P867" t="s">
        <v>48</v>
      </c>
      <c r="Q867" t="s">
        <v>49</v>
      </c>
      <c r="R867" t="str">
        <f>TEXT(Table1[[#This Row],[Order Date]],"mmmm")</f>
        <v>October</v>
      </c>
      <c r="S867">
        <f>YEAR(Table1[[#This Row],[Order Date]])</f>
        <v>2025</v>
      </c>
    </row>
    <row r="868" spans="1:19" x14ac:dyDescent="0.3">
      <c r="A868" t="s">
        <v>1765</v>
      </c>
      <c r="B868" s="1">
        <v>45778</v>
      </c>
      <c r="C868" t="s">
        <v>86</v>
      </c>
      <c r="D868" t="s">
        <v>90</v>
      </c>
      <c r="E868" t="s">
        <v>22</v>
      </c>
      <c r="F868" t="s">
        <v>23</v>
      </c>
      <c r="G868" t="s">
        <v>45</v>
      </c>
      <c r="H868" t="s">
        <v>46</v>
      </c>
      <c r="I868" t="s">
        <v>1766</v>
      </c>
      <c r="J868">
        <v>9</v>
      </c>
      <c r="K868" s="2">
        <v>2585.0300000000002</v>
      </c>
      <c r="L868">
        <v>15</v>
      </c>
      <c r="M868" s="2">
        <v>19775.48</v>
      </c>
      <c r="N868" s="2">
        <v>15366.1</v>
      </c>
      <c r="O868" s="2">
        <v>4409.38</v>
      </c>
      <c r="P868" t="s">
        <v>27</v>
      </c>
      <c r="Q868" t="s">
        <v>49</v>
      </c>
      <c r="R868" t="str">
        <f>TEXT(Table1[[#This Row],[Order Date]],"mmmm")</f>
        <v>May</v>
      </c>
      <c r="S868">
        <f>YEAR(Table1[[#This Row],[Order Date]])</f>
        <v>2025</v>
      </c>
    </row>
    <row r="869" spans="1:19" x14ac:dyDescent="0.3">
      <c r="A869" t="s">
        <v>1767</v>
      </c>
      <c r="B869" s="1">
        <v>46144</v>
      </c>
      <c r="C869" t="s">
        <v>20</v>
      </c>
      <c r="D869" t="s">
        <v>21</v>
      </c>
      <c r="E869" t="s">
        <v>170</v>
      </c>
      <c r="F869" t="s">
        <v>23</v>
      </c>
      <c r="G869" t="s">
        <v>45</v>
      </c>
      <c r="H869" t="s">
        <v>123</v>
      </c>
      <c r="I869" t="s">
        <v>371</v>
      </c>
      <c r="J869">
        <v>6</v>
      </c>
      <c r="K869" s="2">
        <v>3107.23</v>
      </c>
      <c r="L869">
        <v>5</v>
      </c>
      <c r="M869" s="2">
        <v>17711.21</v>
      </c>
      <c r="N869" s="2">
        <v>13613.49</v>
      </c>
      <c r="O869" s="2">
        <v>4097.72</v>
      </c>
      <c r="P869" t="s">
        <v>27</v>
      </c>
      <c r="Q869" t="s">
        <v>28</v>
      </c>
      <c r="R869" t="str">
        <f>TEXT(Table1[[#This Row],[Order Date]],"mmmm")</f>
        <v>May</v>
      </c>
      <c r="S869">
        <f>YEAR(Table1[[#This Row],[Order Date]])</f>
        <v>2026</v>
      </c>
    </row>
    <row r="870" spans="1:19" x14ac:dyDescent="0.3">
      <c r="A870" t="s">
        <v>1768</v>
      </c>
      <c r="B870" s="1">
        <v>45989</v>
      </c>
      <c r="C870" t="s">
        <v>86</v>
      </c>
      <c r="D870" t="s">
        <v>90</v>
      </c>
      <c r="E870" t="s">
        <v>30</v>
      </c>
      <c r="F870" t="s">
        <v>23</v>
      </c>
      <c r="G870" t="s">
        <v>24</v>
      </c>
      <c r="H870" t="s">
        <v>171</v>
      </c>
      <c r="I870" t="s">
        <v>1769</v>
      </c>
      <c r="J870">
        <v>1</v>
      </c>
      <c r="K870" s="2">
        <v>1040.3699999999999</v>
      </c>
      <c r="L870">
        <v>0</v>
      </c>
      <c r="M870" s="2">
        <v>1040.3699999999999</v>
      </c>
      <c r="N870" s="2">
        <v>729.68</v>
      </c>
      <c r="O870" s="2">
        <v>310.69</v>
      </c>
      <c r="P870" t="s">
        <v>27</v>
      </c>
      <c r="Q870" t="s">
        <v>28</v>
      </c>
      <c r="R870" t="str">
        <f>TEXT(Table1[[#This Row],[Order Date]],"mmmm")</f>
        <v>November</v>
      </c>
      <c r="S870">
        <f>YEAR(Table1[[#This Row],[Order Date]])</f>
        <v>2025</v>
      </c>
    </row>
    <row r="871" spans="1:19" x14ac:dyDescent="0.3">
      <c r="A871" t="s">
        <v>1770</v>
      </c>
      <c r="B871" s="1">
        <v>45847</v>
      </c>
      <c r="C871" t="s">
        <v>86</v>
      </c>
      <c r="D871" t="s">
        <v>90</v>
      </c>
      <c r="E871" t="s">
        <v>113</v>
      </c>
      <c r="F871" t="s">
        <v>23</v>
      </c>
      <c r="G871" t="s">
        <v>38</v>
      </c>
      <c r="H871" t="s">
        <v>72</v>
      </c>
      <c r="I871" t="s">
        <v>1771</v>
      </c>
      <c r="J871">
        <v>7</v>
      </c>
      <c r="K871" s="2">
        <v>868.05</v>
      </c>
      <c r="L871">
        <v>10</v>
      </c>
      <c r="M871" s="2">
        <v>5468.71</v>
      </c>
      <c r="N871" s="2">
        <v>3092.18</v>
      </c>
      <c r="O871" s="2">
        <v>2376.5300000000002</v>
      </c>
      <c r="P871" t="s">
        <v>48</v>
      </c>
      <c r="Q871" t="s">
        <v>28</v>
      </c>
      <c r="R871" t="str">
        <f>TEXT(Table1[[#This Row],[Order Date]],"mmmm")</f>
        <v>July</v>
      </c>
      <c r="S871">
        <f>YEAR(Table1[[#This Row],[Order Date]])</f>
        <v>2025</v>
      </c>
    </row>
    <row r="872" spans="1:19" x14ac:dyDescent="0.3">
      <c r="A872" t="s">
        <v>1772</v>
      </c>
      <c r="B872" s="1">
        <v>46079</v>
      </c>
      <c r="C872" t="s">
        <v>35</v>
      </c>
      <c r="D872" t="s">
        <v>36</v>
      </c>
      <c r="E872" t="s">
        <v>170</v>
      </c>
      <c r="F872" t="s">
        <v>23</v>
      </c>
      <c r="G872" t="s">
        <v>24</v>
      </c>
      <c r="H872" t="s">
        <v>56</v>
      </c>
      <c r="I872" t="s">
        <v>1773</v>
      </c>
      <c r="J872">
        <v>13</v>
      </c>
      <c r="K872" s="2">
        <v>4391.58</v>
      </c>
      <c r="L872">
        <v>5</v>
      </c>
      <c r="M872" s="2">
        <v>54236.01</v>
      </c>
      <c r="N872" s="2">
        <v>35121.39</v>
      </c>
      <c r="O872" s="2">
        <v>19114.62</v>
      </c>
      <c r="P872" t="s">
        <v>27</v>
      </c>
      <c r="Q872" t="s">
        <v>28</v>
      </c>
      <c r="R872" t="str">
        <f>TEXT(Table1[[#This Row],[Order Date]],"mmmm")</f>
        <v>February</v>
      </c>
      <c r="S872">
        <f>YEAR(Table1[[#This Row],[Order Date]])</f>
        <v>2026</v>
      </c>
    </row>
    <row r="873" spans="1:19" x14ac:dyDescent="0.3">
      <c r="A873" t="s">
        <v>1774</v>
      </c>
      <c r="B873" s="1">
        <v>45740</v>
      </c>
      <c r="C873" t="s">
        <v>70</v>
      </c>
      <c r="D873" t="s">
        <v>71</v>
      </c>
      <c r="E873" t="s">
        <v>51</v>
      </c>
      <c r="F873" t="s">
        <v>23</v>
      </c>
      <c r="G873" t="s">
        <v>45</v>
      </c>
      <c r="H873" t="s">
        <v>159</v>
      </c>
      <c r="I873" t="s">
        <v>1775</v>
      </c>
      <c r="J873">
        <v>6</v>
      </c>
      <c r="K873" s="2">
        <v>4464.59</v>
      </c>
      <c r="L873">
        <v>10</v>
      </c>
      <c r="M873" s="2">
        <v>24108.79</v>
      </c>
      <c r="N873" s="2">
        <v>16349.04</v>
      </c>
      <c r="O873" s="2">
        <v>7759.75</v>
      </c>
      <c r="P873" t="s">
        <v>41</v>
      </c>
      <c r="Q873" t="s">
        <v>61</v>
      </c>
      <c r="R873" t="str">
        <f>TEXT(Table1[[#This Row],[Order Date]],"mmmm")</f>
        <v>March</v>
      </c>
      <c r="S873">
        <f>YEAR(Table1[[#This Row],[Order Date]])</f>
        <v>2025</v>
      </c>
    </row>
    <row r="874" spans="1:19" x14ac:dyDescent="0.3">
      <c r="A874" t="s">
        <v>1776</v>
      </c>
      <c r="B874" s="1">
        <v>45957</v>
      </c>
      <c r="C874" t="s">
        <v>70</v>
      </c>
      <c r="D874" t="s">
        <v>71</v>
      </c>
      <c r="E874" t="s">
        <v>22</v>
      </c>
      <c r="F874" t="s">
        <v>37</v>
      </c>
      <c r="G874" t="s">
        <v>24</v>
      </c>
      <c r="H874" t="s">
        <v>25</v>
      </c>
      <c r="I874" t="s">
        <v>1777</v>
      </c>
      <c r="J874">
        <v>2</v>
      </c>
      <c r="K874" s="2">
        <v>757.31</v>
      </c>
      <c r="L874">
        <v>5</v>
      </c>
      <c r="M874" s="2">
        <v>1438.89</v>
      </c>
      <c r="N874" s="2">
        <v>1083.3399999999999</v>
      </c>
      <c r="O874" s="2">
        <v>355.55</v>
      </c>
      <c r="P874" t="s">
        <v>27</v>
      </c>
      <c r="Q874" t="s">
        <v>61</v>
      </c>
      <c r="R874" t="str">
        <f>TEXT(Table1[[#This Row],[Order Date]],"mmmm")</f>
        <v>October</v>
      </c>
      <c r="S874">
        <f>YEAR(Table1[[#This Row],[Order Date]])</f>
        <v>2025</v>
      </c>
    </row>
    <row r="875" spans="1:19" x14ac:dyDescent="0.3">
      <c r="A875" t="s">
        <v>1778</v>
      </c>
      <c r="B875" s="1">
        <v>45970</v>
      </c>
      <c r="C875" t="s">
        <v>70</v>
      </c>
      <c r="D875" t="s">
        <v>75</v>
      </c>
      <c r="E875" t="s">
        <v>113</v>
      </c>
      <c r="F875" t="s">
        <v>37</v>
      </c>
      <c r="G875" t="s">
        <v>24</v>
      </c>
      <c r="H875" t="s">
        <v>25</v>
      </c>
      <c r="I875" t="s">
        <v>1779</v>
      </c>
      <c r="J875">
        <v>10</v>
      </c>
      <c r="K875" s="2">
        <v>2806.68</v>
      </c>
      <c r="L875">
        <v>5</v>
      </c>
      <c r="M875" s="2">
        <v>26663.46</v>
      </c>
      <c r="N875" s="2">
        <v>21161.66</v>
      </c>
      <c r="O875" s="2">
        <v>5501.8</v>
      </c>
      <c r="P875" t="s">
        <v>41</v>
      </c>
      <c r="Q875" t="s">
        <v>49</v>
      </c>
      <c r="R875" t="str">
        <f>TEXT(Table1[[#This Row],[Order Date]],"mmmm")</f>
        <v>November</v>
      </c>
      <c r="S875">
        <f>YEAR(Table1[[#This Row],[Order Date]])</f>
        <v>2025</v>
      </c>
    </row>
    <row r="876" spans="1:19" x14ac:dyDescent="0.3">
      <c r="A876" t="s">
        <v>1780</v>
      </c>
      <c r="B876" s="1">
        <v>45694</v>
      </c>
      <c r="C876" t="s">
        <v>35</v>
      </c>
      <c r="D876" t="s">
        <v>59</v>
      </c>
      <c r="E876" t="s">
        <v>170</v>
      </c>
      <c r="F876" t="s">
        <v>31</v>
      </c>
      <c r="G876" t="s">
        <v>38</v>
      </c>
      <c r="H876" t="s">
        <v>39</v>
      </c>
      <c r="I876" t="s">
        <v>1781</v>
      </c>
      <c r="J876">
        <v>8</v>
      </c>
      <c r="K876" s="2">
        <v>3642.33</v>
      </c>
      <c r="L876">
        <v>15</v>
      </c>
      <c r="M876" s="2">
        <v>24767.84</v>
      </c>
      <c r="N876" s="2">
        <v>13640.9</v>
      </c>
      <c r="O876" s="2">
        <v>11126.94</v>
      </c>
      <c r="P876" t="s">
        <v>48</v>
      </c>
      <c r="Q876" t="s">
        <v>61</v>
      </c>
      <c r="R876" t="str">
        <f>TEXT(Table1[[#This Row],[Order Date]],"mmmm")</f>
        <v>February</v>
      </c>
      <c r="S876">
        <f>YEAR(Table1[[#This Row],[Order Date]])</f>
        <v>2025</v>
      </c>
    </row>
    <row r="877" spans="1:19" x14ac:dyDescent="0.3">
      <c r="A877" t="s">
        <v>1782</v>
      </c>
      <c r="B877" s="1">
        <v>45859</v>
      </c>
      <c r="C877" t="s">
        <v>86</v>
      </c>
      <c r="D877" t="s">
        <v>87</v>
      </c>
      <c r="E877" t="s">
        <v>30</v>
      </c>
      <c r="F877" t="s">
        <v>37</v>
      </c>
      <c r="G877" t="s">
        <v>24</v>
      </c>
      <c r="H877" t="s">
        <v>32</v>
      </c>
      <c r="I877" t="s">
        <v>1783</v>
      </c>
      <c r="J877">
        <v>15</v>
      </c>
      <c r="K877" s="2">
        <v>2235.4499999999998</v>
      </c>
      <c r="L877">
        <v>20</v>
      </c>
      <c r="M877" s="2">
        <v>26825.4</v>
      </c>
      <c r="N877" s="2">
        <v>18973.939999999999</v>
      </c>
      <c r="O877" s="2">
        <v>7851.46</v>
      </c>
      <c r="P877" t="s">
        <v>41</v>
      </c>
      <c r="Q877" t="s">
        <v>42</v>
      </c>
      <c r="R877" t="str">
        <f>TEXT(Table1[[#This Row],[Order Date]],"mmmm")</f>
        <v>July</v>
      </c>
      <c r="S877">
        <f>YEAR(Table1[[#This Row],[Order Date]])</f>
        <v>2025</v>
      </c>
    </row>
    <row r="878" spans="1:19" x14ac:dyDescent="0.3">
      <c r="A878" t="s">
        <v>1784</v>
      </c>
      <c r="B878" s="1">
        <v>45877</v>
      </c>
      <c r="C878" t="s">
        <v>86</v>
      </c>
      <c r="D878" t="s">
        <v>90</v>
      </c>
      <c r="E878" t="s">
        <v>170</v>
      </c>
      <c r="F878" t="s">
        <v>37</v>
      </c>
      <c r="G878" t="s">
        <v>45</v>
      </c>
      <c r="H878" t="s">
        <v>46</v>
      </c>
      <c r="I878" t="s">
        <v>1785</v>
      </c>
      <c r="J878">
        <v>9</v>
      </c>
      <c r="K878" s="2">
        <v>368.61</v>
      </c>
      <c r="L878">
        <v>15</v>
      </c>
      <c r="M878" s="2">
        <v>2819.87</v>
      </c>
      <c r="N878" s="2">
        <v>1964.51</v>
      </c>
      <c r="O878" s="2">
        <v>855.36</v>
      </c>
      <c r="P878" t="s">
        <v>27</v>
      </c>
      <c r="Q878" t="s">
        <v>28</v>
      </c>
      <c r="R878" t="str">
        <f>TEXT(Table1[[#This Row],[Order Date]],"mmmm")</f>
        <v>August</v>
      </c>
      <c r="S878">
        <f>YEAR(Table1[[#This Row],[Order Date]])</f>
        <v>2025</v>
      </c>
    </row>
    <row r="879" spans="1:19" x14ac:dyDescent="0.3">
      <c r="A879" t="s">
        <v>1786</v>
      </c>
      <c r="B879" s="1">
        <v>45795</v>
      </c>
      <c r="C879" t="s">
        <v>70</v>
      </c>
      <c r="D879" t="s">
        <v>71</v>
      </c>
      <c r="E879" t="s">
        <v>170</v>
      </c>
      <c r="F879" t="s">
        <v>23</v>
      </c>
      <c r="G879" t="s">
        <v>45</v>
      </c>
      <c r="H879" t="s">
        <v>123</v>
      </c>
      <c r="I879" t="s">
        <v>1787</v>
      </c>
      <c r="J879">
        <v>2</v>
      </c>
      <c r="K879" s="2">
        <v>1023.68</v>
      </c>
      <c r="L879">
        <v>0</v>
      </c>
      <c r="M879" s="2">
        <v>2047.36</v>
      </c>
      <c r="N879" s="2">
        <v>1204.04</v>
      </c>
      <c r="O879" s="2">
        <v>843.32</v>
      </c>
      <c r="P879" t="s">
        <v>41</v>
      </c>
      <c r="Q879" t="s">
        <v>42</v>
      </c>
      <c r="R879" t="str">
        <f>TEXT(Table1[[#This Row],[Order Date]],"mmmm")</f>
        <v>May</v>
      </c>
      <c r="S879">
        <f>YEAR(Table1[[#This Row],[Order Date]])</f>
        <v>2025</v>
      </c>
    </row>
    <row r="880" spans="1:19" x14ac:dyDescent="0.3">
      <c r="A880" t="s">
        <v>1788</v>
      </c>
      <c r="B880" s="1">
        <v>45861</v>
      </c>
      <c r="C880" t="s">
        <v>70</v>
      </c>
      <c r="D880" t="s">
        <v>75</v>
      </c>
      <c r="E880" t="s">
        <v>113</v>
      </c>
      <c r="F880" t="s">
        <v>23</v>
      </c>
      <c r="G880" t="s">
        <v>24</v>
      </c>
      <c r="H880" t="s">
        <v>134</v>
      </c>
      <c r="I880" t="s">
        <v>417</v>
      </c>
      <c r="J880">
        <v>14</v>
      </c>
      <c r="K880" s="2">
        <v>3690.87</v>
      </c>
      <c r="L880">
        <v>15</v>
      </c>
      <c r="M880" s="2">
        <v>43921.35</v>
      </c>
      <c r="N880" s="2">
        <v>29602.15</v>
      </c>
      <c r="O880" s="2">
        <v>14319.2</v>
      </c>
      <c r="P880" t="s">
        <v>48</v>
      </c>
      <c r="Q880" t="s">
        <v>49</v>
      </c>
      <c r="R880" t="str">
        <f>TEXT(Table1[[#This Row],[Order Date]],"mmmm")</f>
        <v>July</v>
      </c>
      <c r="S880">
        <f>YEAR(Table1[[#This Row],[Order Date]])</f>
        <v>2025</v>
      </c>
    </row>
    <row r="881" spans="1:19" x14ac:dyDescent="0.3">
      <c r="A881" t="s">
        <v>1789</v>
      </c>
      <c r="B881" s="1">
        <v>46038</v>
      </c>
      <c r="C881" t="s">
        <v>70</v>
      </c>
      <c r="D881" t="s">
        <v>71</v>
      </c>
      <c r="E881" t="s">
        <v>66</v>
      </c>
      <c r="F881" t="s">
        <v>37</v>
      </c>
      <c r="G881" t="s">
        <v>45</v>
      </c>
      <c r="H881" t="s">
        <v>123</v>
      </c>
      <c r="I881" t="s">
        <v>1790</v>
      </c>
      <c r="J881">
        <v>14</v>
      </c>
      <c r="K881" s="2">
        <v>793.21</v>
      </c>
      <c r="L881">
        <v>0</v>
      </c>
      <c r="M881" s="2">
        <v>11104.94</v>
      </c>
      <c r="N881" s="2">
        <v>6345.26</v>
      </c>
      <c r="O881" s="2">
        <v>4759.68</v>
      </c>
      <c r="P881" t="s">
        <v>48</v>
      </c>
      <c r="Q881" t="s">
        <v>61</v>
      </c>
      <c r="R881" t="str">
        <f>TEXT(Table1[[#This Row],[Order Date]],"mmmm")</f>
        <v>January</v>
      </c>
      <c r="S881">
        <f>YEAR(Table1[[#This Row],[Order Date]])</f>
        <v>2026</v>
      </c>
    </row>
    <row r="882" spans="1:19" x14ac:dyDescent="0.3">
      <c r="A882" t="s">
        <v>1791</v>
      </c>
      <c r="B882" s="1">
        <v>45973</v>
      </c>
      <c r="C882" t="s">
        <v>70</v>
      </c>
      <c r="D882" t="s">
        <v>75</v>
      </c>
      <c r="E882" t="s">
        <v>44</v>
      </c>
      <c r="F882" t="s">
        <v>23</v>
      </c>
      <c r="G882" t="s">
        <v>24</v>
      </c>
      <c r="H882" t="s">
        <v>25</v>
      </c>
      <c r="I882" t="s">
        <v>1792</v>
      </c>
      <c r="J882">
        <v>15</v>
      </c>
      <c r="K882" s="2">
        <v>3660.46</v>
      </c>
      <c r="L882">
        <v>0</v>
      </c>
      <c r="M882" s="2">
        <v>54906.9</v>
      </c>
      <c r="N882" s="2">
        <v>36877.31</v>
      </c>
      <c r="O882" s="2">
        <v>18029.59</v>
      </c>
      <c r="P882" t="s">
        <v>48</v>
      </c>
      <c r="Q882" t="s">
        <v>28</v>
      </c>
      <c r="R882" t="str">
        <f>TEXT(Table1[[#This Row],[Order Date]],"mmmm")</f>
        <v>November</v>
      </c>
      <c r="S882">
        <f>YEAR(Table1[[#This Row],[Order Date]])</f>
        <v>2025</v>
      </c>
    </row>
    <row r="883" spans="1:19" x14ac:dyDescent="0.3">
      <c r="A883" t="s">
        <v>1793</v>
      </c>
      <c r="B883" s="1">
        <v>45741</v>
      </c>
      <c r="C883" t="s">
        <v>35</v>
      </c>
      <c r="D883" t="s">
        <v>59</v>
      </c>
      <c r="E883" t="s">
        <v>22</v>
      </c>
      <c r="F883" t="s">
        <v>23</v>
      </c>
      <c r="G883" t="s">
        <v>38</v>
      </c>
      <c r="H883" t="s">
        <v>63</v>
      </c>
      <c r="I883" t="s">
        <v>1794</v>
      </c>
      <c r="J883">
        <v>5</v>
      </c>
      <c r="K883" s="2">
        <v>3542.73</v>
      </c>
      <c r="L883">
        <v>10</v>
      </c>
      <c r="M883" s="2">
        <v>15942.29</v>
      </c>
      <c r="N883" s="2">
        <v>9049.51</v>
      </c>
      <c r="O883" s="2">
        <v>6892.78</v>
      </c>
      <c r="P883" t="s">
        <v>48</v>
      </c>
      <c r="Q883" t="s">
        <v>61</v>
      </c>
      <c r="R883" t="str">
        <f>TEXT(Table1[[#This Row],[Order Date]],"mmmm")</f>
        <v>March</v>
      </c>
      <c r="S883">
        <f>YEAR(Table1[[#This Row],[Order Date]])</f>
        <v>2025</v>
      </c>
    </row>
    <row r="884" spans="1:19" x14ac:dyDescent="0.3">
      <c r="A884" t="s">
        <v>1795</v>
      </c>
      <c r="B884" s="1">
        <v>45885</v>
      </c>
      <c r="C884" t="s">
        <v>20</v>
      </c>
      <c r="D884" t="s">
        <v>55</v>
      </c>
      <c r="E884" t="s">
        <v>51</v>
      </c>
      <c r="F884" t="s">
        <v>37</v>
      </c>
      <c r="G884" t="s">
        <v>45</v>
      </c>
      <c r="H884" t="s">
        <v>67</v>
      </c>
      <c r="I884" t="s">
        <v>1796</v>
      </c>
      <c r="J884">
        <v>8</v>
      </c>
      <c r="K884" s="2">
        <v>3033.64</v>
      </c>
      <c r="L884">
        <v>20</v>
      </c>
      <c r="M884" s="2">
        <v>19415.3</v>
      </c>
      <c r="N884" s="2">
        <v>13986.69</v>
      </c>
      <c r="O884" s="2">
        <v>5428.61</v>
      </c>
      <c r="P884" t="s">
        <v>41</v>
      </c>
      <c r="Q884" t="s">
        <v>28</v>
      </c>
      <c r="R884" t="str">
        <f>TEXT(Table1[[#This Row],[Order Date]],"mmmm")</f>
        <v>August</v>
      </c>
      <c r="S884">
        <f>YEAR(Table1[[#This Row],[Order Date]])</f>
        <v>2025</v>
      </c>
    </row>
    <row r="885" spans="1:19" x14ac:dyDescent="0.3">
      <c r="A885" t="s">
        <v>1797</v>
      </c>
      <c r="B885" s="1">
        <v>46125</v>
      </c>
      <c r="C885" t="s">
        <v>35</v>
      </c>
      <c r="D885" t="s">
        <v>59</v>
      </c>
      <c r="E885" t="s">
        <v>44</v>
      </c>
      <c r="F885" t="s">
        <v>31</v>
      </c>
      <c r="G885" t="s">
        <v>45</v>
      </c>
      <c r="H885" t="s">
        <v>46</v>
      </c>
      <c r="I885" t="s">
        <v>1798</v>
      </c>
      <c r="J885">
        <v>7</v>
      </c>
      <c r="K885" s="2">
        <v>2665.79</v>
      </c>
      <c r="L885">
        <v>5</v>
      </c>
      <c r="M885" s="2">
        <v>17727.5</v>
      </c>
      <c r="N885" s="2">
        <v>11187.44</v>
      </c>
      <c r="O885" s="2">
        <v>6540.06</v>
      </c>
      <c r="P885" t="s">
        <v>41</v>
      </c>
      <c r="Q885" t="s">
        <v>49</v>
      </c>
      <c r="R885" t="str">
        <f>TEXT(Table1[[#This Row],[Order Date]],"mmmm")</f>
        <v>April</v>
      </c>
      <c r="S885">
        <f>YEAR(Table1[[#This Row],[Order Date]])</f>
        <v>2026</v>
      </c>
    </row>
    <row r="886" spans="1:19" x14ac:dyDescent="0.3">
      <c r="A886" t="s">
        <v>1799</v>
      </c>
      <c r="B886" s="1">
        <v>45764</v>
      </c>
      <c r="C886" t="s">
        <v>70</v>
      </c>
      <c r="D886" t="s">
        <v>75</v>
      </c>
      <c r="E886" t="s">
        <v>44</v>
      </c>
      <c r="F886" t="s">
        <v>23</v>
      </c>
      <c r="G886" t="s">
        <v>38</v>
      </c>
      <c r="H886" t="s">
        <v>72</v>
      </c>
      <c r="I886" t="s">
        <v>1800</v>
      </c>
      <c r="J886">
        <v>12</v>
      </c>
      <c r="K886" s="2">
        <v>593.89</v>
      </c>
      <c r="L886">
        <v>5</v>
      </c>
      <c r="M886" s="2">
        <v>6770.35</v>
      </c>
      <c r="N886" s="2">
        <v>4824.66</v>
      </c>
      <c r="O886" s="2">
        <v>1945.69</v>
      </c>
      <c r="P886" t="s">
        <v>27</v>
      </c>
      <c r="Q886" t="s">
        <v>61</v>
      </c>
      <c r="R886" t="str">
        <f>TEXT(Table1[[#This Row],[Order Date]],"mmmm")</f>
        <v>April</v>
      </c>
      <c r="S886">
        <f>YEAR(Table1[[#This Row],[Order Date]])</f>
        <v>2025</v>
      </c>
    </row>
    <row r="887" spans="1:19" x14ac:dyDescent="0.3">
      <c r="A887" t="s">
        <v>1801</v>
      </c>
      <c r="B887" s="1">
        <v>46047</v>
      </c>
      <c r="C887" t="s">
        <v>70</v>
      </c>
      <c r="D887" t="s">
        <v>75</v>
      </c>
      <c r="E887" t="s">
        <v>66</v>
      </c>
      <c r="F887" t="s">
        <v>37</v>
      </c>
      <c r="G887" t="s">
        <v>38</v>
      </c>
      <c r="H887" t="s">
        <v>91</v>
      </c>
      <c r="I887" t="s">
        <v>1802</v>
      </c>
      <c r="J887">
        <v>9</v>
      </c>
      <c r="K887" s="2">
        <v>2523.89</v>
      </c>
      <c r="L887">
        <v>0</v>
      </c>
      <c r="M887" s="2">
        <v>22715.01</v>
      </c>
      <c r="N887" s="2">
        <v>17320.009999999998</v>
      </c>
      <c r="O887" s="2">
        <v>5395</v>
      </c>
      <c r="P887" t="s">
        <v>48</v>
      </c>
      <c r="Q887" t="s">
        <v>28</v>
      </c>
      <c r="R887" t="str">
        <f>TEXT(Table1[[#This Row],[Order Date]],"mmmm")</f>
        <v>January</v>
      </c>
      <c r="S887">
        <f>YEAR(Table1[[#This Row],[Order Date]])</f>
        <v>2026</v>
      </c>
    </row>
    <row r="888" spans="1:19" x14ac:dyDescent="0.3">
      <c r="A888" t="s">
        <v>1803</v>
      </c>
      <c r="B888" s="1">
        <v>45872</v>
      </c>
      <c r="C888" t="s">
        <v>35</v>
      </c>
      <c r="D888" t="s">
        <v>59</v>
      </c>
      <c r="E888" t="s">
        <v>44</v>
      </c>
      <c r="F888" t="s">
        <v>31</v>
      </c>
      <c r="G888" t="s">
        <v>45</v>
      </c>
      <c r="H888" t="s">
        <v>46</v>
      </c>
      <c r="I888" t="s">
        <v>1804</v>
      </c>
      <c r="J888">
        <v>1</v>
      </c>
      <c r="K888" s="2">
        <v>1750.65</v>
      </c>
      <c r="L888">
        <v>15</v>
      </c>
      <c r="M888" s="2">
        <v>1488.05</v>
      </c>
      <c r="N888" s="2">
        <v>1202.5</v>
      </c>
      <c r="O888" s="2">
        <v>285.55</v>
      </c>
      <c r="P888" t="s">
        <v>48</v>
      </c>
      <c r="Q888" t="s">
        <v>49</v>
      </c>
      <c r="R888" t="str">
        <f>TEXT(Table1[[#This Row],[Order Date]],"mmmm")</f>
        <v>August</v>
      </c>
      <c r="S888">
        <f>YEAR(Table1[[#This Row],[Order Date]])</f>
        <v>2025</v>
      </c>
    </row>
    <row r="889" spans="1:19" x14ac:dyDescent="0.3">
      <c r="A889" t="s">
        <v>1805</v>
      </c>
      <c r="B889" s="1">
        <v>45955</v>
      </c>
      <c r="C889" t="s">
        <v>70</v>
      </c>
      <c r="D889" t="s">
        <v>75</v>
      </c>
      <c r="E889" t="s">
        <v>170</v>
      </c>
      <c r="F889" t="s">
        <v>23</v>
      </c>
      <c r="G889" t="s">
        <v>38</v>
      </c>
      <c r="H889" t="s">
        <v>91</v>
      </c>
      <c r="I889" t="s">
        <v>1806</v>
      </c>
      <c r="J889">
        <v>4</v>
      </c>
      <c r="K889" s="2">
        <v>909.74</v>
      </c>
      <c r="L889">
        <v>0</v>
      </c>
      <c r="M889" s="2">
        <v>3638.96</v>
      </c>
      <c r="N889" s="2">
        <v>2505.44</v>
      </c>
      <c r="O889" s="2">
        <v>1133.52</v>
      </c>
      <c r="P889" t="s">
        <v>27</v>
      </c>
      <c r="Q889" t="s">
        <v>28</v>
      </c>
      <c r="R889" t="str">
        <f>TEXT(Table1[[#This Row],[Order Date]],"mmmm")</f>
        <v>October</v>
      </c>
      <c r="S889">
        <f>YEAR(Table1[[#This Row],[Order Date]])</f>
        <v>2025</v>
      </c>
    </row>
    <row r="890" spans="1:19" x14ac:dyDescent="0.3">
      <c r="A890" t="s">
        <v>1807</v>
      </c>
      <c r="B890" s="1">
        <v>45957</v>
      </c>
      <c r="C890" t="s">
        <v>70</v>
      </c>
      <c r="D890" t="s">
        <v>71</v>
      </c>
      <c r="E890" t="s">
        <v>30</v>
      </c>
      <c r="F890" t="s">
        <v>37</v>
      </c>
      <c r="G890" t="s">
        <v>45</v>
      </c>
      <c r="H890" t="s">
        <v>159</v>
      </c>
      <c r="I890" t="s">
        <v>1808</v>
      </c>
      <c r="J890">
        <v>8</v>
      </c>
      <c r="K890" s="2">
        <v>3096.64</v>
      </c>
      <c r="L890">
        <v>20</v>
      </c>
      <c r="M890" s="2">
        <v>19818.5</v>
      </c>
      <c r="N890" s="2">
        <v>12369.44</v>
      </c>
      <c r="O890" s="2">
        <v>7449.06</v>
      </c>
      <c r="P890" t="s">
        <v>27</v>
      </c>
      <c r="Q890" t="s">
        <v>49</v>
      </c>
      <c r="R890" t="str">
        <f>TEXT(Table1[[#This Row],[Order Date]],"mmmm")</f>
        <v>October</v>
      </c>
      <c r="S890">
        <f>YEAR(Table1[[#This Row],[Order Date]])</f>
        <v>2025</v>
      </c>
    </row>
    <row r="891" spans="1:19" x14ac:dyDescent="0.3">
      <c r="A891" t="s">
        <v>1809</v>
      </c>
      <c r="B891" s="1">
        <v>45838</v>
      </c>
      <c r="C891" t="s">
        <v>86</v>
      </c>
      <c r="D891" t="s">
        <v>87</v>
      </c>
      <c r="E891" t="s">
        <v>51</v>
      </c>
      <c r="F891" t="s">
        <v>31</v>
      </c>
      <c r="G891" t="s">
        <v>38</v>
      </c>
      <c r="H891" t="s">
        <v>106</v>
      </c>
      <c r="I891" t="s">
        <v>1810</v>
      </c>
      <c r="J891">
        <v>4</v>
      </c>
      <c r="K891" s="2">
        <v>1584.29</v>
      </c>
      <c r="L891">
        <v>20</v>
      </c>
      <c r="M891" s="2">
        <v>5069.7299999999996</v>
      </c>
      <c r="N891" s="2">
        <v>3554.23</v>
      </c>
      <c r="O891" s="2">
        <v>1515.5</v>
      </c>
      <c r="P891" t="s">
        <v>48</v>
      </c>
      <c r="Q891" t="s">
        <v>49</v>
      </c>
      <c r="R891" t="str">
        <f>TEXT(Table1[[#This Row],[Order Date]],"mmmm")</f>
        <v>June</v>
      </c>
      <c r="S891">
        <f>YEAR(Table1[[#This Row],[Order Date]])</f>
        <v>2025</v>
      </c>
    </row>
    <row r="892" spans="1:19" x14ac:dyDescent="0.3">
      <c r="A892" t="s">
        <v>1811</v>
      </c>
      <c r="B892" s="1">
        <v>45971</v>
      </c>
      <c r="C892" t="s">
        <v>70</v>
      </c>
      <c r="D892" t="s">
        <v>71</v>
      </c>
      <c r="E892" t="s">
        <v>30</v>
      </c>
      <c r="F892" t="s">
        <v>37</v>
      </c>
      <c r="G892" t="s">
        <v>38</v>
      </c>
      <c r="H892" t="s">
        <v>63</v>
      </c>
      <c r="I892" t="s">
        <v>1812</v>
      </c>
      <c r="J892">
        <v>12</v>
      </c>
      <c r="K892" s="2">
        <v>4011.52</v>
      </c>
      <c r="L892">
        <v>5</v>
      </c>
      <c r="M892" s="2">
        <v>45731.33</v>
      </c>
      <c r="N892" s="2">
        <v>34730.5</v>
      </c>
      <c r="O892" s="2">
        <v>11000.83</v>
      </c>
      <c r="P892" t="s">
        <v>27</v>
      </c>
      <c r="Q892" t="s">
        <v>61</v>
      </c>
      <c r="R892" t="str">
        <f>TEXT(Table1[[#This Row],[Order Date]],"mmmm")</f>
        <v>November</v>
      </c>
      <c r="S892">
        <f>YEAR(Table1[[#This Row],[Order Date]])</f>
        <v>2025</v>
      </c>
    </row>
    <row r="893" spans="1:19" x14ac:dyDescent="0.3">
      <c r="A893" t="s">
        <v>1813</v>
      </c>
      <c r="B893" s="1">
        <v>45789</v>
      </c>
      <c r="C893" t="s">
        <v>35</v>
      </c>
      <c r="D893" t="s">
        <v>36</v>
      </c>
      <c r="E893" t="s">
        <v>113</v>
      </c>
      <c r="F893" t="s">
        <v>31</v>
      </c>
      <c r="G893" t="s">
        <v>38</v>
      </c>
      <c r="H893" t="s">
        <v>106</v>
      </c>
      <c r="I893" t="s">
        <v>1814</v>
      </c>
      <c r="J893">
        <v>10</v>
      </c>
      <c r="K893" s="2">
        <v>4758.78</v>
      </c>
      <c r="L893">
        <v>5</v>
      </c>
      <c r="M893" s="2">
        <v>45208.41</v>
      </c>
      <c r="N893" s="2">
        <v>27667.21</v>
      </c>
      <c r="O893" s="2">
        <v>17541.2</v>
      </c>
      <c r="P893" t="s">
        <v>27</v>
      </c>
      <c r="Q893" t="s">
        <v>61</v>
      </c>
      <c r="R893" t="str">
        <f>TEXT(Table1[[#This Row],[Order Date]],"mmmm")</f>
        <v>May</v>
      </c>
      <c r="S893">
        <f>YEAR(Table1[[#This Row],[Order Date]])</f>
        <v>2025</v>
      </c>
    </row>
    <row r="894" spans="1:19" x14ac:dyDescent="0.3">
      <c r="A894" t="s">
        <v>1815</v>
      </c>
      <c r="B894" s="1">
        <v>46052</v>
      </c>
      <c r="C894" t="s">
        <v>20</v>
      </c>
      <c r="D894" t="s">
        <v>55</v>
      </c>
      <c r="E894" t="s">
        <v>170</v>
      </c>
      <c r="F894" t="s">
        <v>37</v>
      </c>
      <c r="G894" t="s">
        <v>38</v>
      </c>
      <c r="H894" t="s">
        <v>63</v>
      </c>
      <c r="I894" t="s">
        <v>1816</v>
      </c>
      <c r="J894">
        <v>12</v>
      </c>
      <c r="K894" s="2">
        <v>1165.72</v>
      </c>
      <c r="L894">
        <v>0</v>
      </c>
      <c r="M894" s="2">
        <v>13988.64</v>
      </c>
      <c r="N894" s="2">
        <v>11112.68</v>
      </c>
      <c r="O894" s="2">
        <v>2875.96</v>
      </c>
      <c r="P894" t="s">
        <v>48</v>
      </c>
      <c r="Q894" t="s">
        <v>61</v>
      </c>
      <c r="R894" t="str">
        <f>TEXT(Table1[[#This Row],[Order Date]],"mmmm")</f>
        <v>January</v>
      </c>
      <c r="S894">
        <f>YEAR(Table1[[#This Row],[Order Date]])</f>
        <v>2026</v>
      </c>
    </row>
    <row r="895" spans="1:19" x14ac:dyDescent="0.3">
      <c r="A895" t="s">
        <v>1817</v>
      </c>
      <c r="B895" s="1">
        <v>45977</v>
      </c>
      <c r="C895" t="s">
        <v>20</v>
      </c>
      <c r="D895" t="s">
        <v>21</v>
      </c>
      <c r="E895" t="s">
        <v>30</v>
      </c>
      <c r="F895" t="s">
        <v>37</v>
      </c>
      <c r="G895" t="s">
        <v>24</v>
      </c>
      <c r="H895" t="s">
        <v>56</v>
      </c>
      <c r="I895" t="s">
        <v>1818</v>
      </c>
      <c r="J895">
        <v>5</v>
      </c>
      <c r="K895" s="2">
        <v>3882.09</v>
      </c>
      <c r="L895">
        <v>15</v>
      </c>
      <c r="M895" s="2">
        <v>16498.88</v>
      </c>
      <c r="N895" s="2">
        <v>12269.95</v>
      </c>
      <c r="O895" s="2">
        <v>4228.93</v>
      </c>
      <c r="P895" t="s">
        <v>48</v>
      </c>
      <c r="Q895" t="s">
        <v>61</v>
      </c>
      <c r="R895" t="str">
        <f>TEXT(Table1[[#This Row],[Order Date]],"mmmm")</f>
        <v>November</v>
      </c>
      <c r="S895">
        <f>YEAR(Table1[[#This Row],[Order Date]])</f>
        <v>2025</v>
      </c>
    </row>
    <row r="896" spans="1:19" x14ac:dyDescent="0.3">
      <c r="A896" t="s">
        <v>1819</v>
      </c>
      <c r="B896" s="1">
        <v>45771</v>
      </c>
      <c r="C896" t="s">
        <v>86</v>
      </c>
      <c r="D896" t="s">
        <v>90</v>
      </c>
      <c r="E896" t="s">
        <v>30</v>
      </c>
      <c r="F896" t="s">
        <v>37</v>
      </c>
      <c r="G896" t="s">
        <v>24</v>
      </c>
      <c r="H896" t="s">
        <v>56</v>
      </c>
      <c r="I896" t="s">
        <v>1820</v>
      </c>
      <c r="J896">
        <v>11</v>
      </c>
      <c r="K896" s="2">
        <v>1919.23</v>
      </c>
      <c r="L896">
        <v>5</v>
      </c>
      <c r="M896" s="2">
        <v>20055.95</v>
      </c>
      <c r="N896" s="2">
        <v>13984.48</v>
      </c>
      <c r="O896" s="2">
        <v>6071.47</v>
      </c>
      <c r="P896" t="s">
        <v>27</v>
      </c>
      <c r="Q896" t="s">
        <v>42</v>
      </c>
      <c r="R896" t="str">
        <f>TEXT(Table1[[#This Row],[Order Date]],"mmmm")</f>
        <v>April</v>
      </c>
      <c r="S896">
        <f>YEAR(Table1[[#This Row],[Order Date]])</f>
        <v>2025</v>
      </c>
    </row>
    <row r="897" spans="1:19" x14ac:dyDescent="0.3">
      <c r="A897" t="s">
        <v>1821</v>
      </c>
      <c r="B897" s="1">
        <v>45761</v>
      </c>
      <c r="C897" t="s">
        <v>70</v>
      </c>
      <c r="D897" t="s">
        <v>75</v>
      </c>
      <c r="E897" t="s">
        <v>51</v>
      </c>
      <c r="F897" t="s">
        <v>37</v>
      </c>
      <c r="G897" t="s">
        <v>45</v>
      </c>
      <c r="H897" t="s">
        <v>67</v>
      </c>
      <c r="I897" t="s">
        <v>1822</v>
      </c>
      <c r="J897">
        <v>7</v>
      </c>
      <c r="K897" s="2">
        <v>3617.93</v>
      </c>
      <c r="L897">
        <v>5</v>
      </c>
      <c r="M897" s="2">
        <v>24059.23</v>
      </c>
      <c r="N897" s="2">
        <v>14150.19</v>
      </c>
      <c r="O897" s="2">
        <v>9909.0400000000009</v>
      </c>
      <c r="P897" t="s">
        <v>41</v>
      </c>
      <c r="Q897" t="s">
        <v>49</v>
      </c>
      <c r="R897" t="str">
        <f>TEXT(Table1[[#This Row],[Order Date]],"mmmm")</f>
        <v>April</v>
      </c>
      <c r="S897">
        <f>YEAR(Table1[[#This Row],[Order Date]])</f>
        <v>2025</v>
      </c>
    </row>
    <row r="898" spans="1:19" x14ac:dyDescent="0.3">
      <c r="A898" t="s">
        <v>1823</v>
      </c>
      <c r="B898" s="1">
        <v>45931</v>
      </c>
      <c r="C898" t="s">
        <v>86</v>
      </c>
      <c r="D898" t="s">
        <v>87</v>
      </c>
      <c r="E898" t="s">
        <v>66</v>
      </c>
      <c r="F898" t="s">
        <v>37</v>
      </c>
      <c r="G898" t="s">
        <v>38</v>
      </c>
      <c r="H898" t="s">
        <v>72</v>
      </c>
      <c r="I898" t="s">
        <v>1824</v>
      </c>
      <c r="J898">
        <v>8</v>
      </c>
      <c r="K898" s="2">
        <v>3932.92</v>
      </c>
      <c r="L898">
        <v>0</v>
      </c>
      <c r="M898" s="2">
        <v>31463.360000000001</v>
      </c>
      <c r="N898" s="2">
        <v>20690.169999999998</v>
      </c>
      <c r="O898" s="2">
        <v>10773.19</v>
      </c>
      <c r="P898" t="s">
        <v>41</v>
      </c>
      <c r="Q898" t="s">
        <v>28</v>
      </c>
      <c r="R898" t="str">
        <f>TEXT(Table1[[#This Row],[Order Date]],"mmmm")</f>
        <v>October</v>
      </c>
      <c r="S898">
        <f>YEAR(Table1[[#This Row],[Order Date]])</f>
        <v>2025</v>
      </c>
    </row>
    <row r="899" spans="1:19" x14ac:dyDescent="0.3">
      <c r="A899" t="s">
        <v>1825</v>
      </c>
      <c r="B899" s="1">
        <v>45671</v>
      </c>
      <c r="C899" t="s">
        <v>70</v>
      </c>
      <c r="D899" t="s">
        <v>75</v>
      </c>
      <c r="E899" t="s">
        <v>170</v>
      </c>
      <c r="F899" t="s">
        <v>37</v>
      </c>
      <c r="G899" t="s">
        <v>24</v>
      </c>
      <c r="H899" t="s">
        <v>25</v>
      </c>
      <c r="I899" t="s">
        <v>1826</v>
      </c>
      <c r="J899">
        <v>5</v>
      </c>
      <c r="K899" s="2">
        <v>2821.55</v>
      </c>
      <c r="L899">
        <v>10</v>
      </c>
      <c r="M899" s="2">
        <v>12696.98</v>
      </c>
      <c r="N899" s="2">
        <v>9244.84</v>
      </c>
      <c r="O899" s="2">
        <v>3452.14</v>
      </c>
      <c r="P899" t="s">
        <v>27</v>
      </c>
      <c r="Q899" t="s">
        <v>49</v>
      </c>
      <c r="R899" t="str">
        <f>TEXT(Table1[[#This Row],[Order Date]],"mmmm")</f>
        <v>January</v>
      </c>
      <c r="S899">
        <f>YEAR(Table1[[#This Row],[Order Date]])</f>
        <v>2025</v>
      </c>
    </row>
    <row r="900" spans="1:19" x14ac:dyDescent="0.3">
      <c r="A900" t="s">
        <v>1827</v>
      </c>
      <c r="B900" s="1">
        <v>46156</v>
      </c>
      <c r="C900" t="s">
        <v>20</v>
      </c>
      <c r="D900" t="s">
        <v>55</v>
      </c>
      <c r="E900" t="s">
        <v>44</v>
      </c>
      <c r="F900" t="s">
        <v>23</v>
      </c>
      <c r="G900" t="s">
        <v>45</v>
      </c>
      <c r="H900" t="s">
        <v>52</v>
      </c>
      <c r="I900" t="s">
        <v>1828</v>
      </c>
      <c r="J900">
        <v>6</v>
      </c>
      <c r="K900" s="2">
        <v>2041.09</v>
      </c>
      <c r="L900">
        <v>15</v>
      </c>
      <c r="M900" s="2">
        <v>10409.56</v>
      </c>
      <c r="N900" s="2">
        <v>5744.77</v>
      </c>
      <c r="O900" s="2">
        <v>4664.79</v>
      </c>
      <c r="P900" t="s">
        <v>48</v>
      </c>
      <c r="Q900" t="s">
        <v>49</v>
      </c>
      <c r="R900" t="str">
        <f>TEXT(Table1[[#This Row],[Order Date]],"mmmm")</f>
        <v>May</v>
      </c>
      <c r="S900">
        <f>YEAR(Table1[[#This Row],[Order Date]])</f>
        <v>2026</v>
      </c>
    </row>
    <row r="901" spans="1:19" x14ac:dyDescent="0.3">
      <c r="A901" t="s">
        <v>1829</v>
      </c>
      <c r="B901" s="1">
        <v>46132</v>
      </c>
      <c r="C901" t="s">
        <v>86</v>
      </c>
      <c r="D901" t="s">
        <v>87</v>
      </c>
      <c r="E901" t="s">
        <v>120</v>
      </c>
      <c r="F901" t="s">
        <v>23</v>
      </c>
      <c r="G901" t="s">
        <v>38</v>
      </c>
      <c r="H901" t="s">
        <v>106</v>
      </c>
      <c r="I901" t="s">
        <v>1830</v>
      </c>
      <c r="J901">
        <v>7</v>
      </c>
      <c r="K901" s="2">
        <v>594.51</v>
      </c>
      <c r="L901">
        <v>5</v>
      </c>
      <c r="M901" s="2">
        <v>3953.49</v>
      </c>
      <c r="N901" s="2">
        <v>2267.9</v>
      </c>
      <c r="O901" s="2">
        <v>1685.59</v>
      </c>
      <c r="P901" t="s">
        <v>27</v>
      </c>
      <c r="Q901" t="s">
        <v>61</v>
      </c>
      <c r="R901" t="str">
        <f>TEXT(Table1[[#This Row],[Order Date]],"mmmm")</f>
        <v>April</v>
      </c>
      <c r="S901">
        <f>YEAR(Table1[[#This Row],[Order Date]])</f>
        <v>2026</v>
      </c>
    </row>
    <row r="902" spans="1:19" x14ac:dyDescent="0.3">
      <c r="A902" t="s">
        <v>1831</v>
      </c>
      <c r="B902" s="1">
        <v>46018</v>
      </c>
      <c r="C902" t="s">
        <v>86</v>
      </c>
      <c r="D902" t="s">
        <v>87</v>
      </c>
      <c r="E902" t="s">
        <v>44</v>
      </c>
      <c r="F902" t="s">
        <v>31</v>
      </c>
      <c r="G902" t="s">
        <v>45</v>
      </c>
      <c r="H902" t="s">
        <v>52</v>
      </c>
      <c r="I902" t="s">
        <v>1832</v>
      </c>
      <c r="J902">
        <v>7</v>
      </c>
      <c r="K902" s="2">
        <v>257.27</v>
      </c>
      <c r="L902">
        <v>5</v>
      </c>
      <c r="M902" s="2">
        <v>1710.85</v>
      </c>
      <c r="N902" s="2">
        <v>949.96</v>
      </c>
      <c r="O902" s="2">
        <v>760.89</v>
      </c>
      <c r="P902" t="s">
        <v>48</v>
      </c>
      <c r="Q902" t="s">
        <v>49</v>
      </c>
      <c r="R902" t="str">
        <f>TEXT(Table1[[#This Row],[Order Date]],"mmmm")</f>
        <v>December</v>
      </c>
      <c r="S902">
        <f>YEAR(Table1[[#This Row],[Order Date]])</f>
        <v>2025</v>
      </c>
    </row>
    <row r="903" spans="1:19" x14ac:dyDescent="0.3">
      <c r="A903" t="s">
        <v>1833</v>
      </c>
      <c r="B903" s="1">
        <v>46187</v>
      </c>
      <c r="C903" t="s">
        <v>70</v>
      </c>
      <c r="D903" t="s">
        <v>75</v>
      </c>
      <c r="E903" t="s">
        <v>22</v>
      </c>
      <c r="F903" t="s">
        <v>23</v>
      </c>
      <c r="G903" t="s">
        <v>45</v>
      </c>
      <c r="H903" t="s">
        <v>46</v>
      </c>
      <c r="I903" t="s">
        <v>1834</v>
      </c>
      <c r="J903">
        <v>14</v>
      </c>
      <c r="K903" s="2">
        <v>4373.01</v>
      </c>
      <c r="L903">
        <v>20</v>
      </c>
      <c r="M903" s="2">
        <v>48977.71</v>
      </c>
      <c r="N903" s="2">
        <v>35770.1</v>
      </c>
      <c r="O903" s="2">
        <v>13207.61</v>
      </c>
      <c r="P903" t="s">
        <v>41</v>
      </c>
      <c r="Q903" t="s">
        <v>28</v>
      </c>
      <c r="R903" t="str">
        <f>TEXT(Table1[[#This Row],[Order Date]],"mmmm")</f>
        <v>June</v>
      </c>
      <c r="S903">
        <f>YEAR(Table1[[#This Row],[Order Date]])</f>
        <v>2026</v>
      </c>
    </row>
    <row r="904" spans="1:19" x14ac:dyDescent="0.3">
      <c r="A904" t="s">
        <v>1835</v>
      </c>
      <c r="B904" s="1">
        <v>45984</v>
      </c>
      <c r="C904" t="s">
        <v>86</v>
      </c>
      <c r="D904" t="s">
        <v>87</v>
      </c>
      <c r="E904" t="s">
        <v>66</v>
      </c>
      <c r="F904" t="s">
        <v>37</v>
      </c>
      <c r="G904" t="s">
        <v>38</v>
      </c>
      <c r="H904" t="s">
        <v>106</v>
      </c>
      <c r="I904" t="s">
        <v>1836</v>
      </c>
      <c r="J904">
        <v>15</v>
      </c>
      <c r="K904" s="2">
        <v>2346.6</v>
      </c>
      <c r="L904">
        <v>10</v>
      </c>
      <c r="M904" s="2">
        <v>31679.1</v>
      </c>
      <c r="N904" s="2">
        <v>20073.64</v>
      </c>
      <c r="O904" s="2">
        <v>11605.46</v>
      </c>
      <c r="P904" t="s">
        <v>41</v>
      </c>
      <c r="Q904" t="s">
        <v>42</v>
      </c>
      <c r="R904" t="str">
        <f>TEXT(Table1[[#This Row],[Order Date]],"mmmm")</f>
        <v>November</v>
      </c>
      <c r="S904">
        <f>YEAR(Table1[[#This Row],[Order Date]])</f>
        <v>2025</v>
      </c>
    </row>
    <row r="905" spans="1:19" x14ac:dyDescent="0.3">
      <c r="A905" t="s">
        <v>1837</v>
      </c>
      <c r="B905" s="1">
        <v>46015</v>
      </c>
      <c r="C905" t="s">
        <v>35</v>
      </c>
      <c r="D905" t="s">
        <v>36</v>
      </c>
      <c r="E905" t="s">
        <v>113</v>
      </c>
      <c r="F905" t="s">
        <v>31</v>
      </c>
      <c r="G905" t="s">
        <v>24</v>
      </c>
      <c r="H905" t="s">
        <v>32</v>
      </c>
      <c r="I905" t="s">
        <v>680</v>
      </c>
      <c r="J905">
        <v>11</v>
      </c>
      <c r="K905" s="2">
        <v>4332.5</v>
      </c>
      <c r="L905">
        <v>15</v>
      </c>
      <c r="M905" s="2">
        <v>40508.879999999997</v>
      </c>
      <c r="N905" s="2">
        <v>25641.82</v>
      </c>
      <c r="O905" s="2">
        <v>14867.06</v>
      </c>
      <c r="P905" t="s">
        <v>48</v>
      </c>
      <c r="Q905" t="s">
        <v>28</v>
      </c>
      <c r="R905" t="str">
        <f>TEXT(Table1[[#This Row],[Order Date]],"mmmm")</f>
        <v>December</v>
      </c>
      <c r="S905">
        <f>YEAR(Table1[[#This Row],[Order Date]])</f>
        <v>2025</v>
      </c>
    </row>
    <row r="906" spans="1:19" x14ac:dyDescent="0.3">
      <c r="A906" t="s">
        <v>1838</v>
      </c>
      <c r="B906" s="1">
        <v>45967</v>
      </c>
      <c r="C906" t="s">
        <v>35</v>
      </c>
      <c r="D906" t="s">
        <v>36</v>
      </c>
      <c r="E906" t="s">
        <v>44</v>
      </c>
      <c r="F906" t="s">
        <v>31</v>
      </c>
      <c r="G906" t="s">
        <v>38</v>
      </c>
      <c r="H906" t="s">
        <v>91</v>
      </c>
      <c r="I906" t="s">
        <v>810</v>
      </c>
      <c r="J906">
        <v>7</v>
      </c>
      <c r="K906" s="2">
        <v>1938.53</v>
      </c>
      <c r="L906">
        <v>0</v>
      </c>
      <c r="M906" s="2">
        <v>13569.71</v>
      </c>
      <c r="N906" s="2">
        <v>7645.81</v>
      </c>
      <c r="O906" s="2">
        <v>5923.9</v>
      </c>
      <c r="P906" t="s">
        <v>27</v>
      </c>
      <c r="Q906" t="s">
        <v>42</v>
      </c>
      <c r="R906" t="str">
        <f>TEXT(Table1[[#This Row],[Order Date]],"mmmm")</f>
        <v>November</v>
      </c>
      <c r="S906">
        <f>YEAR(Table1[[#This Row],[Order Date]])</f>
        <v>2025</v>
      </c>
    </row>
    <row r="907" spans="1:19" x14ac:dyDescent="0.3">
      <c r="A907" t="s">
        <v>1839</v>
      </c>
      <c r="B907" s="1">
        <v>46105</v>
      </c>
      <c r="C907" t="s">
        <v>86</v>
      </c>
      <c r="D907" t="s">
        <v>90</v>
      </c>
      <c r="E907" t="s">
        <v>113</v>
      </c>
      <c r="F907" t="s">
        <v>23</v>
      </c>
      <c r="G907" t="s">
        <v>24</v>
      </c>
      <c r="H907" t="s">
        <v>171</v>
      </c>
      <c r="I907" t="s">
        <v>1840</v>
      </c>
      <c r="J907">
        <v>7</v>
      </c>
      <c r="K907" s="2">
        <v>2591.87</v>
      </c>
      <c r="L907">
        <v>10</v>
      </c>
      <c r="M907" s="2">
        <v>16328.78</v>
      </c>
      <c r="N907" s="2">
        <v>11129.84</v>
      </c>
      <c r="O907" s="2">
        <v>5198.9399999999996</v>
      </c>
      <c r="P907" t="s">
        <v>27</v>
      </c>
      <c r="Q907" t="s">
        <v>28</v>
      </c>
      <c r="R907" t="str">
        <f>TEXT(Table1[[#This Row],[Order Date]],"mmmm")</f>
        <v>March</v>
      </c>
      <c r="S907">
        <f>YEAR(Table1[[#This Row],[Order Date]])</f>
        <v>2026</v>
      </c>
    </row>
    <row r="908" spans="1:19" x14ac:dyDescent="0.3">
      <c r="A908" t="s">
        <v>1841</v>
      </c>
      <c r="B908" s="1">
        <v>46102</v>
      </c>
      <c r="C908" t="s">
        <v>35</v>
      </c>
      <c r="D908" t="s">
        <v>59</v>
      </c>
      <c r="E908" t="s">
        <v>22</v>
      </c>
      <c r="F908" t="s">
        <v>37</v>
      </c>
      <c r="G908" t="s">
        <v>45</v>
      </c>
      <c r="H908" t="s">
        <v>159</v>
      </c>
      <c r="I908" t="s">
        <v>1842</v>
      </c>
      <c r="J908">
        <v>11</v>
      </c>
      <c r="K908" s="2">
        <v>317.02999999999997</v>
      </c>
      <c r="L908">
        <v>10</v>
      </c>
      <c r="M908" s="2">
        <v>3138.6</v>
      </c>
      <c r="N908" s="2">
        <v>1925.42</v>
      </c>
      <c r="O908" s="2">
        <v>1213.18</v>
      </c>
      <c r="P908" t="s">
        <v>48</v>
      </c>
      <c r="Q908" t="s">
        <v>49</v>
      </c>
      <c r="R908" t="str">
        <f>TEXT(Table1[[#This Row],[Order Date]],"mmmm")</f>
        <v>March</v>
      </c>
      <c r="S908">
        <f>YEAR(Table1[[#This Row],[Order Date]])</f>
        <v>2026</v>
      </c>
    </row>
    <row r="909" spans="1:19" x14ac:dyDescent="0.3">
      <c r="A909" t="s">
        <v>1843</v>
      </c>
      <c r="B909" s="1">
        <v>46089</v>
      </c>
      <c r="C909" t="s">
        <v>35</v>
      </c>
      <c r="D909" t="s">
        <v>59</v>
      </c>
      <c r="E909" t="s">
        <v>44</v>
      </c>
      <c r="F909" t="s">
        <v>23</v>
      </c>
      <c r="G909" t="s">
        <v>38</v>
      </c>
      <c r="H909" t="s">
        <v>63</v>
      </c>
      <c r="I909" t="s">
        <v>1844</v>
      </c>
      <c r="J909">
        <v>8</v>
      </c>
      <c r="K909" s="2">
        <v>1272.9100000000001</v>
      </c>
      <c r="L909">
        <v>0</v>
      </c>
      <c r="M909" s="2">
        <v>10183.280000000001</v>
      </c>
      <c r="N909" s="2">
        <v>6685.35</v>
      </c>
      <c r="O909" s="2">
        <v>3497.93</v>
      </c>
      <c r="P909" t="s">
        <v>48</v>
      </c>
      <c r="Q909" t="s">
        <v>42</v>
      </c>
      <c r="R909" t="str">
        <f>TEXT(Table1[[#This Row],[Order Date]],"mmmm")</f>
        <v>March</v>
      </c>
      <c r="S909">
        <f>YEAR(Table1[[#This Row],[Order Date]])</f>
        <v>2026</v>
      </c>
    </row>
    <row r="910" spans="1:19" x14ac:dyDescent="0.3">
      <c r="A910" t="s">
        <v>1845</v>
      </c>
      <c r="B910" s="1">
        <v>46174</v>
      </c>
      <c r="C910" t="s">
        <v>35</v>
      </c>
      <c r="D910" t="s">
        <v>36</v>
      </c>
      <c r="E910" t="s">
        <v>44</v>
      </c>
      <c r="F910" t="s">
        <v>37</v>
      </c>
      <c r="G910" t="s">
        <v>24</v>
      </c>
      <c r="H910" t="s">
        <v>32</v>
      </c>
      <c r="I910" t="s">
        <v>1846</v>
      </c>
      <c r="J910">
        <v>2</v>
      </c>
      <c r="K910" s="2">
        <v>2612.8000000000002</v>
      </c>
      <c r="L910">
        <v>20</v>
      </c>
      <c r="M910" s="2">
        <v>4180.4799999999996</v>
      </c>
      <c r="N910" s="2">
        <v>2424.08</v>
      </c>
      <c r="O910" s="2">
        <v>1756.4</v>
      </c>
      <c r="P910" t="s">
        <v>27</v>
      </c>
      <c r="Q910" t="s">
        <v>49</v>
      </c>
      <c r="R910" t="str">
        <f>TEXT(Table1[[#This Row],[Order Date]],"mmmm")</f>
        <v>June</v>
      </c>
      <c r="S910">
        <f>YEAR(Table1[[#This Row],[Order Date]])</f>
        <v>2026</v>
      </c>
    </row>
    <row r="911" spans="1:19" x14ac:dyDescent="0.3">
      <c r="A911" t="s">
        <v>1847</v>
      </c>
      <c r="B911" s="1">
        <v>46055</v>
      </c>
      <c r="C911" t="s">
        <v>70</v>
      </c>
      <c r="D911" t="s">
        <v>75</v>
      </c>
      <c r="E911" t="s">
        <v>22</v>
      </c>
      <c r="F911" t="s">
        <v>37</v>
      </c>
      <c r="G911" t="s">
        <v>38</v>
      </c>
      <c r="H911" t="s">
        <v>106</v>
      </c>
      <c r="I911" t="s">
        <v>1848</v>
      </c>
      <c r="J911">
        <v>5</v>
      </c>
      <c r="K911" s="2">
        <v>1020.67</v>
      </c>
      <c r="L911">
        <v>5</v>
      </c>
      <c r="M911" s="2">
        <v>4848.18</v>
      </c>
      <c r="N911" s="2">
        <v>3094.09</v>
      </c>
      <c r="O911" s="2">
        <v>1754.09</v>
      </c>
      <c r="P911" t="s">
        <v>41</v>
      </c>
      <c r="Q911" t="s">
        <v>42</v>
      </c>
      <c r="R911" t="str">
        <f>TEXT(Table1[[#This Row],[Order Date]],"mmmm")</f>
        <v>February</v>
      </c>
      <c r="S911">
        <f>YEAR(Table1[[#This Row],[Order Date]])</f>
        <v>2026</v>
      </c>
    </row>
    <row r="912" spans="1:19" x14ac:dyDescent="0.3">
      <c r="A912" t="s">
        <v>1849</v>
      </c>
      <c r="B912" s="1">
        <v>45679</v>
      </c>
      <c r="C912" t="s">
        <v>35</v>
      </c>
      <c r="D912" t="s">
        <v>36</v>
      </c>
      <c r="E912" t="s">
        <v>170</v>
      </c>
      <c r="F912" t="s">
        <v>37</v>
      </c>
      <c r="G912" t="s">
        <v>38</v>
      </c>
      <c r="H912" t="s">
        <v>72</v>
      </c>
      <c r="I912" t="s">
        <v>1601</v>
      </c>
      <c r="J912">
        <v>6</v>
      </c>
      <c r="K912" s="2">
        <v>3457.55</v>
      </c>
      <c r="L912">
        <v>0</v>
      </c>
      <c r="M912" s="2">
        <v>20745.3</v>
      </c>
      <c r="N912" s="2">
        <v>13814.65</v>
      </c>
      <c r="O912" s="2">
        <v>6930.65</v>
      </c>
      <c r="P912" t="s">
        <v>41</v>
      </c>
      <c r="Q912" t="s">
        <v>49</v>
      </c>
      <c r="R912" t="str">
        <f>TEXT(Table1[[#This Row],[Order Date]],"mmmm")</f>
        <v>January</v>
      </c>
      <c r="S912">
        <f>YEAR(Table1[[#This Row],[Order Date]])</f>
        <v>2025</v>
      </c>
    </row>
    <row r="913" spans="1:19" x14ac:dyDescent="0.3">
      <c r="A913" t="s">
        <v>1850</v>
      </c>
      <c r="B913" s="1">
        <v>45880</v>
      </c>
      <c r="C913" t="s">
        <v>35</v>
      </c>
      <c r="D913" t="s">
        <v>59</v>
      </c>
      <c r="E913" t="s">
        <v>113</v>
      </c>
      <c r="F913" t="s">
        <v>31</v>
      </c>
      <c r="G913" t="s">
        <v>45</v>
      </c>
      <c r="H913" t="s">
        <v>123</v>
      </c>
      <c r="I913" t="s">
        <v>1851</v>
      </c>
      <c r="J913">
        <v>9</v>
      </c>
      <c r="K913" s="2">
        <v>1082.3800000000001</v>
      </c>
      <c r="L913">
        <v>15</v>
      </c>
      <c r="M913" s="2">
        <v>8280.2099999999991</v>
      </c>
      <c r="N913" s="2">
        <v>5543.58</v>
      </c>
      <c r="O913" s="2">
        <v>2736.63</v>
      </c>
      <c r="P913" t="s">
        <v>41</v>
      </c>
      <c r="Q913" t="s">
        <v>28</v>
      </c>
      <c r="R913" t="str">
        <f>TEXT(Table1[[#This Row],[Order Date]],"mmmm")</f>
        <v>August</v>
      </c>
      <c r="S913">
        <f>YEAR(Table1[[#This Row],[Order Date]])</f>
        <v>2025</v>
      </c>
    </row>
    <row r="914" spans="1:19" x14ac:dyDescent="0.3">
      <c r="A914" t="s">
        <v>1852</v>
      </c>
      <c r="B914" s="1">
        <v>46120</v>
      </c>
      <c r="C914" t="s">
        <v>86</v>
      </c>
      <c r="D914" t="s">
        <v>90</v>
      </c>
      <c r="E914" t="s">
        <v>22</v>
      </c>
      <c r="F914" t="s">
        <v>37</v>
      </c>
      <c r="G914" t="s">
        <v>45</v>
      </c>
      <c r="H914" t="s">
        <v>123</v>
      </c>
      <c r="I914" t="s">
        <v>1853</v>
      </c>
      <c r="J914">
        <v>10</v>
      </c>
      <c r="K914" s="2">
        <v>320.16000000000003</v>
      </c>
      <c r="L914">
        <v>5</v>
      </c>
      <c r="M914" s="2">
        <v>3041.52</v>
      </c>
      <c r="N914" s="2">
        <v>2318.37</v>
      </c>
      <c r="O914" s="2">
        <v>723.15</v>
      </c>
      <c r="P914" t="s">
        <v>27</v>
      </c>
      <c r="Q914" t="s">
        <v>49</v>
      </c>
      <c r="R914" t="str">
        <f>TEXT(Table1[[#This Row],[Order Date]],"mmmm")</f>
        <v>April</v>
      </c>
      <c r="S914">
        <f>YEAR(Table1[[#This Row],[Order Date]])</f>
        <v>2026</v>
      </c>
    </row>
    <row r="915" spans="1:19" x14ac:dyDescent="0.3">
      <c r="A915" t="s">
        <v>1854</v>
      </c>
      <c r="B915" s="1">
        <v>46108</v>
      </c>
      <c r="C915" t="s">
        <v>86</v>
      </c>
      <c r="D915" t="s">
        <v>90</v>
      </c>
      <c r="E915" t="s">
        <v>44</v>
      </c>
      <c r="F915" t="s">
        <v>23</v>
      </c>
      <c r="G915" t="s">
        <v>24</v>
      </c>
      <c r="H915" t="s">
        <v>134</v>
      </c>
      <c r="I915" t="s">
        <v>1855</v>
      </c>
      <c r="J915">
        <v>5</v>
      </c>
      <c r="K915" s="2">
        <v>3515.36</v>
      </c>
      <c r="L915">
        <v>20</v>
      </c>
      <c r="M915" s="2">
        <v>14061.44</v>
      </c>
      <c r="N915" s="2">
        <v>11433.38</v>
      </c>
      <c r="O915" s="2">
        <v>2628.06</v>
      </c>
      <c r="P915" t="s">
        <v>41</v>
      </c>
      <c r="Q915" t="s">
        <v>61</v>
      </c>
      <c r="R915" t="str">
        <f>TEXT(Table1[[#This Row],[Order Date]],"mmmm")</f>
        <v>March</v>
      </c>
      <c r="S915">
        <f>YEAR(Table1[[#This Row],[Order Date]])</f>
        <v>2026</v>
      </c>
    </row>
    <row r="916" spans="1:19" x14ac:dyDescent="0.3">
      <c r="A916" t="s">
        <v>1856</v>
      </c>
      <c r="B916" s="1">
        <v>46187</v>
      </c>
      <c r="C916" t="s">
        <v>35</v>
      </c>
      <c r="D916" t="s">
        <v>36</v>
      </c>
      <c r="E916" t="s">
        <v>66</v>
      </c>
      <c r="F916" t="s">
        <v>37</v>
      </c>
      <c r="G916" t="s">
        <v>24</v>
      </c>
      <c r="H916" t="s">
        <v>56</v>
      </c>
      <c r="I916" t="s">
        <v>1857</v>
      </c>
      <c r="J916">
        <v>1</v>
      </c>
      <c r="K916" s="2">
        <v>3305.19</v>
      </c>
      <c r="L916">
        <v>5</v>
      </c>
      <c r="M916" s="2">
        <v>3139.93</v>
      </c>
      <c r="N916" s="2">
        <v>2328.6999999999998</v>
      </c>
      <c r="O916" s="2">
        <v>811.23</v>
      </c>
      <c r="P916" t="s">
        <v>41</v>
      </c>
      <c r="Q916" t="s">
        <v>42</v>
      </c>
      <c r="R916" t="str">
        <f>TEXT(Table1[[#This Row],[Order Date]],"mmmm")</f>
        <v>June</v>
      </c>
      <c r="S916">
        <f>YEAR(Table1[[#This Row],[Order Date]])</f>
        <v>2026</v>
      </c>
    </row>
    <row r="917" spans="1:19" x14ac:dyDescent="0.3">
      <c r="A917" t="s">
        <v>1858</v>
      </c>
      <c r="B917" s="1">
        <v>45931</v>
      </c>
      <c r="C917" t="s">
        <v>35</v>
      </c>
      <c r="D917" t="s">
        <v>36</v>
      </c>
      <c r="E917" t="s">
        <v>113</v>
      </c>
      <c r="F917" t="s">
        <v>31</v>
      </c>
      <c r="G917" t="s">
        <v>45</v>
      </c>
      <c r="H917" t="s">
        <v>123</v>
      </c>
      <c r="I917" t="s">
        <v>1149</v>
      </c>
      <c r="J917">
        <v>13</v>
      </c>
      <c r="K917" s="2">
        <v>616.66999999999996</v>
      </c>
      <c r="L917">
        <v>10</v>
      </c>
      <c r="M917" s="2">
        <v>7215.04</v>
      </c>
      <c r="N917" s="2">
        <v>4300.6000000000004</v>
      </c>
      <c r="O917" s="2">
        <v>2914.44</v>
      </c>
      <c r="P917" t="s">
        <v>48</v>
      </c>
      <c r="Q917" t="s">
        <v>28</v>
      </c>
      <c r="R917" t="str">
        <f>TEXT(Table1[[#This Row],[Order Date]],"mmmm")</f>
        <v>October</v>
      </c>
      <c r="S917">
        <f>YEAR(Table1[[#This Row],[Order Date]])</f>
        <v>2025</v>
      </c>
    </row>
    <row r="918" spans="1:19" x14ac:dyDescent="0.3">
      <c r="A918" t="s">
        <v>1859</v>
      </c>
      <c r="B918" s="1">
        <v>45802</v>
      </c>
      <c r="C918" t="s">
        <v>86</v>
      </c>
      <c r="D918" t="s">
        <v>90</v>
      </c>
      <c r="E918" t="s">
        <v>30</v>
      </c>
      <c r="F918" t="s">
        <v>37</v>
      </c>
      <c r="G918" t="s">
        <v>45</v>
      </c>
      <c r="H918" t="s">
        <v>159</v>
      </c>
      <c r="I918" t="s">
        <v>1860</v>
      </c>
      <c r="J918">
        <v>7</v>
      </c>
      <c r="K918" s="2">
        <v>3503.21</v>
      </c>
      <c r="L918">
        <v>20</v>
      </c>
      <c r="M918" s="2">
        <v>19617.98</v>
      </c>
      <c r="N918" s="2">
        <v>10906.09</v>
      </c>
      <c r="O918" s="2">
        <v>8711.89</v>
      </c>
      <c r="P918" t="s">
        <v>41</v>
      </c>
      <c r="Q918" t="s">
        <v>61</v>
      </c>
      <c r="R918" t="str">
        <f>TEXT(Table1[[#This Row],[Order Date]],"mmmm")</f>
        <v>May</v>
      </c>
      <c r="S918">
        <f>YEAR(Table1[[#This Row],[Order Date]])</f>
        <v>2025</v>
      </c>
    </row>
    <row r="919" spans="1:19" x14ac:dyDescent="0.3">
      <c r="A919" t="s">
        <v>1861</v>
      </c>
      <c r="B919" s="1">
        <v>46169</v>
      </c>
      <c r="C919" t="s">
        <v>86</v>
      </c>
      <c r="D919" t="s">
        <v>87</v>
      </c>
      <c r="E919" t="s">
        <v>120</v>
      </c>
      <c r="F919" t="s">
        <v>37</v>
      </c>
      <c r="G919" t="s">
        <v>38</v>
      </c>
      <c r="H919" t="s">
        <v>91</v>
      </c>
      <c r="I919" t="s">
        <v>1862</v>
      </c>
      <c r="J919">
        <v>6</v>
      </c>
      <c r="K919" s="2">
        <v>4868.3500000000004</v>
      </c>
      <c r="L919">
        <v>5</v>
      </c>
      <c r="M919" s="2">
        <v>27749.599999999999</v>
      </c>
      <c r="N919" s="2">
        <v>21475.200000000001</v>
      </c>
      <c r="O919" s="2">
        <v>6274.4</v>
      </c>
      <c r="P919" t="s">
        <v>41</v>
      </c>
      <c r="Q919" t="s">
        <v>61</v>
      </c>
      <c r="R919" t="str">
        <f>TEXT(Table1[[#This Row],[Order Date]],"mmmm")</f>
        <v>May</v>
      </c>
      <c r="S919">
        <f>YEAR(Table1[[#This Row],[Order Date]])</f>
        <v>2026</v>
      </c>
    </row>
    <row r="920" spans="1:19" x14ac:dyDescent="0.3">
      <c r="A920" t="s">
        <v>1863</v>
      </c>
      <c r="B920" s="1">
        <v>46067</v>
      </c>
      <c r="C920" t="s">
        <v>86</v>
      </c>
      <c r="D920" t="s">
        <v>90</v>
      </c>
      <c r="E920" t="s">
        <v>30</v>
      </c>
      <c r="F920" t="s">
        <v>31</v>
      </c>
      <c r="G920" t="s">
        <v>24</v>
      </c>
      <c r="H920" t="s">
        <v>134</v>
      </c>
      <c r="I920" t="s">
        <v>1864</v>
      </c>
      <c r="J920">
        <v>15</v>
      </c>
      <c r="K920" s="2">
        <v>3538.77</v>
      </c>
      <c r="L920">
        <v>20</v>
      </c>
      <c r="M920" s="2">
        <v>42465.24</v>
      </c>
      <c r="N920" s="2">
        <v>30959.15</v>
      </c>
      <c r="O920" s="2">
        <v>11506.09</v>
      </c>
      <c r="P920" t="s">
        <v>48</v>
      </c>
      <c r="Q920" t="s">
        <v>49</v>
      </c>
      <c r="R920" t="str">
        <f>TEXT(Table1[[#This Row],[Order Date]],"mmmm")</f>
        <v>February</v>
      </c>
      <c r="S920">
        <f>YEAR(Table1[[#This Row],[Order Date]])</f>
        <v>2026</v>
      </c>
    </row>
    <row r="921" spans="1:19" x14ac:dyDescent="0.3">
      <c r="A921" t="s">
        <v>1865</v>
      </c>
      <c r="B921" s="1">
        <v>46107</v>
      </c>
      <c r="C921" t="s">
        <v>35</v>
      </c>
      <c r="D921" t="s">
        <v>36</v>
      </c>
      <c r="E921" t="s">
        <v>120</v>
      </c>
      <c r="F921" t="s">
        <v>31</v>
      </c>
      <c r="G921" t="s">
        <v>38</v>
      </c>
      <c r="H921" t="s">
        <v>106</v>
      </c>
      <c r="I921" t="s">
        <v>1866</v>
      </c>
      <c r="J921">
        <v>4</v>
      </c>
      <c r="K921" s="2">
        <v>1661.74</v>
      </c>
      <c r="L921">
        <v>20</v>
      </c>
      <c r="M921" s="2">
        <v>5317.57</v>
      </c>
      <c r="N921" s="2">
        <v>4269</v>
      </c>
      <c r="O921" s="2">
        <v>1048.57</v>
      </c>
      <c r="P921" t="s">
        <v>48</v>
      </c>
      <c r="Q921" t="s">
        <v>42</v>
      </c>
      <c r="R921" t="str">
        <f>TEXT(Table1[[#This Row],[Order Date]],"mmmm")</f>
        <v>March</v>
      </c>
      <c r="S921">
        <f>YEAR(Table1[[#This Row],[Order Date]])</f>
        <v>2026</v>
      </c>
    </row>
    <row r="922" spans="1:19" x14ac:dyDescent="0.3">
      <c r="A922" t="s">
        <v>1867</v>
      </c>
      <c r="B922" s="1">
        <v>46170</v>
      </c>
      <c r="C922" t="s">
        <v>20</v>
      </c>
      <c r="D922" t="s">
        <v>21</v>
      </c>
      <c r="E922" t="s">
        <v>120</v>
      </c>
      <c r="F922" t="s">
        <v>23</v>
      </c>
      <c r="G922" t="s">
        <v>45</v>
      </c>
      <c r="H922" t="s">
        <v>67</v>
      </c>
      <c r="I922" t="s">
        <v>1868</v>
      </c>
      <c r="J922">
        <v>2</v>
      </c>
      <c r="K922" s="2">
        <v>2613.35</v>
      </c>
      <c r="L922">
        <v>0</v>
      </c>
      <c r="M922" s="2">
        <v>5226.7</v>
      </c>
      <c r="N922" s="2">
        <v>3645.18</v>
      </c>
      <c r="O922" s="2">
        <v>1581.52</v>
      </c>
      <c r="P922" t="s">
        <v>27</v>
      </c>
      <c r="Q922" t="s">
        <v>42</v>
      </c>
      <c r="R922" t="str">
        <f>TEXT(Table1[[#This Row],[Order Date]],"mmmm")</f>
        <v>May</v>
      </c>
      <c r="S922">
        <f>YEAR(Table1[[#This Row],[Order Date]])</f>
        <v>2026</v>
      </c>
    </row>
    <row r="923" spans="1:19" x14ac:dyDescent="0.3">
      <c r="A923" t="s">
        <v>1869</v>
      </c>
      <c r="B923" s="1">
        <v>46001</v>
      </c>
      <c r="C923" t="s">
        <v>20</v>
      </c>
      <c r="D923" t="s">
        <v>21</v>
      </c>
      <c r="E923" t="s">
        <v>66</v>
      </c>
      <c r="F923" t="s">
        <v>37</v>
      </c>
      <c r="G923" t="s">
        <v>45</v>
      </c>
      <c r="H923" t="s">
        <v>67</v>
      </c>
      <c r="I923" t="s">
        <v>1870</v>
      </c>
      <c r="J923">
        <v>13</v>
      </c>
      <c r="K923" s="2">
        <v>1039.1400000000001</v>
      </c>
      <c r="L923">
        <v>5</v>
      </c>
      <c r="M923" s="2">
        <v>12833.38</v>
      </c>
      <c r="N923" s="2">
        <v>8576.76</v>
      </c>
      <c r="O923" s="2">
        <v>4256.62</v>
      </c>
      <c r="P923" t="s">
        <v>41</v>
      </c>
      <c r="Q923" t="s">
        <v>28</v>
      </c>
      <c r="R923" t="str">
        <f>TEXT(Table1[[#This Row],[Order Date]],"mmmm")</f>
        <v>December</v>
      </c>
      <c r="S923">
        <f>YEAR(Table1[[#This Row],[Order Date]])</f>
        <v>2025</v>
      </c>
    </row>
    <row r="924" spans="1:19" x14ac:dyDescent="0.3">
      <c r="A924" t="s">
        <v>1871</v>
      </c>
      <c r="B924" s="1">
        <v>45986</v>
      </c>
      <c r="C924" t="s">
        <v>70</v>
      </c>
      <c r="D924" t="s">
        <v>75</v>
      </c>
      <c r="E924" t="s">
        <v>30</v>
      </c>
      <c r="F924" t="s">
        <v>31</v>
      </c>
      <c r="G924" t="s">
        <v>38</v>
      </c>
      <c r="H924" t="s">
        <v>63</v>
      </c>
      <c r="I924" t="s">
        <v>1872</v>
      </c>
      <c r="J924">
        <v>2</v>
      </c>
      <c r="K924" s="2">
        <v>957.81</v>
      </c>
      <c r="L924">
        <v>0</v>
      </c>
      <c r="M924" s="2">
        <v>1915.62</v>
      </c>
      <c r="N924" s="2">
        <v>1228.71</v>
      </c>
      <c r="O924" s="2">
        <v>686.91</v>
      </c>
      <c r="P924" t="s">
        <v>41</v>
      </c>
      <c r="Q924" t="s">
        <v>42</v>
      </c>
      <c r="R924" t="str">
        <f>TEXT(Table1[[#This Row],[Order Date]],"mmmm")</f>
        <v>November</v>
      </c>
      <c r="S924">
        <f>YEAR(Table1[[#This Row],[Order Date]])</f>
        <v>2025</v>
      </c>
    </row>
    <row r="925" spans="1:19" x14ac:dyDescent="0.3">
      <c r="A925" t="s">
        <v>1873</v>
      </c>
      <c r="B925" s="1">
        <v>45906</v>
      </c>
      <c r="C925" t="s">
        <v>70</v>
      </c>
      <c r="D925" t="s">
        <v>71</v>
      </c>
      <c r="E925" t="s">
        <v>30</v>
      </c>
      <c r="F925" t="s">
        <v>37</v>
      </c>
      <c r="G925" t="s">
        <v>24</v>
      </c>
      <c r="H925" t="s">
        <v>134</v>
      </c>
      <c r="I925" t="s">
        <v>1874</v>
      </c>
      <c r="J925">
        <v>9</v>
      </c>
      <c r="K925" s="2">
        <v>2740.77</v>
      </c>
      <c r="L925">
        <v>15</v>
      </c>
      <c r="M925" s="2">
        <v>20966.89</v>
      </c>
      <c r="N925" s="2">
        <v>12202.22</v>
      </c>
      <c r="O925" s="2">
        <v>8764.67</v>
      </c>
      <c r="P925" t="s">
        <v>41</v>
      </c>
      <c r="Q925" t="s">
        <v>49</v>
      </c>
      <c r="R925" t="str">
        <f>TEXT(Table1[[#This Row],[Order Date]],"mmmm")</f>
        <v>September</v>
      </c>
      <c r="S925">
        <f>YEAR(Table1[[#This Row],[Order Date]])</f>
        <v>2025</v>
      </c>
    </row>
    <row r="926" spans="1:19" x14ac:dyDescent="0.3">
      <c r="A926" t="s">
        <v>1875</v>
      </c>
      <c r="B926" s="1">
        <v>45696</v>
      </c>
      <c r="C926" t="s">
        <v>35</v>
      </c>
      <c r="D926" t="s">
        <v>36</v>
      </c>
      <c r="E926" t="s">
        <v>22</v>
      </c>
      <c r="F926" t="s">
        <v>23</v>
      </c>
      <c r="G926" t="s">
        <v>24</v>
      </c>
      <c r="H926" t="s">
        <v>25</v>
      </c>
      <c r="I926" t="s">
        <v>1876</v>
      </c>
      <c r="J926">
        <v>15</v>
      </c>
      <c r="K926" s="2">
        <v>1973.06</v>
      </c>
      <c r="L926">
        <v>5</v>
      </c>
      <c r="M926" s="2">
        <v>28116.1</v>
      </c>
      <c r="N926" s="2">
        <v>20038.3</v>
      </c>
      <c r="O926" s="2">
        <v>8077.8</v>
      </c>
      <c r="P926" t="s">
        <v>48</v>
      </c>
      <c r="Q926" t="s">
        <v>42</v>
      </c>
      <c r="R926" t="str">
        <f>TEXT(Table1[[#This Row],[Order Date]],"mmmm")</f>
        <v>February</v>
      </c>
      <c r="S926">
        <f>YEAR(Table1[[#This Row],[Order Date]])</f>
        <v>2025</v>
      </c>
    </row>
    <row r="927" spans="1:19" x14ac:dyDescent="0.3">
      <c r="A927" t="s">
        <v>1877</v>
      </c>
      <c r="B927" s="1">
        <v>45792</v>
      </c>
      <c r="C927" t="s">
        <v>20</v>
      </c>
      <c r="D927" t="s">
        <v>55</v>
      </c>
      <c r="E927" t="s">
        <v>44</v>
      </c>
      <c r="F927" t="s">
        <v>31</v>
      </c>
      <c r="G927" t="s">
        <v>45</v>
      </c>
      <c r="H927" t="s">
        <v>123</v>
      </c>
      <c r="I927" t="s">
        <v>1878</v>
      </c>
      <c r="J927">
        <v>12</v>
      </c>
      <c r="K927" s="2">
        <v>842.93</v>
      </c>
      <c r="L927">
        <v>10</v>
      </c>
      <c r="M927" s="2">
        <v>9103.64</v>
      </c>
      <c r="N927" s="2">
        <v>5138.47</v>
      </c>
      <c r="O927" s="2">
        <v>3965.17</v>
      </c>
      <c r="P927" t="s">
        <v>27</v>
      </c>
      <c r="Q927" t="s">
        <v>42</v>
      </c>
      <c r="R927" t="str">
        <f>TEXT(Table1[[#This Row],[Order Date]],"mmmm")</f>
        <v>May</v>
      </c>
      <c r="S927">
        <f>YEAR(Table1[[#This Row],[Order Date]])</f>
        <v>2025</v>
      </c>
    </row>
    <row r="928" spans="1:19" x14ac:dyDescent="0.3">
      <c r="A928" t="s">
        <v>1879</v>
      </c>
      <c r="B928" s="1">
        <v>45753</v>
      </c>
      <c r="C928" t="s">
        <v>86</v>
      </c>
      <c r="D928" t="s">
        <v>90</v>
      </c>
      <c r="E928" t="s">
        <v>170</v>
      </c>
      <c r="F928" t="s">
        <v>31</v>
      </c>
      <c r="G928" t="s">
        <v>24</v>
      </c>
      <c r="H928" t="s">
        <v>32</v>
      </c>
      <c r="I928" t="s">
        <v>1880</v>
      </c>
      <c r="J928">
        <v>6</v>
      </c>
      <c r="K928" s="2">
        <v>4151.76</v>
      </c>
      <c r="L928">
        <v>20</v>
      </c>
      <c r="M928" s="2">
        <v>19928.45</v>
      </c>
      <c r="N928" s="2">
        <v>13855.08</v>
      </c>
      <c r="O928" s="2">
        <v>6073.37</v>
      </c>
      <c r="P928" t="s">
        <v>41</v>
      </c>
      <c r="Q928" t="s">
        <v>28</v>
      </c>
      <c r="R928" t="str">
        <f>TEXT(Table1[[#This Row],[Order Date]],"mmmm")</f>
        <v>April</v>
      </c>
      <c r="S928">
        <f>YEAR(Table1[[#This Row],[Order Date]])</f>
        <v>2025</v>
      </c>
    </row>
    <row r="929" spans="1:19" x14ac:dyDescent="0.3">
      <c r="A929" t="s">
        <v>1881</v>
      </c>
      <c r="B929" s="1">
        <v>46170</v>
      </c>
      <c r="C929" t="s">
        <v>35</v>
      </c>
      <c r="D929" t="s">
        <v>36</v>
      </c>
      <c r="E929" t="s">
        <v>44</v>
      </c>
      <c r="F929" t="s">
        <v>31</v>
      </c>
      <c r="G929" t="s">
        <v>24</v>
      </c>
      <c r="H929" t="s">
        <v>134</v>
      </c>
      <c r="I929" t="s">
        <v>1882</v>
      </c>
      <c r="J929">
        <v>5</v>
      </c>
      <c r="K929" s="2">
        <v>548.79999999999995</v>
      </c>
      <c r="L929">
        <v>0</v>
      </c>
      <c r="M929" s="2">
        <v>2744</v>
      </c>
      <c r="N929" s="2">
        <v>2231.46</v>
      </c>
      <c r="O929" s="2">
        <v>512.54</v>
      </c>
      <c r="P929" t="s">
        <v>41</v>
      </c>
      <c r="Q929" t="s">
        <v>28</v>
      </c>
      <c r="R929" t="str">
        <f>TEXT(Table1[[#This Row],[Order Date]],"mmmm")</f>
        <v>May</v>
      </c>
      <c r="S929">
        <f>YEAR(Table1[[#This Row],[Order Date]])</f>
        <v>2026</v>
      </c>
    </row>
    <row r="930" spans="1:19" x14ac:dyDescent="0.3">
      <c r="A930" t="s">
        <v>1883</v>
      </c>
      <c r="B930" s="1">
        <v>45669</v>
      </c>
      <c r="C930" t="s">
        <v>86</v>
      </c>
      <c r="D930" t="s">
        <v>87</v>
      </c>
      <c r="E930" t="s">
        <v>30</v>
      </c>
      <c r="F930" t="s">
        <v>23</v>
      </c>
      <c r="G930" t="s">
        <v>38</v>
      </c>
      <c r="H930" t="s">
        <v>39</v>
      </c>
      <c r="I930" t="s">
        <v>1884</v>
      </c>
      <c r="J930">
        <v>10</v>
      </c>
      <c r="K930" s="2">
        <v>2459.0300000000002</v>
      </c>
      <c r="L930">
        <v>15</v>
      </c>
      <c r="M930" s="2">
        <v>20901.759999999998</v>
      </c>
      <c r="N930" s="2">
        <v>13318.21</v>
      </c>
      <c r="O930" s="2">
        <v>7583.55</v>
      </c>
      <c r="P930" t="s">
        <v>41</v>
      </c>
      <c r="Q930" t="s">
        <v>49</v>
      </c>
      <c r="R930" t="str">
        <f>TEXT(Table1[[#This Row],[Order Date]],"mmmm")</f>
        <v>January</v>
      </c>
      <c r="S930">
        <f>YEAR(Table1[[#This Row],[Order Date]])</f>
        <v>2025</v>
      </c>
    </row>
    <row r="931" spans="1:19" x14ac:dyDescent="0.3">
      <c r="A931" t="s">
        <v>1885</v>
      </c>
      <c r="B931" s="1">
        <v>45802</v>
      </c>
      <c r="C931" t="s">
        <v>86</v>
      </c>
      <c r="D931" t="s">
        <v>90</v>
      </c>
      <c r="E931" t="s">
        <v>113</v>
      </c>
      <c r="F931" t="s">
        <v>23</v>
      </c>
      <c r="G931" t="s">
        <v>24</v>
      </c>
      <c r="H931" t="s">
        <v>56</v>
      </c>
      <c r="I931" t="s">
        <v>1886</v>
      </c>
      <c r="J931">
        <v>1</v>
      </c>
      <c r="K931" s="2">
        <v>4479.53</v>
      </c>
      <c r="L931">
        <v>0</v>
      </c>
      <c r="M931" s="2">
        <v>4479.53</v>
      </c>
      <c r="N931" s="2">
        <v>2811.93</v>
      </c>
      <c r="O931" s="2">
        <v>1667.6</v>
      </c>
      <c r="P931" t="s">
        <v>27</v>
      </c>
      <c r="Q931" t="s">
        <v>42</v>
      </c>
      <c r="R931" t="str">
        <f>TEXT(Table1[[#This Row],[Order Date]],"mmmm")</f>
        <v>May</v>
      </c>
      <c r="S931">
        <f>YEAR(Table1[[#This Row],[Order Date]])</f>
        <v>2025</v>
      </c>
    </row>
    <row r="932" spans="1:19" x14ac:dyDescent="0.3">
      <c r="A932" t="s">
        <v>1887</v>
      </c>
      <c r="B932" s="1">
        <v>45808</v>
      </c>
      <c r="C932" t="s">
        <v>20</v>
      </c>
      <c r="D932" t="s">
        <v>21</v>
      </c>
      <c r="E932" t="s">
        <v>113</v>
      </c>
      <c r="F932" t="s">
        <v>31</v>
      </c>
      <c r="G932" t="s">
        <v>38</v>
      </c>
      <c r="H932" t="s">
        <v>72</v>
      </c>
      <c r="I932" t="s">
        <v>1888</v>
      </c>
      <c r="J932">
        <v>7</v>
      </c>
      <c r="K932" s="2">
        <v>3281.06</v>
      </c>
      <c r="L932">
        <v>15</v>
      </c>
      <c r="M932" s="2">
        <v>19522.310000000001</v>
      </c>
      <c r="N932" s="2">
        <v>15319.07</v>
      </c>
      <c r="O932" s="2">
        <v>4203.24</v>
      </c>
      <c r="P932" t="s">
        <v>48</v>
      </c>
      <c r="Q932" t="s">
        <v>61</v>
      </c>
      <c r="R932" t="str">
        <f>TEXT(Table1[[#This Row],[Order Date]],"mmmm")</f>
        <v>May</v>
      </c>
      <c r="S932">
        <f>YEAR(Table1[[#This Row],[Order Date]])</f>
        <v>2025</v>
      </c>
    </row>
    <row r="933" spans="1:19" x14ac:dyDescent="0.3">
      <c r="A933" t="s">
        <v>1889</v>
      </c>
      <c r="B933" s="1">
        <v>45783</v>
      </c>
      <c r="C933" t="s">
        <v>86</v>
      </c>
      <c r="D933" t="s">
        <v>90</v>
      </c>
      <c r="E933" t="s">
        <v>170</v>
      </c>
      <c r="F933" t="s">
        <v>37</v>
      </c>
      <c r="G933" t="s">
        <v>45</v>
      </c>
      <c r="H933" t="s">
        <v>67</v>
      </c>
      <c r="I933" t="s">
        <v>1890</v>
      </c>
      <c r="J933">
        <v>10</v>
      </c>
      <c r="K933" s="2">
        <v>3381.93</v>
      </c>
      <c r="L933">
        <v>10</v>
      </c>
      <c r="M933" s="2">
        <v>30437.37</v>
      </c>
      <c r="N933" s="2">
        <v>21717.99</v>
      </c>
      <c r="O933" s="2">
        <v>8719.3799999999992</v>
      </c>
      <c r="P933" t="s">
        <v>27</v>
      </c>
      <c r="Q933" t="s">
        <v>42</v>
      </c>
      <c r="R933" t="str">
        <f>TEXT(Table1[[#This Row],[Order Date]],"mmmm")</f>
        <v>May</v>
      </c>
      <c r="S933">
        <f>YEAR(Table1[[#This Row],[Order Date]])</f>
        <v>2025</v>
      </c>
    </row>
    <row r="934" spans="1:19" x14ac:dyDescent="0.3">
      <c r="A934" t="s">
        <v>1891</v>
      </c>
      <c r="B934" s="1">
        <v>45736</v>
      </c>
      <c r="C934" t="s">
        <v>70</v>
      </c>
      <c r="D934" t="s">
        <v>75</v>
      </c>
      <c r="E934" t="s">
        <v>51</v>
      </c>
      <c r="F934" t="s">
        <v>31</v>
      </c>
      <c r="G934" t="s">
        <v>38</v>
      </c>
      <c r="H934" t="s">
        <v>72</v>
      </c>
      <c r="I934" t="s">
        <v>1892</v>
      </c>
      <c r="J934">
        <v>8</v>
      </c>
      <c r="K934" s="2">
        <v>3970.71</v>
      </c>
      <c r="L934">
        <v>5</v>
      </c>
      <c r="M934" s="2">
        <v>30177.4</v>
      </c>
      <c r="N934" s="2">
        <v>21810.6</v>
      </c>
      <c r="O934" s="2">
        <v>8366.7999999999993</v>
      </c>
      <c r="P934" t="s">
        <v>27</v>
      </c>
      <c r="Q934" t="s">
        <v>42</v>
      </c>
      <c r="R934" t="str">
        <f>TEXT(Table1[[#This Row],[Order Date]],"mmmm")</f>
        <v>March</v>
      </c>
      <c r="S934">
        <f>YEAR(Table1[[#This Row],[Order Date]])</f>
        <v>2025</v>
      </c>
    </row>
    <row r="935" spans="1:19" x14ac:dyDescent="0.3">
      <c r="A935" t="s">
        <v>1893</v>
      </c>
      <c r="B935" s="1">
        <v>45695</v>
      </c>
      <c r="C935" t="s">
        <v>70</v>
      </c>
      <c r="D935" t="s">
        <v>71</v>
      </c>
      <c r="E935" t="s">
        <v>44</v>
      </c>
      <c r="F935" t="s">
        <v>31</v>
      </c>
      <c r="G935" t="s">
        <v>45</v>
      </c>
      <c r="H935" t="s">
        <v>67</v>
      </c>
      <c r="I935" t="s">
        <v>1894</v>
      </c>
      <c r="J935">
        <v>9</v>
      </c>
      <c r="K935" s="2">
        <v>4969.42</v>
      </c>
      <c r="L935">
        <v>20</v>
      </c>
      <c r="M935" s="2">
        <v>35779.82</v>
      </c>
      <c r="N935" s="2">
        <v>24015.11</v>
      </c>
      <c r="O935" s="2">
        <v>11764.71</v>
      </c>
      <c r="P935" t="s">
        <v>41</v>
      </c>
      <c r="Q935" t="s">
        <v>61</v>
      </c>
      <c r="R935" t="str">
        <f>TEXT(Table1[[#This Row],[Order Date]],"mmmm")</f>
        <v>February</v>
      </c>
      <c r="S935">
        <f>YEAR(Table1[[#This Row],[Order Date]])</f>
        <v>2025</v>
      </c>
    </row>
    <row r="936" spans="1:19" x14ac:dyDescent="0.3">
      <c r="A936" t="s">
        <v>1895</v>
      </c>
      <c r="B936" s="1">
        <v>46078</v>
      </c>
      <c r="C936" t="s">
        <v>20</v>
      </c>
      <c r="D936" t="s">
        <v>55</v>
      </c>
      <c r="E936" t="s">
        <v>44</v>
      </c>
      <c r="F936" t="s">
        <v>37</v>
      </c>
      <c r="G936" t="s">
        <v>38</v>
      </c>
      <c r="H936" t="s">
        <v>91</v>
      </c>
      <c r="I936" t="s">
        <v>1896</v>
      </c>
      <c r="J936">
        <v>8</v>
      </c>
      <c r="K936" s="2">
        <v>1080.8900000000001</v>
      </c>
      <c r="L936">
        <v>5</v>
      </c>
      <c r="M936" s="2">
        <v>8214.76</v>
      </c>
      <c r="N936" s="2">
        <v>6449.48</v>
      </c>
      <c r="O936" s="2">
        <v>1765.28</v>
      </c>
      <c r="P936" t="s">
        <v>48</v>
      </c>
      <c r="Q936" t="s">
        <v>49</v>
      </c>
      <c r="R936" t="str">
        <f>TEXT(Table1[[#This Row],[Order Date]],"mmmm")</f>
        <v>February</v>
      </c>
      <c r="S936">
        <f>YEAR(Table1[[#This Row],[Order Date]])</f>
        <v>2026</v>
      </c>
    </row>
    <row r="937" spans="1:19" x14ac:dyDescent="0.3">
      <c r="A937" t="s">
        <v>1897</v>
      </c>
      <c r="B937" s="1">
        <v>46136</v>
      </c>
      <c r="C937" t="s">
        <v>20</v>
      </c>
      <c r="D937" t="s">
        <v>55</v>
      </c>
      <c r="E937" t="s">
        <v>44</v>
      </c>
      <c r="F937" t="s">
        <v>31</v>
      </c>
      <c r="G937" t="s">
        <v>45</v>
      </c>
      <c r="H937" t="s">
        <v>67</v>
      </c>
      <c r="I937" t="s">
        <v>1898</v>
      </c>
      <c r="J937">
        <v>7</v>
      </c>
      <c r="K937" s="2">
        <v>1571.19</v>
      </c>
      <c r="L937">
        <v>10</v>
      </c>
      <c r="M937" s="2">
        <v>9898.5</v>
      </c>
      <c r="N937" s="2">
        <v>5548.24</v>
      </c>
      <c r="O937" s="2">
        <v>4350.26</v>
      </c>
      <c r="P937" t="s">
        <v>48</v>
      </c>
      <c r="Q937" t="s">
        <v>49</v>
      </c>
      <c r="R937" t="str">
        <f>TEXT(Table1[[#This Row],[Order Date]],"mmmm")</f>
        <v>April</v>
      </c>
      <c r="S937">
        <f>YEAR(Table1[[#This Row],[Order Date]])</f>
        <v>2026</v>
      </c>
    </row>
    <row r="938" spans="1:19" x14ac:dyDescent="0.3">
      <c r="A938" t="s">
        <v>1899</v>
      </c>
      <c r="B938" s="1">
        <v>46007</v>
      </c>
      <c r="C938" t="s">
        <v>35</v>
      </c>
      <c r="D938" t="s">
        <v>36</v>
      </c>
      <c r="E938" t="s">
        <v>51</v>
      </c>
      <c r="F938" t="s">
        <v>23</v>
      </c>
      <c r="G938" t="s">
        <v>38</v>
      </c>
      <c r="H938" t="s">
        <v>106</v>
      </c>
      <c r="I938" t="s">
        <v>1900</v>
      </c>
      <c r="J938">
        <v>2</v>
      </c>
      <c r="K938" s="2">
        <v>3300.22</v>
      </c>
      <c r="L938">
        <v>15</v>
      </c>
      <c r="M938" s="2">
        <v>5610.37</v>
      </c>
      <c r="N938" s="2">
        <v>4330.62</v>
      </c>
      <c r="O938" s="2">
        <v>1279.75</v>
      </c>
      <c r="P938" t="s">
        <v>27</v>
      </c>
      <c r="Q938" t="s">
        <v>42</v>
      </c>
      <c r="R938" t="str">
        <f>TEXT(Table1[[#This Row],[Order Date]],"mmmm")</f>
        <v>December</v>
      </c>
      <c r="S938">
        <f>YEAR(Table1[[#This Row],[Order Date]])</f>
        <v>2025</v>
      </c>
    </row>
    <row r="939" spans="1:19" x14ac:dyDescent="0.3">
      <c r="A939" t="s">
        <v>1901</v>
      </c>
      <c r="B939" s="1">
        <v>46103</v>
      </c>
      <c r="C939" t="s">
        <v>86</v>
      </c>
      <c r="D939" t="s">
        <v>87</v>
      </c>
      <c r="E939" t="s">
        <v>51</v>
      </c>
      <c r="F939" t="s">
        <v>31</v>
      </c>
      <c r="G939" t="s">
        <v>38</v>
      </c>
      <c r="H939" t="s">
        <v>72</v>
      </c>
      <c r="I939" t="s">
        <v>1902</v>
      </c>
      <c r="J939">
        <v>2</v>
      </c>
      <c r="K939" s="2">
        <v>1475.19</v>
      </c>
      <c r="L939">
        <v>0</v>
      </c>
      <c r="M939" s="2">
        <v>2950.38</v>
      </c>
      <c r="N939" s="2">
        <v>1947.64</v>
      </c>
      <c r="O939" s="2">
        <v>1002.74</v>
      </c>
      <c r="P939" t="s">
        <v>41</v>
      </c>
      <c r="Q939" t="s">
        <v>49</v>
      </c>
      <c r="R939" t="str">
        <f>TEXT(Table1[[#This Row],[Order Date]],"mmmm")</f>
        <v>March</v>
      </c>
      <c r="S939">
        <f>YEAR(Table1[[#This Row],[Order Date]])</f>
        <v>2026</v>
      </c>
    </row>
    <row r="940" spans="1:19" x14ac:dyDescent="0.3">
      <c r="A940" t="s">
        <v>1903</v>
      </c>
      <c r="B940" s="1">
        <v>46057</v>
      </c>
      <c r="C940" t="s">
        <v>86</v>
      </c>
      <c r="D940" t="s">
        <v>90</v>
      </c>
      <c r="E940" t="s">
        <v>30</v>
      </c>
      <c r="F940" t="s">
        <v>23</v>
      </c>
      <c r="G940" t="s">
        <v>38</v>
      </c>
      <c r="H940" t="s">
        <v>72</v>
      </c>
      <c r="I940" t="s">
        <v>1904</v>
      </c>
      <c r="J940">
        <v>10</v>
      </c>
      <c r="K940" s="2">
        <v>4074.51</v>
      </c>
      <c r="L940">
        <v>0</v>
      </c>
      <c r="M940" s="2">
        <v>40745.1</v>
      </c>
      <c r="N940" s="2">
        <v>27165.31</v>
      </c>
      <c r="O940" s="2">
        <v>13579.79</v>
      </c>
      <c r="P940" t="s">
        <v>48</v>
      </c>
      <c r="Q940" t="s">
        <v>61</v>
      </c>
      <c r="R940" t="str">
        <f>TEXT(Table1[[#This Row],[Order Date]],"mmmm")</f>
        <v>February</v>
      </c>
      <c r="S940">
        <f>YEAR(Table1[[#This Row],[Order Date]])</f>
        <v>2026</v>
      </c>
    </row>
    <row r="941" spans="1:19" x14ac:dyDescent="0.3">
      <c r="A941" t="s">
        <v>1905</v>
      </c>
      <c r="B941" s="1">
        <v>46203</v>
      </c>
      <c r="C941" t="s">
        <v>86</v>
      </c>
      <c r="D941" t="s">
        <v>87</v>
      </c>
      <c r="E941" t="s">
        <v>51</v>
      </c>
      <c r="F941" t="s">
        <v>23</v>
      </c>
      <c r="G941" t="s">
        <v>24</v>
      </c>
      <c r="H941" t="s">
        <v>134</v>
      </c>
      <c r="I941" t="s">
        <v>1906</v>
      </c>
      <c r="J941">
        <v>5</v>
      </c>
      <c r="K941" s="2">
        <v>3687.14</v>
      </c>
      <c r="L941">
        <v>15</v>
      </c>
      <c r="M941" s="2">
        <v>15670.34</v>
      </c>
      <c r="N941" s="2">
        <v>11704.8</v>
      </c>
      <c r="O941" s="2">
        <v>3965.54</v>
      </c>
      <c r="P941" t="s">
        <v>41</v>
      </c>
      <c r="Q941" t="s">
        <v>61</v>
      </c>
      <c r="R941" t="str">
        <f>TEXT(Table1[[#This Row],[Order Date]],"mmmm")</f>
        <v>June</v>
      </c>
      <c r="S941">
        <f>YEAR(Table1[[#This Row],[Order Date]])</f>
        <v>2026</v>
      </c>
    </row>
    <row r="942" spans="1:19" x14ac:dyDescent="0.3">
      <c r="A942" t="s">
        <v>1907</v>
      </c>
      <c r="B942" s="1">
        <v>45853</v>
      </c>
      <c r="C942" t="s">
        <v>70</v>
      </c>
      <c r="D942" t="s">
        <v>75</v>
      </c>
      <c r="E942" t="s">
        <v>44</v>
      </c>
      <c r="F942" t="s">
        <v>37</v>
      </c>
      <c r="G942" t="s">
        <v>24</v>
      </c>
      <c r="H942" t="s">
        <v>32</v>
      </c>
      <c r="I942" t="s">
        <v>485</v>
      </c>
      <c r="J942">
        <v>1</v>
      </c>
      <c r="K942" s="2">
        <v>2213.21</v>
      </c>
      <c r="L942">
        <v>10</v>
      </c>
      <c r="M942" s="2">
        <v>1991.89</v>
      </c>
      <c r="N942" s="2">
        <v>1557.72</v>
      </c>
      <c r="O942" s="2">
        <v>434.17</v>
      </c>
      <c r="P942" t="s">
        <v>41</v>
      </c>
      <c r="Q942" t="s">
        <v>28</v>
      </c>
      <c r="R942" t="str">
        <f>TEXT(Table1[[#This Row],[Order Date]],"mmmm")</f>
        <v>July</v>
      </c>
      <c r="S942">
        <f>YEAR(Table1[[#This Row],[Order Date]])</f>
        <v>2025</v>
      </c>
    </row>
    <row r="943" spans="1:19" x14ac:dyDescent="0.3">
      <c r="A943" t="s">
        <v>1908</v>
      </c>
      <c r="B943" s="1">
        <v>45931</v>
      </c>
      <c r="C943" t="s">
        <v>70</v>
      </c>
      <c r="D943" t="s">
        <v>71</v>
      </c>
      <c r="E943" t="s">
        <v>66</v>
      </c>
      <c r="F943" t="s">
        <v>31</v>
      </c>
      <c r="G943" t="s">
        <v>24</v>
      </c>
      <c r="H943" t="s">
        <v>56</v>
      </c>
      <c r="I943" t="s">
        <v>1909</v>
      </c>
      <c r="J943">
        <v>2</v>
      </c>
      <c r="K943" s="2">
        <v>946.46</v>
      </c>
      <c r="L943">
        <v>15</v>
      </c>
      <c r="M943" s="2">
        <v>1608.98</v>
      </c>
      <c r="N943" s="2">
        <v>1076.8800000000001</v>
      </c>
      <c r="O943" s="2">
        <v>532.1</v>
      </c>
      <c r="P943" t="s">
        <v>48</v>
      </c>
      <c r="Q943" t="s">
        <v>42</v>
      </c>
      <c r="R943" t="str">
        <f>TEXT(Table1[[#This Row],[Order Date]],"mmmm")</f>
        <v>October</v>
      </c>
      <c r="S943">
        <f>YEAR(Table1[[#This Row],[Order Date]])</f>
        <v>2025</v>
      </c>
    </row>
    <row r="944" spans="1:19" x14ac:dyDescent="0.3">
      <c r="A944" t="s">
        <v>1910</v>
      </c>
      <c r="B944" s="1">
        <v>46093</v>
      </c>
      <c r="C944" t="s">
        <v>70</v>
      </c>
      <c r="D944" t="s">
        <v>71</v>
      </c>
      <c r="E944" t="s">
        <v>30</v>
      </c>
      <c r="F944" t="s">
        <v>23</v>
      </c>
      <c r="G944" t="s">
        <v>45</v>
      </c>
      <c r="H944" t="s">
        <v>67</v>
      </c>
      <c r="I944" t="s">
        <v>1911</v>
      </c>
      <c r="J944">
        <v>13</v>
      </c>
      <c r="K944" s="2">
        <v>1619.36</v>
      </c>
      <c r="L944">
        <v>0</v>
      </c>
      <c r="M944" s="2">
        <v>21051.68</v>
      </c>
      <c r="N944" s="2">
        <v>14579.1</v>
      </c>
      <c r="O944" s="2">
        <v>6472.58</v>
      </c>
      <c r="P944" t="s">
        <v>41</v>
      </c>
      <c r="Q944" t="s">
        <v>49</v>
      </c>
      <c r="R944" t="str">
        <f>TEXT(Table1[[#This Row],[Order Date]],"mmmm")</f>
        <v>March</v>
      </c>
      <c r="S944">
        <f>YEAR(Table1[[#This Row],[Order Date]])</f>
        <v>2026</v>
      </c>
    </row>
    <row r="945" spans="1:19" x14ac:dyDescent="0.3">
      <c r="A945" t="s">
        <v>1912</v>
      </c>
      <c r="B945" s="1">
        <v>45761</v>
      </c>
      <c r="C945" t="s">
        <v>86</v>
      </c>
      <c r="D945" t="s">
        <v>87</v>
      </c>
      <c r="E945" t="s">
        <v>22</v>
      </c>
      <c r="F945" t="s">
        <v>23</v>
      </c>
      <c r="G945" t="s">
        <v>45</v>
      </c>
      <c r="H945" t="s">
        <v>52</v>
      </c>
      <c r="I945" t="s">
        <v>1913</v>
      </c>
      <c r="J945">
        <v>7</v>
      </c>
      <c r="K945" s="2">
        <v>2440.44</v>
      </c>
      <c r="L945">
        <v>0</v>
      </c>
      <c r="M945" s="2">
        <v>17083.080000000002</v>
      </c>
      <c r="N945" s="2">
        <v>13487.03</v>
      </c>
      <c r="O945" s="2">
        <v>3596.05</v>
      </c>
      <c r="P945" t="s">
        <v>27</v>
      </c>
      <c r="Q945" t="s">
        <v>61</v>
      </c>
      <c r="R945" t="str">
        <f>TEXT(Table1[[#This Row],[Order Date]],"mmmm")</f>
        <v>April</v>
      </c>
      <c r="S945">
        <f>YEAR(Table1[[#This Row],[Order Date]])</f>
        <v>2025</v>
      </c>
    </row>
    <row r="946" spans="1:19" x14ac:dyDescent="0.3">
      <c r="A946" t="s">
        <v>1914</v>
      </c>
      <c r="B946" s="1">
        <v>45855</v>
      </c>
      <c r="C946" t="s">
        <v>20</v>
      </c>
      <c r="D946" t="s">
        <v>55</v>
      </c>
      <c r="E946" t="s">
        <v>170</v>
      </c>
      <c r="F946" t="s">
        <v>23</v>
      </c>
      <c r="G946" t="s">
        <v>24</v>
      </c>
      <c r="H946" t="s">
        <v>56</v>
      </c>
      <c r="I946" t="s">
        <v>1915</v>
      </c>
      <c r="J946">
        <v>14</v>
      </c>
      <c r="K946" s="2">
        <v>2325.61</v>
      </c>
      <c r="L946">
        <v>0</v>
      </c>
      <c r="M946" s="2">
        <v>32558.54</v>
      </c>
      <c r="N946" s="2">
        <v>23539.38</v>
      </c>
      <c r="O946" s="2">
        <v>9019.16</v>
      </c>
      <c r="P946" t="s">
        <v>41</v>
      </c>
      <c r="Q946" t="s">
        <v>61</v>
      </c>
      <c r="R946" t="str">
        <f>TEXT(Table1[[#This Row],[Order Date]],"mmmm")</f>
        <v>July</v>
      </c>
      <c r="S946">
        <f>YEAR(Table1[[#This Row],[Order Date]])</f>
        <v>2025</v>
      </c>
    </row>
    <row r="947" spans="1:19" x14ac:dyDescent="0.3">
      <c r="A947" t="s">
        <v>1916</v>
      </c>
      <c r="B947" s="1">
        <v>45787</v>
      </c>
      <c r="C947" t="s">
        <v>20</v>
      </c>
      <c r="D947" t="s">
        <v>55</v>
      </c>
      <c r="E947" t="s">
        <v>113</v>
      </c>
      <c r="F947" t="s">
        <v>31</v>
      </c>
      <c r="G947" t="s">
        <v>45</v>
      </c>
      <c r="H947" t="s">
        <v>52</v>
      </c>
      <c r="I947" t="s">
        <v>1917</v>
      </c>
      <c r="J947">
        <v>10</v>
      </c>
      <c r="K947" s="2">
        <v>396.86</v>
      </c>
      <c r="L947">
        <v>5</v>
      </c>
      <c r="M947" s="2">
        <v>3770.17</v>
      </c>
      <c r="N947" s="2">
        <v>2528.06</v>
      </c>
      <c r="O947" s="2">
        <v>1242.1099999999999</v>
      </c>
      <c r="P947" t="s">
        <v>27</v>
      </c>
      <c r="Q947" t="s">
        <v>61</v>
      </c>
      <c r="R947" t="str">
        <f>TEXT(Table1[[#This Row],[Order Date]],"mmmm")</f>
        <v>May</v>
      </c>
      <c r="S947">
        <f>YEAR(Table1[[#This Row],[Order Date]])</f>
        <v>2025</v>
      </c>
    </row>
    <row r="948" spans="1:19" x14ac:dyDescent="0.3">
      <c r="A948" t="s">
        <v>1918</v>
      </c>
      <c r="B948" s="1">
        <v>45780</v>
      </c>
      <c r="C948" t="s">
        <v>70</v>
      </c>
      <c r="D948" t="s">
        <v>75</v>
      </c>
      <c r="E948" t="s">
        <v>30</v>
      </c>
      <c r="F948" t="s">
        <v>23</v>
      </c>
      <c r="G948" t="s">
        <v>45</v>
      </c>
      <c r="H948" t="s">
        <v>123</v>
      </c>
      <c r="I948" t="s">
        <v>1919</v>
      </c>
      <c r="J948">
        <v>13</v>
      </c>
      <c r="K948" s="2">
        <v>1624.24</v>
      </c>
      <c r="L948">
        <v>0</v>
      </c>
      <c r="M948" s="2">
        <v>21115.119999999999</v>
      </c>
      <c r="N948" s="2">
        <v>15670.66</v>
      </c>
      <c r="O948" s="2">
        <v>5444.46</v>
      </c>
      <c r="P948" t="s">
        <v>27</v>
      </c>
      <c r="Q948" t="s">
        <v>61</v>
      </c>
      <c r="R948" t="str">
        <f>TEXT(Table1[[#This Row],[Order Date]],"mmmm")</f>
        <v>May</v>
      </c>
      <c r="S948">
        <f>YEAR(Table1[[#This Row],[Order Date]])</f>
        <v>2025</v>
      </c>
    </row>
    <row r="949" spans="1:19" x14ac:dyDescent="0.3">
      <c r="A949" t="s">
        <v>1920</v>
      </c>
      <c r="B949" s="1">
        <v>45663</v>
      </c>
      <c r="C949" t="s">
        <v>70</v>
      </c>
      <c r="D949" t="s">
        <v>75</v>
      </c>
      <c r="E949" t="s">
        <v>66</v>
      </c>
      <c r="F949" t="s">
        <v>23</v>
      </c>
      <c r="G949" t="s">
        <v>38</v>
      </c>
      <c r="H949" t="s">
        <v>91</v>
      </c>
      <c r="I949" t="s">
        <v>1921</v>
      </c>
      <c r="J949">
        <v>8</v>
      </c>
      <c r="K949" s="2">
        <v>3419.3</v>
      </c>
      <c r="L949">
        <v>20</v>
      </c>
      <c r="M949" s="2">
        <v>21883.52</v>
      </c>
      <c r="N949" s="2">
        <v>15559.3</v>
      </c>
      <c r="O949" s="2">
        <v>6324.22</v>
      </c>
      <c r="P949" t="s">
        <v>48</v>
      </c>
      <c r="Q949" t="s">
        <v>61</v>
      </c>
      <c r="R949" t="str">
        <f>TEXT(Table1[[#This Row],[Order Date]],"mmmm")</f>
        <v>January</v>
      </c>
      <c r="S949">
        <f>YEAR(Table1[[#This Row],[Order Date]])</f>
        <v>2025</v>
      </c>
    </row>
    <row r="950" spans="1:19" x14ac:dyDescent="0.3">
      <c r="A950" t="s">
        <v>1922</v>
      </c>
      <c r="B950" s="1">
        <v>45839</v>
      </c>
      <c r="C950" t="s">
        <v>20</v>
      </c>
      <c r="D950" t="s">
        <v>55</v>
      </c>
      <c r="E950" t="s">
        <v>170</v>
      </c>
      <c r="F950" t="s">
        <v>31</v>
      </c>
      <c r="G950" t="s">
        <v>24</v>
      </c>
      <c r="H950" t="s">
        <v>56</v>
      </c>
      <c r="I950" t="s">
        <v>1923</v>
      </c>
      <c r="J950">
        <v>12</v>
      </c>
      <c r="K950" s="2">
        <v>3021.86</v>
      </c>
      <c r="L950">
        <v>20</v>
      </c>
      <c r="M950" s="2">
        <v>29009.86</v>
      </c>
      <c r="N950" s="2">
        <v>23734.45</v>
      </c>
      <c r="O950" s="2">
        <v>5275.41</v>
      </c>
      <c r="P950" t="s">
        <v>48</v>
      </c>
      <c r="Q950" t="s">
        <v>28</v>
      </c>
      <c r="R950" t="str">
        <f>TEXT(Table1[[#This Row],[Order Date]],"mmmm")</f>
        <v>July</v>
      </c>
      <c r="S950">
        <f>YEAR(Table1[[#This Row],[Order Date]])</f>
        <v>2025</v>
      </c>
    </row>
    <row r="951" spans="1:19" x14ac:dyDescent="0.3">
      <c r="A951" t="s">
        <v>1924</v>
      </c>
      <c r="B951" s="1">
        <v>46202</v>
      </c>
      <c r="C951" t="s">
        <v>86</v>
      </c>
      <c r="D951" t="s">
        <v>87</v>
      </c>
      <c r="E951" t="s">
        <v>120</v>
      </c>
      <c r="F951" t="s">
        <v>23</v>
      </c>
      <c r="G951" t="s">
        <v>38</v>
      </c>
      <c r="H951" t="s">
        <v>39</v>
      </c>
      <c r="I951" t="s">
        <v>1925</v>
      </c>
      <c r="J951">
        <v>14</v>
      </c>
      <c r="K951" s="2">
        <v>817.64</v>
      </c>
      <c r="L951">
        <v>5</v>
      </c>
      <c r="M951" s="2">
        <v>10874.61</v>
      </c>
      <c r="N951" s="2">
        <v>6718.25</v>
      </c>
      <c r="O951" s="2">
        <v>4156.3599999999997</v>
      </c>
      <c r="P951" t="s">
        <v>27</v>
      </c>
      <c r="Q951" t="s">
        <v>28</v>
      </c>
      <c r="R951" t="str">
        <f>TEXT(Table1[[#This Row],[Order Date]],"mmmm")</f>
        <v>June</v>
      </c>
      <c r="S951">
        <f>YEAR(Table1[[#This Row],[Order Date]])</f>
        <v>2026</v>
      </c>
    </row>
    <row r="952" spans="1:19" x14ac:dyDescent="0.3">
      <c r="A952" t="s">
        <v>1926</v>
      </c>
      <c r="B952" s="1">
        <v>46035</v>
      </c>
      <c r="C952" t="s">
        <v>70</v>
      </c>
      <c r="D952" t="s">
        <v>71</v>
      </c>
      <c r="E952" t="s">
        <v>120</v>
      </c>
      <c r="F952" t="s">
        <v>23</v>
      </c>
      <c r="G952" t="s">
        <v>38</v>
      </c>
      <c r="H952" t="s">
        <v>106</v>
      </c>
      <c r="I952" t="s">
        <v>1927</v>
      </c>
      <c r="J952">
        <v>9</v>
      </c>
      <c r="K952" s="2">
        <v>2607.2399999999998</v>
      </c>
      <c r="L952">
        <v>20</v>
      </c>
      <c r="M952" s="2">
        <v>18772.13</v>
      </c>
      <c r="N952" s="2">
        <v>12446.7</v>
      </c>
      <c r="O952" s="2">
        <v>6325.43</v>
      </c>
      <c r="P952" t="s">
        <v>48</v>
      </c>
      <c r="Q952" t="s">
        <v>42</v>
      </c>
      <c r="R952" t="str">
        <f>TEXT(Table1[[#This Row],[Order Date]],"mmmm")</f>
        <v>January</v>
      </c>
      <c r="S952">
        <f>YEAR(Table1[[#This Row],[Order Date]])</f>
        <v>2026</v>
      </c>
    </row>
    <row r="953" spans="1:19" x14ac:dyDescent="0.3">
      <c r="A953" t="s">
        <v>1928</v>
      </c>
      <c r="B953" s="1">
        <v>45816</v>
      </c>
      <c r="C953" t="s">
        <v>35</v>
      </c>
      <c r="D953" t="s">
        <v>36</v>
      </c>
      <c r="E953" t="s">
        <v>44</v>
      </c>
      <c r="F953" t="s">
        <v>23</v>
      </c>
      <c r="G953" t="s">
        <v>38</v>
      </c>
      <c r="H953" t="s">
        <v>72</v>
      </c>
      <c r="I953" t="s">
        <v>1929</v>
      </c>
      <c r="J953">
        <v>2</v>
      </c>
      <c r="K953" s="2">
        <v>4572.71</v>
      </c>
      <c r="L953">
        <v>15</v>
      </c>
      <c r="M953" s="2">
        <v>7773.61</v>
      </c>
      <c r="N953" s="2">
        <v>6083.77</v>
      </c>
      <c r="O953" s="2">
        <v>1689.84</v>
      </c>
      <c r="P953" t="s">
        <v>41</v>
      </c>
      <c r="Q953" t="s">
        <v>49</v>
      </c>
      <c r="R953" t="str">
        <f>TEXT(Table1[[#This Row],[Order Date]],"mmmm")</f>
        <v>June</v>
      </c>
      <c r="S953">
        <f>YEAR(Table1[[#This Row],[Order Date]])</f>
        <v>2025</v>
      </c>
    </row>
    <row r="954" spans="1:19" x14ac:dyDescent="0.3">
      <c r="A954" t="s">
        <v>1930</v>
      </c>
      <c r="B954" s="1">
        <v>45662</v>
      </c>
      <c r="C954" t="s">
        <v>86</v>
      </c>
      <c r="D954" t="s">
        <v>90</v>
      </c>
      <c r="E954" t="s">
        <v>66</v>
      </c>
      <c r="F954" t="s">
        <v>37</v>
      </c>
      <c r="G954" t="s">
        <v>38</v>
      </c>
      <c r="H954" t="s">
        <v>106</v>
      </c>
      <c r="I954" t="s">
        <v>1931</v>
      </c>
      <c r="J954">
        <v>2</v>
      </c>
      <c r="K954" s="2">
        <v>1373.46</v>
      </c>
      <c r="L954">
        <v>15</v>
      </c>
      <c r="M954" s="2">
        <v>2334.88</v>
      </c>
      <c r="N954" s="2">
        <v>1887.61</v>
      </c>
      <c r="O954" s="2">
        <v>447.27</v>
      </c>
      <c r="P954" t="s">
        <v>48</v>
      </c>
      <c r="Q954" t="s">
        <v>42</v>
      </c>
      <c r="R954" t="str">
        <f>TEXT(Table1[[#This Row],[Order Date]],"mmmm")</f>
        <v>January</v>
      </c>
      <c r="S954">
        <f>YEAR(Table1[[#This Row],[Order Date]])</f>
        <v>2025</v>
      </c>
    </row>
    <row r="955" spans="1:19" x14ac:dyDescent="0.3">
      <c r="A955" t="s">
        <v>1932</v>
      </c>
      <c r="B955" s="1">
        <v>45980</v>
      </c>
      <c r="C955" t="s">
        <v>86</v>
      </c>
      <c r="D955" t="s">
        <v>87</v>
      </c>
      <c r="E955" t="s">
        <v>66</v>
      </c>
      <c r="F955" t="s">
        <v>31</v>
      </c>
      <c r="G955" t="s">
        <v>38</v>
      </c>
      <c r="H955" t="s">
        <v>63</v>
      </c>
      <c r="I955" t="s">
        <v>1933</v>
      </c>
      <c r="J955">
        <v>2</v>
      </c>
      <c r="K955" s="2">
        <v>3636.42</v>
      </c>
      <c r="L955">
        <v>15</v>
      </c>
      <c r="M955" s="2">
        <v>6181.91</v>
      </c>
      <c r="N955" s="2">
        <v>3855.1</v>
      </c>
      <c r="O955" s="2">
        <v>2326.81</v>
      </c>
      <c r="P955" t="s">
        <v>27</v>
      </c>
      <c r="Q955" t="s">
        <v>28</v>
      </c>
      <c r="R955" t="str">
        <f>TEXT(Table1[[#This Row],[Order Date]],"mmmm")</f>
        <v>November</v>
      </c>
      <c r="S955">
        <f>YEAR(Table1[[#This Row],[Order Date]])</f>
        <v>2025</v>
      </c>
    </row>
    <row r="956" spans="1:19" x14ac:dyDescent="0.3">
      <c r="A956" t="s">
        <v>1934</v>
      </c>
      <c r="B956" s="1">
        <v>46032</v>
      </c>
      <c r="C956" t="s">
        <v>35</v>
      </c>
      <c r="D956" t="s">
        <v>59</v>
      </c>
      <c r="E956" t="s">
        <v>22</v>
      </c>
      <c r="F956" t="s">
        <v>31</v>
      </c>
      <c r="G956" t="s">
        <v>45</v>
      </c>
      <c r="H956" t="s">
        <v>123</v>
      </c>
      <c r="I956" t="s">
        <v>1935</v>
      </c>
      <c r="J956">
        <v>10</v>
      </c>
      <c r="K956" s="2">
        <v>2228.86</v>
      </c>
      <c r="L956">
        <v>0</v>
      </c>
      <c r="M956" s="2">
        <v>22288.6</v>
      </c>
      <c r="N956" s="2">
        <v>17699.29</v>
      </c>
      <c r="O956" s="2">
        <v>4589.3100000000004</v>
      </c>
      <c r="P956" t="s">
        <v>48</v>
      </c>
      <c r="Q956" t="s">
        <v>49</v>
      </c>
      <c r="R956" t="str">
        <f>TEXT(Table1[[#This Row],[Order Date]],"mmmm")</f>
        <v>January</v>
      </c>
      <c r="S956">
        <f>YEAR(Table1[[#This Row],[Order Date]])</f>
        <v>2026</v>
      </c>
    </row>
    <row r="957" spans="1:19" x14ac:dyDescent="0.3">
      <c r="A957" t="s">
        <v>1936</v>
      </c>
      <c r="B957" s="1">
        <v>45728</v>
      </c>
      <c r="C957" t="s">
        <v>70</v>
      </c>
      <c r="D957" t="s">
        <v>75</v>
      </c>
      <c r="E957" t="s">
        <v>66</v>
      </c>
      <c r="F957" t="s">
        <v>31</v>
      </c>
      <c r="G957" t="s">
        <v>45</v>
      </c>
      <c r="H957" t="s">
        <v>159</v>
      </c>
      <c r="I957" t="s">
        <v>1937</v>
      </c>
      <c r="J957">
        <v>8</v>
      </c>
      <c r="K957" s="2">
        <v>1001.84</v>
      </c>
      <c r="L957">
        <v>0</v>
      </c>
      <c r="M957" s="2">
        <v>8014.72</v>
      </c>
      <c r="N957" s="2">
        <v>6153.26</v>
      </c>
      <c r="O957" s="2">
        <v>1861.46</v>
      </c>
      <c r="P957" t="s">
        <v>48</v>
      </c>
      <c r="Q957" t="s">
        <v>49</v>
      </c>
      <c r="R957" t="str">
        <f>TEXT(Table1[[#This Row],[Order Date]],"mmmm")</f>
        <v>March</v>
      </c>
      <c r="S957">
        <f>YEAR(Table1[[#This Row],[Order Date]])</f>
        <v>2025</v>
      </c>
    </row>
    <row r="958" spans="1:19" x14ac:dyDescent="0.3">
      <c r="A958" t="s">
        <v>1938</v>
      </c>
      <c r="B958" s="1">
        <v>46186</v>
      </c>
      <c r="C958" t="s">
        <v>20</v>
      </c>
      <c r="D958" t="s">
        <v>55</v>
      </c>
      <c r="E958" t="s">
        <v>120</v>
      </c>
      <c r="F958" t="s">
        <v>31</v>
      </c>
      <c r="G958" t="s">
        <v>45</v>
      </c>
      <c r="H958" t="s">
        <v>52</v>
      </c>
      <c r="I958" t="s">
        <v>1939</v>
      </c>
      <c r="J958">
        <v>4</v>
      </c>
      <c r="K958" s="2">
        <v>2721.28</v>
      </c>
      <c r="L958">
        <v>15</v>
      </c>
      <c r="M958" s="2">
        <v>9252.35</v>
      </c>
      <c r="N958" s="2">
        <v>5796.58</v>
      </c>
      <c r="O958" s="2">
        <v>3455.77</v>
      </c>
      <c r="P958" t="s">
        <v>48</v>
      </c>
      <c r="Q958" t="s">
        <v>49</v>
      </c>
      <c r="R958" t="str">
        <f>TEXT(Table1[[#This Row],[Order Date]],"mmmm")</f>
        <v>June</v>
      </c>
      <c r="S958">
        <f>YEAR(Table1[[#This Row],[Order Date]])</f>
        <v>2026</v>
      </c>
    </row>
    <row r="959" spans="1:19" x14ac:dyDescent="0.3">
      <c r="A959" t="s">
        <v>1940</v>
      </c>
      <c r="B959" s="1">
        <v>46111</v>
      </c>
      <c r="C959" t="s">
        <v>35</v>
      </c>
      <c r="D959" t="s">
        <v>59</v>
      </c>
      <c r="E959" t="s">
        <v>51</v>
      </c>
      <c r="F959" t="s">
        <v>23</v>
      </c>
      <c r="G959" t="s">
        <v>38</v>
      </c>
      <c r="H959" t="s">
        <v>72</v>
      </c>
      <c r="I959" t="s">
        <v>456</v>
      </c>
      <c r="J959">
        <v>9</v>
      </c>
      <c r="K959" s="2">
        <v>4965.1000000000004</v>
      </c>
      <c r="L959">
        <v>15</v>
      </c>
      <c r="M959" s="2">
        <v>37983.01</v>
      </c>
      <c r="N959" s="2">
        <v>25346.799999999999</v>
      </c>
      <c r="O959" s="2">
        <v>12636.21</v>
      </c>
      <c r="P959" t="s">
        <v>41</v>
      </c>
      <c r="Q959" t="s">
        <v>49</v>
      </c>
      <c r="R959" t="str">
        <f>TEXT(Table1[[#This Row],[Order Date]],"mmmm")</f>
        <v>March</v>
      </c>
      <c r="S959">
        <f>YEAR(Table1[[#This Row],[Order Date]])</f>
        <v>2026</v>
      </c>
    </row>
    <row r="960" spans="1:19" x14ac:dyDescent="0.3">
      <c r="A960" t="s">
        <v>1941</v>
      </c>
      <c r="B960" s="1">
        <v>45900</v>
      </c>
      <c r="C960" t="s">
        <v>35</v>
      </c>
      <c r="D960" t="s">
        <v>36</v>
      </c>
      <c r="E960" t="s">
        <v>66</v>
      </c>
      <c r="F960" t="s">
        <v>23</v>
      </c>
      <c r="G960" t="s">
        <v>38</v>
      </c>
      <c r="H960" t="s">
        <v>39</v>
      </c>
      <c r="I960" t="s">
        <v>1942</v>
      </c>
      <c r="J960">
        <v>14</v>
      </c>
      <c r="K960" s="2">
        <v>4771.1099999999997</v>
      </c>
      <c r="L960">
        <v>10</v>
      </c>
      <c r="M960" s="2">
        <v>60115.99</v>
      </c>
      <c r="N960" s="2">
        <v>36115.29</v>
      </c>
      <c r="O960" s="2">
        <v>24000.7</v>
      </c>
      <c r="P960" t="s">
        <v>41</v>
      </c>
      <c r="Q960" t="s">
        <v>49</v>
      </c>
      <c r="R960" t="str">
        <f>TEXT(Table1[[#This Row],[Order Date]],"mmmm")</f>
        <v>August</v>
      </c>
      <c r="S960">
        <f>YEAR(Table1[[#This Row],[Order Date]])</f>
        <v>2025</v>
      </c>
    </row>
    <row r="961" spans="1:19" x14ac:dyDescent="0.3">
      <c r="A961" t="s">
        <v>1943</v>
      </c>
      <c r="B961" s="1">
        <v>45855</v>
      </c>
      <c r="C961" t="s">
        <v>70</v>
      </c>
      <c r="D961" t="s">
        <v>71</v>
      </c>
      <c r="E961" t="s">
        <v>44</v>
      </c>
      <c r="F961" t="s">
        <v>31</v>
      </c>
      <c r="G961" t="s">
        <v>24</v>
      </c>
      <c r="H961" t="s">
        <v>134</v>
      </c>
      <c r="I961" t="s">
        <v>1944</v>
      </c>
      <c r="J961">
        <v>8</v>
      </c>
      <c r="K961" s="2">
        <v>1566.24</v>
      </c>
      <c r="L961">
        <v>10</v>
      </c>
      <c r="M961" s="2">
        <v>11276.93</v>
      </c>
      <c r="N961" s="2">
        <v>7024.37</v>
      </c>
      <c r="O961" s="2">
        <v>4252.5600000000004</v>
      </c>
      <c r="P961" t="s">
        <v>48</v>
      </c>
      <c r="Q961" t="s">
        <v>28</v>
      </c>
      <c r="R961" t="str">
        <f>TEXT(Table1[[#This Row],[Order Date]],"mmmm")</f>
        <v>July</v>
      </c>
      <c r="S961">
        <f>YEAR(Table1[[#This Row],[Order Date]])</f>
        <v>2025</v>
      </c>
    </row>
    <row r="962" spans="1:19" x14ac:dyDescent="0.3">
      <c r="A962" t="s">
        <v>1945</v>
      </c>
      <c r="B962" s="1">
        <v>45890</v>
      </c>
      <c r="C962" t="s">
        <v>35</v>
      </c>
      <c r="D962" t="s">
        <v>59</v>
      </c>
      <c r="E962" t="s">
        <v>44</v>
      </c>
      <c r="F962" t="s">
        <v>31</v>
      </c>
      <c r="G962" t="s">
        <v>24</v>
      </c>
      <c r="H962" t="s">
        <v>25</v>
      </c>
      <c r="I962" t="s">
        <v>1946</v>
      </c>
      <c r="J962">
        <v>1</v>
      </c>
      <c r="K962" s="2">
        <v>1232.6199999999999</v>
      </c>
      <c r="L962">
        <v>10</v>
      </c>
      <c r="M962" s="2">
        <v>1109.3599999999999</v>
      </c>
      <c r="N962" s="2">
        <v>743.38</v>
      </c>
      <c r="O962" s="2">
        <v>365.98</v>
      </c>
      <c r="P962" t="s">
        <v>27</v>
      </c>
      <c r="Q962" t="s">
        <v>28</v>
      </c>
      <c r="R962" t="str">
        <f>TEXT(Table1[[#This Row],[Order Date]],"mmmm")</f>
        <v>August</v>
      </c>
      <c r="S962">
        <f>YEAR(Table1[[#This Row],[Order Date]])</f>
        <v>2025</v>
      </c>
    </row>
    <row r="963" spans="1:19" x14ac:dyDescent="0.3">
      <c r="A963" t="s">
        <v>1947</v>
      </c>
      <c r="B963" s="1">
        <v>45911</v>
      </c>
      <c r="C963" t="s">
        <v>70</v>
      </c>
      <c r="D963" t="s">
        <v>71</v>
      </c>
      <c r="E963" t="s">
        <v>113</v>
      </c>
      <c r="F963" t="s">
        <v>23</v>
      </c>
      <c r="G963" t="s">
        <v>45</v>
      </c>
      <c r="H963" t="s">
        <v>67</v>
      </c>
      <c r="I963" t="s">
        <v>1948</v>
      </c>
      <c r="J963">
        <v>11</v>
      </c>
      <c r="K963" s="2">
        <v>2919.88</v>
      </c>
      <c r="L963">
        <v>10</v>
      </c>
      <c r="M963" s="2">
        <v>28906.81</v>
      </c>
      <c r="N963" s="2">
        <v>21788.15</v>
      </c>
      <c r="O963" s="2">
        <v>7118.66</v>
      </c>
      <c r="P963" t="s">
        <v>48</v>
      </c>
      <c r="Q963" t="s">
        <v>61</v>
      </c>
      <c r="R963" t="str">
        <f>TEXT(Table1[[#This Row],[Order Date]],"mmmm")</f>
        <v>September</v>
      </c>
      <c r="S963">
        <f>YEAR(Table1[[#This Row],[Order Date]])</f>
        <v>2025</v>
      </c>
    </row>
    <row r="964" spans="1:19" x14ac:dyDescent="0.3">
      <c r="A964" t="s">
        <v>1949</v>
      </c>
      <c r="B964" s="1">
        <v>46065</v>
      </c>
      <c r="C964" t="s">
        <v>86</v>
      </c>
      <c r="D964" t="s">
        <v>87</v>
      </c>
      <c r="E964" t="s">
        <v>51</v>
      </c>
      <c r="F964" t="s">
        <v>31</v>
      </c>
      <c r="G964" t="s">
        <v>24</v>
      </c>
      <c r="H964" t="s">
        <v>25</v>
      </c>
      <c r="I964" t="s">
        <v>1950</v>
      </c>
      <c r="J964">
        <v>12</v>
      </c>
      <c r="K964" s="2">
        <v>746.75</v>
      </c>
      <c r="L964">
        <v>20</v>
      </c>
      <c r="M964" s="2">
        <v>7168.8</v>
      </c>
      <c r="N964" s="2">
        <v>5555.87</v>
      </c>
      <c r="O964" s="2">
        <v>1612.93</v>
      </c>
      <c r="P964" t="s">
        <v>41</v>
      </c>
      <c r="Q964" t="s">
        <v>61</v>
      </c>
      <c r="R964" t="str">
        <f>TEXT(Table1[[#This Row],[Order Date]],"mmmm")</f>
        <v>February</v>
      </c>
      <c r="S964">
        <f>YEAR(Table1[[#This Row],[Order Date]])</f>
        <v>2026</v>
      </c>
    </row>
    <row r="965" spans="1:19" x14ac:dyDescent="0.3">
      <c r="A965" t="s">
        <v>1951</v>
      </c>
      <c r="B965" s="1">
        <v>45810</v>
      </c>
      <c r="C965" t="s">
        <v>86</v>
      </c>
      <c r="D965" t="s">
        <v>87</v>
      </c>
      <c r="E965" t="s">
        <v>170</v>
      </c>
      <c r="F965" t="s">
        <v>37</v>
      </c>
      <c r="G965" t="s">
        <v>24</v>
      </c>
      <c r="H965" t="s">
        <v>171</v>
      </c>
      <c r="I965" t="s">
        <v>1952</v>
      </c>
      <c r="J965">
        <v>1</v>
      </c>
      <c r="K965" s="2">
        <v>1872.79</v>
      </c>
      <c r="L965">
        <v>5</v>
      </c>
      <c r="M965" s="2">
        <v>1779.15</v>
      </c>
      <c r="N965" s="2">
        <v>1053.5999999999999</v>
      </c>
      <c r="O965" s="2">
        <v>725.55</v>
      </c>
      <c r="P965" t="s">
        <v>48</v>
      </c>
      <c r="Q965" t="s">
        <v>28</v>
      </c>
      <c r="R965" t="str">
        <f>TEXT(Table1[[#This Row],[Order Date]],"mmmm")</f>
        <v>June</v>
      </c>
      <c r="S965">
        <f>YEAR(Table1[[#This Row],[Order Date]])</f>
        <v>2025</v>
      </c>
    </row>
    <row r="966" spans="1:19" x14ac:dyDescent="0.3">
      <c r="A966" t="s">
        <v>1953</v>
      </c>
      <c r="B966" s="1">
        <v>45910</v>
      </c>
      <c r="C966" t="s">
        <v>86</v>
      </c>
      <c r="D966" t="s">
        <v>87</v>
      </c>
      <c r="E966" t="s">
        <v>66</v>
      </c>
      <c r="F966" t="s">
        <v>23</v>
      </c>
      <c r="G966" t="s">
        <v>45</v>
      </c>
      <c r="H966" t="s">
        <v>52</v>
      </c>
      <c r="I966" t="s">
        <v>1954</v>
      </c>
      <c r="J966">
        <v>8</v>
      </c>
      <c r="K966" s="2">
        <v>4870.26</v>
      </c>
      <c r="L966">
        <v>10</v>
      </c>
      <c r="M966" s="2">
        <v>35065.870000000003</v>
      </c>
      <c r="N966" s="2">
        <v>20580.849999999999</v>
      </c>
      <c r="O966" s="2">
        <v>14485.02</v>
      </c>
      <c r="P966" t="s">
        <v>48</v>
      </c>
      <c r="Q966" t="s">
        <v>61</v>
      </c>
      <c r="R966" t="str">
        <f>TEXT(Table1[[#This Row],[Order Date]],"mmmm")</f>
        <v>September</v>
      </c>
      <c r="S966">
        <f>YEAR(Table1[[#This Row],[Order Date]])</f>
        <v>2025</v>
      </c>
    </row>
    <row r="967" spans="1:19" x14ac:dyDescent="0.3">
      <c r="A967" t="s">
        <v>1955</v>
      </c>
      <c r="B967" s="1">
        <v>45920</v>
      </c>
      <c r="C967" t="s">
        <v>70</v>
      </c>
      <c r="D967" t="s">
        <v>75</v>
      </c>
      <c r="E967" t="s">
        <v>113</v>
      </c>
      <c r="F967" t="s">
        <v>23</v>
      </c>
      <c r="G967" t="s">
        <v>45</v>
      </c>
      <c r="H967" t="s">
        <v>159</v>
      </c>
      <c r="I967" t="s">
        <v>1956</v>
      </c>
      <c r="J967">
        <v>2</v>
      </c>
      <c r="K967" s="2">
        <v>4138.5600000000004</v>
      </c>
      <c r="L967">
        <v>20</v>
      </c>
      <c r="M967" s="2">
        <v>6621.7</v>
      </c>
      <c r="N967" s="2">
        <v>4344.17</v>
      </c>
      <c r="O967" s="2">
        <v>2277.5300000000002</v>
      </c>
      <c r="P967" t="s">
        <v>48</v>
      </c>
      <c r="Q967" t="s">
        <v>49</v>
      </c>
      <c r="R967" t="str">
        <f>TEXT(Table1[[#This Row],[Order Date]],"mmmm")</f>
        <v>September</v>
      </c>
      <c r="S967">
        <f>YEAR(Table1[[#This Row],[Order Date]])</f>
        <v>2025</v>
      </c>
    </row>
    <row r="968" spans="1:19" x14ac:dyDescent="0.3">
      <c r="A968" t="s">
        <v>1957</v>
      </c>
      <c r="B968" s="1">
        <v>45972</v>
      </c>
      <c r="C968" t="s">
        <v>70</v>
      </c>
      <c r="D968" t="s">
        <v>71</v>
      </c>
      <c r="E968" t="s">
        <v>170</v>
      </c>
      <c r="F968" t="s">
        <v>31</v>
      </c>
      <c r="G968" t="s">
        <v>24</v>
      </c>
      <c r="H968" t="s">
        <v>171</v>
      </c>
      <c r="I968" t="s">
        <v>1958</v>
      </c>
      <c r="J968">
        <v>12</v>
      </c>
      <c r="K968" s="2">
        <v>1288.94</v>
      </c>
      <c r="L968">
        <v>20</v>
      </c>
      <c r="M968" s="2">
        <v>12373.82</v>
      </c>
      <c r="N968" s="2">
        <v>7543.6</v>
      </c>
      <c r="O968" s="2">
        <v>4830.22</v>
      </c>
      <c r="P968" t="s">
        <v>41</v>
      </c>
      <c r="Q968" t="s">
        <v>49</v>
      </c>
      <c r="R968" t="str">
        <f>TEXT(Table1[[#This Row],[Order Date]],"mmmm")</f>
        <v>November</v>
      </c>
      <c r="S968">
        <f>YEAR(Table1[[#This Row],[Order Date]])</f>
        <v>2025</v>
      </c>
    </row>
    <row r="969" spans="1:19" x14ac:dyDescent="0.3">
      <c r="A969" t="s">
        <v>1959</v>
      </c>
      <c r="B969" s="1">
        <v>46201</v>
      </c>
      <c r="C969" t="s">
        <v>35</v>
      </c>
      <c r="D969" t="s">
        <v>59</v>
      </c>
      <c r="E969" t="s">
        <v>22</v>
      </c>
      <c r="F969" t="s">
        <v>23</v>
      </c>
      <c r="G969" t="s">
        <v>24</v>
      </c>
      <c r="H969" t="s">
        <v>25</v>
      </c>
      <c r="I969" t="s">
        <v>1960</v>
      </c>
      <c r="J969">
        <v>6</v>
      </c>
      <c r="K969" s="2">
        <v>4938.95</v>
      </c>
      <c r="L969">
        <v>20</v>
      </c>
      <c r="M969" s="2">
        <v>23706.959999999999</v>
      </c>
      <c r="N969" s="2">
        <v>18154.09</v>
      </c>
      <c r="O969" s="2">
        <v>5552.87</v>
      </c>
      <c r="P969" t="s">
        <v>41</v>
      </c>
      <c r="Q969" t="s">
        <v>42</v>
      </c>
      <c r="R969" t="str">
        <f>TEXT(Table1[[#This Row],[Order Date]],"mmmm")</f>
        <v>June</v>
      </c>
      <c r="S969">
        <f>YEAR(Table1[[#This Row],[Order Date]])</f>
        <v>2026</v>
      </c>
    </row>
    <row r="970" spans="1:19" x14ac:dyDescent="0.3">
      <c r="A970" t="s">
        <v>1961</v>
      </c>
      <c r="B970" s="1">
        <v>45714</v>
      </c>
      <c r="C970" t="s">
        <v>20</v>
      </c>
      <c r="D970" t="s">
        <v>21</v>
      </c>
      <c r="E970" t="s">
        <v>30</v>
      </c>
      <c r="F970" t="s">
        <v>37</v>
      </c>
      <c r="G970" t="s">
        <v>45</v>
      </c>
      <c r="H970" t="s">
        <v>46</v>
      </c>
      <c r="I970" t="s">
        <v>1962</v>
      </c>
      <c r="J970">
        <v>15</v>
      </c>
      <c r="K970" s="2">
        <v>661.68</v>
      </c>
      <c r="L970">
        <v>10</v>
      </c>
      <c r="M970" s="2">
        <v>8932.68</v>
      </c>
      <c r="N970" s="2">
        <v>5725.59</v>
      </c>
      <c r="O970" s="2">
        <v>3207.09</v>
      </c>
      <c r="P970" t="s">
        <v>48</v>
      </c>
      <c r="Q970" t="s">
        <v>61</v>
      </c>
      <c r="R970" t="str">
        <f>TEXT(Table1[[#This Row],[Order Date]],"mmmm")</f>
        <v>February</v>
      </c>
      <c r="S970">
        <f>YEAR(Table1[[#This Row],[Order Date]])</f>
        <v>2025</v>
      </c>
    </row>
    <row r="971" spans="1:19" x14ac:dyDescent="0.3">
      <c r="A971" t="s">
        <v>1963</v>
      </c>
      <c r="B971" s="1">
        <v>45749</v>
      </c>
      <c r="C971" t="s">
        <v>35</v>
      </c>
      <c r="D971" t="s">
        <v>36</v>
      </c>
      <c r="E971" t="s">
        <v>44</v>
      </c>
      <c r="F971" t="s">
        <v>31</v>
      </c>
      <c r="G971" t="s">
        <v>38</v>
      </c>
      <c r="H971" t="s">
        <v>39</v>
      </c>
      <c r="I971" t="s">
        <v>1964</v>
      </c>
      <c r="J971">
        <v>5</v>
      </c>
      <c r="K971" s="2">
        <v>3282.1</v>
      </c>
      <c r="L971">
        <v>15</v>
      </c>
      <c r="M971" s="2">
        <v>13948.92</v>
      </c>
      <c r="N971" s="2">
        <v>9337.23</v>
      </c>
      <c r="O971" s="2">
        <v>4611.6899999999996</v>
      </c>
      <c r="P971" t="s">
        <v>48</v>
      </c>
      <c r="Q971" t="s">
        <v>61</v>
      </c>
      <c r="R971" t="str">
        <f>TEXT(Table1[[#This Row],[Order Date]],"mmmm")</f>
        <v>April</v>
      </c>
      <c r="S971">
        <f>YEAR(Table1[[#This Row],[Order Date]])</f>
        <v>2025</v>
      </c>
    </row>
    <row r="972" spans="1:19" x14ac:dyDescent="0.3">
      <c r="A972" t="s">
        <v>1965</v>
      </c>
      <c r="B972" s="1">
        <v>46180</v>
      </c>
      <c r="C972" t="s">
        <v>86</v>
      </c>
      <c r="D972" t="s">
        <v>90</v>
      </c>
      <c r="E972" t="s">
        <v>44</v>
      </c>
      <c r="F972" t="s">
        <v>31</v>
      </c>
      <c r="G972" t="s">
        <v>38</v>
      </c>
      <c r="H972" t="s">
        <v>106</v>
      </c>
      <c r="I972" t="s">
        <v>1966</v>
      </c>
      <c r="J972">
        <v>5</v>
      </c>
      <c r="K972" s="2">
        <v>1713.16</v>
      </c>
      <c r="L972">
        <v>15</v>
      </c>
      <c r="M972" s="2">
        <v>7280.93</v>
      </c>
      <c r="N972" s="2">
        <v>4328.01</v>
      </c>
      <c r="O972" s="2">
        <v>2952.92</v>
      </c>
      <c r="P972" t="s">
        <v>48</v>
      </c>
      <c r="Q972" t="s">
        <v>42</v>
      </c>
      <c r="R972" t="str">
        <f>TEXT(Table1[[#This Row],[Order Date]],"mmmm")</f>
        <v>June</v>
      </c>
      <c r="S972">
        <f>YEAR(Table1[[#This Row],[Order Date]])</f>
        <v>2026</v>
      </c>
    </row>
    <row r="973" spans="1:19" x14ac:dyDescent="0.3">
      <c r="A973" t="s">
        <v>1967</v>
      </c>
      <c r="B973" s="1">
        <v>45934</v>
      </c>
      <c r="C973" t="s">
        <v>70</v>
      </c>
      <c r="D973" t="s">
        <v>71</v>
      </c>
      <c r="E973" t="s">
        <v>113</v>
      </c>
      <c r="F973" t="s">
        <v>37</v>
      </c>
      <c r="G973" t="s">
        <v>38</v>
      </c>
      <c r="H973" t="s">
        <v>72</v>
      </c>
      <c r="I973" t="s">
        <v>1968</v>
      </c>
      <c r="J973">
        <v>2</v>
      </c>
      <c r="K973" s="2">
        <v>2900.33</v>
      </c>
      <c r="L973">
        <v>5</v>
      </c>
      <c r="M973" s="2">
        <v>5510.63</v>
      </c>
      <c r="N973" s="2">
        <v>3942.01</v>
      </c>
      <c r="O973" s="2">
        <v>1568.62</v>
      </c>
      <c r="P973" t="s">
        <v>41</v>
      </c>
      <c r="Q973" t="s">
        <v>49</v>
      </c>
      <c r="R973" t="str">
        <f>TEXT(Table1[[#This Row],[Order Date]],"mmmm")</f>
        <v>October</v>
      </c>
      <c r="S973">
        <f>YEAR(Table1[[#This Row],[Order Date]])</f>
        <v>2025</v>
      </c>
    </row>
    <row r="974" spans="1:19" x14ac:dyDescent="0.3">
      <c r="A974" t="s">
        <v>1969</v>
      </c>
      <c r="B974" s="1">
        <v>46192</v>
      </c>
      <c r="C974" t="s">
        <v>20</v>
      </c>
      <c r="D974" t="s">
        <v>21</v>
      </c>
      <c r="E974" t="s">
        <v>51</v>
      </c>
      <c r="F974" t="s">
        <v>31</v>
      </c>
      <c r="G974" t="s">
        <v>24</v>
      </c>
      <c r="H974" t="s">
        <v>25</v>
      </c>
      <c r="I974" t="s">
        <v>1970</v>
      </c>
      <c r="J974">
        <v>6</v>
      </c>
      <c r="K974" s="2">
        <v>2323.7600000000002</v>
      </c>
      <c r="L974">
        <v>10</v>
      </c>
      <c r="M974" s="2">
        <v>12548.3</v>
      </c>
      <c r="N974" s="2">
        <v>10120.44</v>
      </c>
      <c r="O974" s="2">
        <v>2427.86</v>
      </c>
      <c r="P974" t="s">
        <v>48</v>
      </c>
      <c r="Q974" t="s">
        <v>49</v>
      </c>
      <c r="R974" t="str">
        <f>TEXT(Table1[[#This Row],[Order Date]],"mmmm")</f>
        <v>June</v>
      </c>
      <c r="S974">
        <f>YEAR(Table1[[#This Row],[Order Date]])</f>
        <v>2026</v>
      </c>
    </row>
    <row r="975" spans="1:19" x14ac:dyDescent="0.3">
      <c r="A975" t="s">
        <v>1971</v>
      </c>
      <c r="B975" s="1">
        <v>45940</v>
      </c>
      <c r="C975" t="s">
        <v>70</v>
      </c>
      <c r="D975" t="s">
        <v>75</v>
      </c>
      <c r="E975" t="s">
        <v>44</v>
      </c>
      <c r="F975" t="s">
        <v>23</v>
      </c>
      <c r="G975" t="s">
        <v>24</v>
      </c>
      <c r="H975" t="s">
        <v>32</v>
      </c>
      <c r="I975" t="s">
        <v>1972</v>
      </c>
      <c r="J975">
        <v>11</v>
      </c>
      <c r="K975" s="2">
        <v>1048.82</v>
      </c>
      <c r="L975">
        <v>0</v>
      </c>
      <c r="M975" s="2">
        <v>11537.02</v>
      </c>
      <c r="N975" s="2">
        <v>9128.82</v>
      </c>
      <c r="O975" s="2">
        <v>2408.1999999999998</v>
      </c>
      <c r="P975" t="s">
        <v>48</v>
      </c>
      <c r="Q975" t="s">
        <v>61</v>
      </c>
      <c r="R975" t="str">
        <f>TEXT(Table1[[#This Row],[Order Date]],"mmmm")</f>
        <v>October</v>
      </c>
      <c r="S975">
        <f>YEAR(Table1[[#This Row],[Order Date]])</f>
        <v>2025</v>
      </c>
    </row>
    <row r="976" spans="1:19" x14ac:dyDescent="0.3">
      <c r="A976" t="s">
        <v>1973</v>
      </c>
      <c r="B976" s="1">
        <v>45954</v>
      </c>
      <c r="C976" t="s">
        <v>20</v>
      </c>
      <c r="D976" t="s">
        <v>21</v>
      </c>
      <c r="E976" t="s">
        <v>30</v>
      </c>
      <c r="F976" t="s">
        <v>37</v>
      </c>
      <c r="G976" t="s">
        <v>24</v>
      </c>
      <c r="H976" t="s">
        <v>56</v>
      </c>
      <c r="I976" t="s">
        <v>1974</v>
      </c>
      <c r="J976">
        <v>13</v>
      </c>
      <c r="K976" s="2">
        <v>1813.5</v>
      </c>
      <c r="L976">
        <v>15</v>
      </c>
      <c r="M976" s="2">
        <v>20039.169999999998</v>
      </c>
      <c r="N976" s="2">
        <v>11711.98</v>
      </c>
      <c r="O976" s="2">
        <v>8327.19</v>
      </c>
      <c r="P976" t="s">
        <v>48</v>
      </c>
      <c r="Q976" t="s">
        <v>42</v>
      </c>
      <c r="R976" t="str">
        <f>TEXT(Table1[[#This Row],[Order Date]],"mmmm")</f>
        <v>October</v>
      </c>
      <c r="S976">
        <f>YEAR(Table1[[#This Row],[Order Date]])</f>
        <v>2025</v>
      </c>
    </row>
    <row r="977" spans="1:19" x14ac:dyDescent="0.3">
      <c r="A977" t="s">
        <v>1975</v>
      </c>
      <c r="B977" s="1">
        <v>45740</v>
      </c>
      <c r="C977" t="s">
        <v>86</v>
      </c>
      <c r="D977" t="s">
        <v>87</v>
      </c>
      <c r="E977" t="s">
        <v>113</v>
      </c>
      <c r="F977" t="s">
        <v>31</v>
      </c>
      <c r="G977" t="s">
        <v>24</v>
      </c>
      <c r="H977" t="s">
        <v>171</v>
      </c>
      <c r="I977" t="s">
        <v>1976</v>
      </c>
      <c r="J977">
        <v>7</v>
      </c>
      <c r="K977" s="2">
        <v>4574.03</v>
      </c>
      <c r="L977">
        <v>15</v>
      </c>
      <c r="M977" s="2">
        <v>27215.48</v>
      </c>
      <c r="N977" s="2">
        <v>19005.73</v>
      </c>
      <c r="O977" s="2">
        <v>8209.75</v>
      </c>
      <c r="P977" t="s">
        <v>48</v>
      </c>
      <c r="Q977" t="s">
        <v>28</v>
      </c>
      <c r="R977" t="str">
        <f>TEXT(Table1[[#This Row],[Order Date]],"mmmm")</f>
        <v>March</v>
      </c>
      <c r="S977">
        <f>YEAR(Table1[[#This Row],[Order Date]])</f>
        <v>2025</v>
      </c>
    </row>
    <row r="978" spans="1:19" x14ac:dyDescent="0.3">
      <c r="A978" t="s">
        <v>1977</v>
      </c>
      <c r="B978" s="1">
        <v>46140</v>
      </c>
      <c r="C978" t="s">
        <v>86</v>
      </c>
      <c r="D978" t="s">
        <v>90</v>
      </c>
      <c r="E978" t="s">
        <v>120</v>
      </c>
      <c r="F978" t="s">
        <v>31</v>
      </c>
      <c r="G978" t="s">
        <v>38</v>
      </c>
      <c r="H978" t="s">
        <v>106</v>
      </c>
      <c r="I978" t="s">
        <v>1978</v>
      </c>
      <c r="J978">
        <v>7</v>
      </c>
      <c r="K978" s="2">
        <v>3812.81</v>
      </c>
      <c r="L978">
        <v>10</v>
      </c>
      <c r="M978" s="2">
        <v>24020.7</v>
      </c>
      <c r="N978" s="2">
        <v>15085.36</v>
      </c>
      <c r="O978" s="2">
        <v>8935.34</v>
      </c>
      <c r="P978" t="s">
        <v>27</v>
      </c>
      <c r="Q978" t="s">
        <v>61</v>
      </c>
      <c r="R978" t="str">
        <f>TEXT(Table1[[#This Row],[Order Date]],"mmmm")</f>
        <v>April</v>
      </c>
      <c r="S978">
        <f>YEAR(Table1[[#This Row],[Order Date]])</f>
        <v>2026</v>
      </c>
    </row>
    <row r="979" spans="1:19" x14ac:dyDescent="0.3">
      <c r="A979" t="s">
        <v>1979</v>
      </c>
      <c r="B979" s="1">
        <v>46111</v>
      </c>
      <c r="C979" t="s">
        <v>86</v>
      </c>
      <c r="D979" t="s">
        <v>90</v>
      </c>
      <c r="E979" t="s">
        <v>113</v>
      </c>
      <c r="F979" t="s">
        <v>37</v>
      </c>
      <c r="G979" t="s">
        <v>45</v>
      </c>
      <c r="H979" t="s">
        <v>52</v>
      </c>
      <c r="I979" t="s">
        <v>1980</v>
      </c>
      <c r="J979">
        <v>15</v>
      </c>
      <c r="K979" s="2">
        <v>2896.03</v>
      </c>
      <c r="L979">
        <v>15</v>
      </c>
      <c r="M979" s="2">
        <v>36924.379999999997</v>
      </c>
      <c r="N979" s="2">
        <v>26547.52</v>
      </c>
      <c r="O979" s="2">
        <v>10376.86</v>
      </c>
      <c r="P979" t="s">
        <v>48</v>
      </c>
      <c r="Q979" t="s">
        <v>42</v>
      </c>
      <c r="R979" t="str">
        <f>TEXT(Table1[[#This Row],[Order Date]],"mmmm")</f>
        <v>March</v>
      </c>
      <c r="S979">
        <f>YEAR(Table1[[#This Row],[Order Date]])</f>
        <v>2026</v>
      </c>
    </row>
    <row r="980" spans="1:19" x14ac:dyDescent="0.3">
      <c r="A980" t="s">
        <v>1981</v>
      </c>
      <c r="B980" s="1">
        <v>46111</v>
      </c>
      <c r="C980" t="s">
        <v>70</v>
      </c>
      <c r="D980" t="s">
        <v>75</v>
      </c>
      <c r="E980" t="s">
        <v>44</v>
      </c>
      <c r="F980" t="s">
        <v>31</v>
      </c>
      <c r="G980" t="s">
        <v>45</v>
      </c>
      <c r="H980" t="s">
        <v>123</v>
      </c>
      <c r="I980" t="s">
        <v>1982</v>
      </c>
      <c r="J980">
        <v>9</v>
      </c>
      <c r="K980" s="2">
        <v>2549.0100000000002</v>
      </c>
      <c r="L980">
        <v>20</v>
      </c>
      <c r="M980" s="2">
        <v>18352.87</v>
      </c>
      <c r="N980" s="2">
        <v>11037.53</v>
      </c>
      <c r="O980" s="2">
        <v>7315.34</v>
      </c>
      <c r="P980" t="s">
        <v>27</v>
      </c>
      <c r="Q980" t="s">
        <v>61</v>
      </c>
      <c r="R980" t="str">
        <f>TEXT(Table1[[#This Row],[Order Date]],"mmmm")</f>
        <v>March</v>
      </c>
      <c r="S980">
        <f>YEAR(Table1[[#This Row],[Order Date]])</f>
        <v>2026</v>
      </c>
    </row>
    <row r="981" spans="1:19" x14ac:dyDescent="0.3">
      <c r="A981" t="s">
        <v>1983</v>
      </c>
      <c r="B981" s="1">
        <v>45791</v>
      </c>
      <c r="C981" t="s">
        <v>86</v>
      </c>
      <c r="D981" t="s">
        <v>87</v>
      </c>
      <c r="E981" t="s">
        <v>66</v>
      </c>
      <c r="F981" t="s">
        <v>37</v>
      </c>
      <c r="G981" t="s">
        <v>45</v>
      </c>
      <c r="H981" t="s">
        <v>123</v>
      </c>
      <c r="I981" t="s">
        <v>1984</v>
      </c>
      <c r="J981">
        <v>11</v>
      </c>
      <c r="K981" s="2">
        <v>1248.79</v>
      </c>
      <c r="L981">
        <v>5</v>
      </c>
      <c r="M981" s="2">
        <v>13049.86</v>
      </c>
      <c r="N981" s="2">
        <v>9951.9599999999991</v>
      </c>
      <c r="O981" s="2">
        <v>3097.9</v>
      </c>
      <c r="P981" t="s">
        <v>48</v>
      </c>
      <c r="Q981" t="s">
        <v>49</v>
      </c>
      <c r="R981" t="str">
        <f>TEXT(Table1[[#This Row],[Order Date]],"mmmm")</f>
        <v>May</v>
      </c>
      <c r="S981">
        <f>YEAR(Table1[[#This Row],[Order Date]])</f>
        <v>2025</v>
      </c>
    </row>
    <row r="982" spans="1:19" x14ac:dyDescent="0.3">
      <c r="A982" t="s">
        <v>1985</v>
      </c>
      <c r="B982" s="1">
        <v>45894</v>
      </c>
      <c r="C982" t="s">
        <v>35</v>
      </c>
      <c r="D982" t="s">
        <v>59</v>
      </c>
      <c r="E982" t="s">
        <v>22</v>
      </c>
      <c r="F982" t="s">
        <v>31</v>
      </c>
      <c r="G982" t="s">
        <v>38</v>
      </c>
      <c r="H982" t="s">
        <v>39</v>
      </c>
      <c r="I982" t="s">
        <v>1986</v>
      </c>
      <c r="J982">
        <v>11</v>
      </c>
      <c r="K982" s="2">
        <v>2871.86</v>
      </c>
      <c r="L982">
        <v>20</v>
      </c>
      <c r="M982" s="2">
        <v>25272.37</v>
      </c>
      <c r="N982" s="2">
        <v>17528.43</v>
      </c>
      <c r="O982" s="2">
        <v>7743.94</v>
      </c>
      <c r="P982" t="s">
        <v>41</v>
      </c>
      <c r="Q982" t="s">
        <v>49</v>
      </c>
      <c r="R982" t="str">
        <f>TEXT(Table1[[#This Row],[Order Date]],"mmmm")</f>
        <v>August</v>
      </c>
      <c r="S982">
        <f>YEAR(Table1[[#This Row],[Order Date]])</f>
        <v>2025</v>
      </c>
    </row>
    <row r="983" spans="1:19" x14ac:dyDescent="0.3">
      <c r="A983" t="s">
        <v>1987</v>
      </c>
      <c r="B983" s="1">
        <v>45769</v>
      </c>
      <c r="C983" t="s">
        <v>35</v>
      </c>
      <c r="D983" t="s">
        <v>36</v>
      </c>
      <c r="E983" t="s">
        <v>51</v>
      </c>
      <c r="F983" t="s">
        <v>37</v>
      </c>
      <c r="G983" t="s">
        <v>38</v>
      </c>
      <c r="H983" t="s">
        <v>106</v>
      </c>
      <c r="I983" t="s">
        <v>1988</v>
      </c>
      <c r="J983">
        <v>15</v>
      </c>
      <c r="K983" s="2">
        <v>4155.51</v>
      </c>
      <c r="L983">
        <v>20</v>
      </c>
      <c r="M983" s="2">
        <v>49866.12</v>
      </c>
      <c r="N983" s="2">
        <v>38016.800000000003</v>
      </c>
      <c r="O983" s="2">
        <v>11849.32</v>
      </c>
      <c r="P983" t="s">
        <v>41</v>
      </c>
      <c r="Q983" t="s">
        <v>61</v>
      </c>
      <c r="R983" t="str">
        <f>TEXT(Table1[[#This Row],[Order Date]],"mmmm")</f>
        <v>April</v>
      </c>
      <c r="S983">
        <f>YEAR(Table1[[#This Row],[Order Date]])</f>
        <v>2025</v>
      </c>
    </row>
    <row r="984" spans="1:19" x14ac:dyDescent="0.3">
      <c r="A984" t="s">
        <v>1989</v>
      </c>
      <c r="B984" s="1">
        <v>46117</v>
      </c>
      <c r="C984" t="s">
        <v>70</v>
      </c>
      <c r="D984" t="s">
        <v>75</v>
      </c>
      <c r="E984" t="s">
        <v>44</v>
      </c>
      <c r="F984" t="s">
        <v>31</v>
      </c>
      <c r="G984" t="s">
        <v>45</v>
      </c>
      <c r="H984" t="s">
        <v>52</v>
      </c>
      <c r="I984" t="s">
        <v>1990</v>
      </c>
      <c r="J984">
        <v>12</v>
      </c>
      <c r="K984" s="2">
        <v>354.83</v>
      </c>
      <c r="L984">
        <v>0</v>
      </c>
      <c r="M984" s="2">
        <v>4257.96</v>
      </c>
      <c r="N984" s="2">
        <v>2366.91</v>
      </c>
      <c r="O984" s="2">
        <v>1891.05</v>
      </c>
      <c r="P984" t="s">
        <v>41</v>
      </c>
      <c r="Q984" t="s">
        <v>49</v>
      </c>
      <c r="R984" t="str">
        <f>TEXT(Table1[[#This Row],[Order Date]],"mmmm")</f>
        <v>April</v>
      </c>
      <c r="S984">
        <f>YEAR(Table1[[#This Row],[Order Date]])</f>
        <v>2026</v>
      </c>
    </row>
    <row r="985" spans="1:19" x14ac:dyDescent="0.3">
      <c r="A985" t="s">
        <v>1991</v>
      </c>
      <c r="B985" s="1">
        <v>46150</v>
      </c>
      <c r="C985" t="s">
        <v>20</v>
      </c>
      <c r="D985" t="s">
        <v>21</v>
      </c>
      <c r="E985" t="s">
        <v>30</v>
      </c>
      <c r="F985" t="s">
        <v>31</v>
      </c>
      <c r="G985" t="s">
        <v>24</v>
      </c>
      <c r="H985" t="s">
        <v>32</v>
      </c>
      <c r="I985" t="s">
        <v>1992</v>
      </c>
      <c r="J985">
        <v>8</v>
      </c>
      <c r="K985" s="2">
        <v>1776.57</v>
      </c>
      <c r="L985">
        <v>20</v>
      </c>
      <c r="M985" s="2">
        <v>11370.05</v>
      </c>
      <c r="N985" s="2">
        <v>8579.11</v>
      </c>
      <c r="O985" s="2">
        <v>2790.94</v>
      </c>
      <c r="P985" t="s">
        <v>41</v>
      </c>
      <c r="Q985" t="s">
        <v>28</v>
      </c>
      <c r="R985" t="str">
        <f>TEXT(Table1[[#This Row],[Order Date]],"mmmm")</f>
        <v>May</v>
      </c>
      <c r="S985">
        <f>YEAR(Table1[[#This Row],[Order Date]])</f>
        <v>2026</v>
      </c>
    </row>
    <row r="986" spans="1:19" x14ac:dyDescent="0.3">
      <c r="A986" t="s">
        <v>1993</v>
      </c>
      <c r="B986" s="1">
        <v>45730</v>
      </c>
      <c r="C986" t="s">
        <v>86</v>
      </c>
      <c r="D986" t="s">
        <v>90</v>
      </c>
      <c r="E986" t="s">
        <v>51</v>
      </c>
      <c r="F986" t="s">
        <v>23</v>
      </c>
      <c r="G986" t="s">
        <v>45</v>
      </c>
      <c r="H986" t="s">
        <v>46</v>
      </c>
      <c r="I986" t="s">
        <v>1994</v>
      </c>
      <c r="J986">
        <v>15</v>
      </c>
      <c r="K986" s="2">
        <v>4526.45</v>
      </c>
      <c r="L986">
        <v>20</v>
      </c>
      <c r="M986" s="2">
        <v>54317.4</v>
      </c>
      <c r="N986" s="2">
        <v>31358.57</v>
      </c>
      <c r="O986" s="2">
        <v>22958.83</v>
      </c>
      <c r="P986" t="s">
        <v>48</v>
      </c>
      <c r="Q986" t="s">
        <v>28</v>
      </c>
      <c r="R986" t="str">
        <f>TEXT(Table1[[#This Row],[Order Date]],"mmmm")</f>
        <v>March</v>
      </c>
      <c r="S986">
        <f>YEAR(Table1[[#This Row],[Order Date]])</f>
        <v>2025</v>
      </c>
    </row>
    <row r="987" spans="1:19" x14ac:dyDescent="0.3">
      <c r="A987" t="s">
        <v>1995</v>
      </c>
      <c r="B987" s="1">
        <v>46056</v>
      </c>
      <c r="C987" t="s">
        <v>86</v>
      </c>
      <c r="D987" t="s">
        <v>90</v>
      </c>
      <c r="E987" t="s">
        <v>66</v>
      </c>
      <c r="F987" t="s">
        <v>37</v>
      </c>
      <c r="G987" t="s">
        <v>24</v>
      </c>
      <c r="H987" t="s">
        <v>32</v>
      </c>
      <c r="I987" t="s">
        <v>1996</v>
      </c>
      <c r="J987">
        <v>15</v>
      </c>
      <c r="K987" s="2">
        <v>1578.99</v>
      </c>
      <c r="L987">
        <v>5</v>
      </c>
      <c r="M987" s="2">
        <v>22500.61</v>
      </c>
      <c r="N987" s="2">
        <v>17342.95</v>
      </c>
      <c r="O987" s="2">
        <v>5157.66</v>
      </c>
      <c r="P987" t="s">
        <v>48</v>
      </c>
      <c r="Q987" t="s">
        <v>42</v>
      </c>
      <c r="R987" t="str">
        <f>TEXT(Table1[[#This Row],[Order Date]],"mmmm")</f>
        <v>February</v>
      </c>
      <c r="S987">
        <f>YEAR(Table1[[#This Row],[Order Date]])</f>
        <v>2026</v>
      </c>
    </row>
    <row r="988" spans="1:19" x14ac:dyDescent="0.3">
      <c r="A988" t="s">
        <v>1997</v>
      </c>
      <c r="B988" s="1">
        <v>45807</v>
      </c>
      <c r="C988" t="s">
        <v>20</v>
      </c>
      <c r="D988" t="s">
        <v>55</v>
      </c>
      <c r="E988" t="s">
        <v>66</v>
      </c>
      <c r="F988" t="s">
        <v>23</v>
      </c>
      <c r="G988" t="s">
        <v>38</v>
      </c>
      <c r="H988" t="s">
        <v>106</v>
      </c>
      <c r="I988" t="s">
        <v>1998</v>
      </c>
      <c r="J988">
        <v>13</v>
      </c>
      <c r="K988" s="2">
        <v>4634.8500000000004</v>
      </c>
      <c r="L988">
        <v>10</v>
      </c>
      <c r="M988" s="2">
        <v>54227.75</v>
      </c>
      <c r="N988" s="2">
        <v>43744.05</v>
      </c>
      <c r="O988" s="2">
        <v>10483.700000000001</v>
      </c>
      <c r="P988" t="s">
        <v>41</v>
      </c>
      <c r="Q988" t="s">
        <v>28</v>
      </c>
      <c r="R988" t="str">
        <f>TEXT(Table1[[#This Row],[Order Date]],"mmmm")</f>
        <v>May</v>
      </c>
      <c r="S988">
        <f>YEAR(Table1[[#This Row],[Order Date]])</f>
        <v>2025</v>
      </c>
    </row>
    <row r="989" spans="1:19" x14ac:dyDescent="0.3">
      <c r="A989" t="s">
        <v>1999</v>
      </c>
      <c r="B989" s="1">
        <v>46155</v>
      </c>
      <c r="C989" t="s">
        <v>70</v>
      </c>
      <c r="D989" t="s">
        <v>75</v>
      </c>
      <c r="E989" t="s">
        <v>170</v>
      </c>
      <c r="F989" t="s">
        <v>37</v>
      </c>
      <c r="G989" t="s">
        <v>45</v>
      </c>
      <c r="H989" t="s">
        <v>46</v>
      </c>
      <c r="I989" t="s">
        <v>2000</v>
      </c>
      <c r="J989">
        <v>2</v>
      </c>
      <c r="K989" s="2">
        <v>2485.62</v>
      </c>
      <c r="L989">
        <v>5</v>
      </c>
      <c r="M989" s="2">
        <v>4722.68</v>
      </c>
      <c r="N989" s="2">
        <v>3336.14</v>
      </c>
      <c r="O989" s="2">
        <v>1386.54</v>
      </c>
      <c r="P989" t="s">
        <v>27</v>
      </c>
      <c r="Q989" t="s">
        <v>61</v>
      </c>
      <c r="R989" t="str">
        <f>TEXT(Table1[[#This Row],[Order Date]],"mmmm")</f>
        <v>May</v>
      </c>
      <c r="S989">
        <f>YEAR(Table1[[#This Row],[Order Date]])</f>
        <v>2026</v>
      </c>
    </row>
    <row r="990" spans="1:19" x14ac:dyDescent="0.3">
      <c r="A990" t="s">
        <v>2001</v>
      </c>
      <c r="B990" s="1">
        <v>46054</v>
      </c>
      <c r="C990" t="s">
        <v>35</v>
      </c>
      <c r="D990" t="s">
        <v>59</v>
      </c>
      <c r="E990" t="s">
        <v>170</v>
      </c>
      <c r="F990" t="s">
        <v>31</v>
      </c>
      <c r="G990" t="s">
        <v>24</v>
      </c>
      <c r="H990" t="s">
        <v>25</v>
      </c>
      <c r="I990" t="s">
        <v>2002</v>
      </c>
      <c r="J990">
        <v>13</v>
      </c>
      <c r="K990" s="2">
        <v>2476.65</v>
      </c>
      <c r="L990">
        <v>20</v>
      </c>
      <c r="M990" s="2">
        <v>25757.16</v>
      </c>
      <c r="N990" s="2">
        <v>20146.86</v>
      </c>
      <c r="O990" s="2">
        <v>5610.3</v>
      </c>
      <c r="P990" t="s">
        <v>48</v>
      </c>
      <c r="Q990" t="s">
        <v>49</v>
      </c>
      <c r="R990" t="str">
        <f>TEXT(Table1[[#This Row],[Order Date]],"mmmm")</f>
        <v>February</v>
      </c>
      <c r="S990">
        <f>YEAR(Table1[[#This Row],[Order Date]])</f>
        <v>2026</v>
      </c>
    </row>
    <row r="991" spans="1:19" x14ac:dyDescent="0.3">
      <c r="A991" t="s">
        <v>2003</v>
      </c>
      <c r="B991" s="1">
        <v>45961</v>
      </c>
      <c r="C991" t="s">
        <v>70</v>
      </c>
      <c r="D991" t="s">
        <v>75</v>
      </c>
      <c r="E991" t="s">
        <v>113</v>
      </c>
      <c r="F991" t="s">
        <v>31</v>
      </c>
      <c r="G991" t="s">
        <v>24</v>
      </c>
      <c r="H991" t="s">
        <v>56</v>
      </c>
      <c r="I991" t="s">
        <v>2004</v>
      </c>
      <c r="J991">
        <v>13</v>
      </c>
      <c r="K991" s="2">
        <v>3408.11</v>
      </c>
      <c r="L991">
        <v>0</v>
      </c>
      <c r="M991" s="2">
        <v>44305.43</v>
      </c>
      <c r="N991" s="2">
        <v>35117.800000000003</v>
      </c>
      <c r="O991" s="2">
        <v>9187.6299999999992</v>
      </c>
      <c r="P991" t="s">
        <v>41</v>
      </c>
      <c r="Q991" t="s">
        <v>61</v>
      </c>
      <c r="R991" t="str">
        <f>TEXT(Table1[[#This Row],[Order Date]],"mmmm")</f>
        <v>October</v>
      </c>
      <c r="S991">
        <f>YEAR(Table1[[#This Row],[Order Date]])</f>
        <v>2025</v>
      </c>
    </row>
    <row r="992" spans="1:19" x14ac:dyDescent="0.3">
      <c r="A992" t="s">
        <v>2005</v>
      </c>
      <c r="B992" s="1">
        <v>46094</v>
      </c>
      <c r="C992" t="s">
        <v>70</v>
      </c>
      <c r="D992" t="s">
        <v>75</v>
      </c>
      <c r="E992" t="s">
        <v>30</v>
      </c>
      <c r="F992" t="s">
        <v>23</v>
      </c>
      <c r="G992" t="s">
        <v>24</v>
      </c>
      <c r="H992" t="s">
        <v>134</v>
      </c>
      <c r="I992" t="s">
        <v>2006</v>
      </c>
      <c r="J992">
        <v>10</v>
      </c>
      <c r="K992" s="2">
        <v>1242.33</v>
      </c>
      <c r="L992">
        <v>15</v>
      </c>
      <c r="M992" s="2">
        <v>10559.8</v>
      </c>
      <c r="N992" s="2">
        <v>6118.57</v>
      </c>
      <c r="O992" s="2">
        <v>4441.2299999999996</v>
      </c>
      <c r="P992" t="s">
        <v>48</v>
      </c>
      <c r="Q992" t="s">
        <v>42</v>
      </c>
      <c r="R992" t="str">
        <f>TEXT(Table1[[#This Row],[Order Date]],"mmmm")</f>
        <v>March</v>
      </c>
      <c r="S992">
        <f>YEAR(Table1[[#This Row],[Order Date]])</f>
        <v>2026</v>
      </c>
    </row>
    <row r="993" spans="1:19" x14ac:dyDescent="0.3">
      <c r="A993" t="s">
        <v>2007</v>
      </c>
      <c r="B993" s="1">
        <v>46038</v>
      </c>
      <c r="C993" t="s">
        <v>35</v>
      </c>
      <c r="D993" t="s">
        <v>36</v>
      </c>
      <c r="E993" t="s">
        <v>44</v>
      </c>
      <c r="F993" t="s">
        <v>37</v>
      </c>
      <c r="G993" t="s">
        <v>38</v>
      </c>
      <c r="H993" t="s">
        <v>106</v>
      </c>
      <c r="I993" t="s">
        <v>2008</v>
      </c>
      <c r="J993">
        <v>2</v>
      </c>
      <c r="K993" s="2">
        <v>4841.04</v>
      </c>
      <c r="L993">
        <v>15</v>
      </c>
      <c r="M993" s="2">
        <v>8229.77</v>
      </c>
      <c r="N993" s="2">
        <v>5028.3500000000004</v>
      </c>
      <c r="O993" s="2">
        <v>3201.42</v>
      </c>
      <c r="P993" t="s">
        <v>41</v>
      </c>
      <c r="Q993" t="s">
        <v>42</v>
      </c>
      <c r="R993" t="str">
        <f>TEXT(Table1[[#This Row],[Order Date]],"mmmm")</f>
        <v>January</v>
      </c>
      <c r="S993">
        <f>YEAR(Table1[[#This Row],[Order Date]])</f>
        <v>2026</v>
      </c>
    </row>
    <row r="994" spans="1:19" x14ac:dyDescent="0.3">
      <c r="A994" t="s">
        <v>2009</v>
      </c>
      <c r="B994" s="1">
        <v>45749</v>
      </c>
      <c r="C994" t="s">
        <v>86</v>
      </c>
      <c r="D994" t="s">
        <v>87</v>
      </c>
      <c r="E994" t="s">
        <v>170</v>
      </c>
      <c r="F994" t="s">
        <v>23</v>
      </c>
      <c r="G994" t="s">
        <v>38</v>
      </c>
      <c r="H994" t="s">
        <v>39</v>
      </c>
      <c r="I994" t="s">
        <v>2010</v>
      </c>
      <c r="J994">
        <v>5</v>
      </c>
      <c r="K994" s="2">
        <v>2275.9699999999998</v>
      </c>
      <c r="L994">
        <v>10</v>
      </c>
      <c r="M994" s="2">
        <v>10241.86</v>
      </c>
      <c r="N994" s="2">
        <v>8043.01</v>
      </c>
      <c r="O994" s="2">
        <v>2198.85</v>
      </c>
      <c r="P994" t="s">
        <v>27</v>
      </c>
      <c r="Q994" t="s">
        <v>42</v>
      </c>
      <c r="R994" t="str">
        <f>TEXT(Table1[[#This Row],[Order Date]],"mmmm")</f>
        <v>April</v>
      </c>
      <c r="S994">
        <f>YEAR(Table1[[#This Row],[Order Date]])</f>
        <v>2025</v>
      </c>
    </row>
    <row r="995" spans="1:19" x14ac:dyDescent="0.3">
      <c r="A995" t="s">
        <v>2011</v>
      </c>
      <c r="B995" s="1">
        <v>45748</v>
      </c>
      <c r="C995" t="s">
        <v>20</v>
      </c>
      <c r="D995" t="s">
        <v>21</v>
      </c>
      <c r="E995" t="s">
        <v>66</v>
      </c>
      <c r="F995" t="s">
        <v>37</v>
      </c>
      <c r="G995" t="s">
        <v>38</v>
      </c>
      <c r="H995" t="s">
        <v>63</v>
      </c>
      <c r="I995" t="s">
        <v>2012</v>
      </c>
      <c r="J995">
        <v>12</v>
      </c>
      <c r="K995" s="2">
        <v>2391.48</v>
      </c>
      <c r="L995">
        <v>5</v>
      </c>
      <c r="M995" s="2">
        <v>27262.87</v>
      </c>
      <c r="N995" s="2">
        <v>16682.62</v>
      </c>
      <c r="O995" s="2">
        <v>10580.25</v>
      </c>
      <c r="P995" t="s">
        <v>41</v>
      </c>
      <c r="Q995" t="s">
        <v>42</v>
      </c>
      <c r="R995" t="str">
        <f>TEXT(Table1[[#This Row],[Order Date]],"mmmm")</f>
        <v>April</v>
      </c>
      <c r="S995">
        <f>YEAR(Table1[[#This Row],[Order Date]])</f>
        <v>2025</v>
      </c>
    </row>
    <row r="996" spans="1:19" x14ac:dyDescent="0.3">
      <c r="A996" t="s">
        <v>2013</v>
      </c>
      <c r="B996" s="1">
        <v>45911</v>
      </c>
      <c r="C996" t="s">
        <v>20</v>
      </c>
      <c r="D996" t="s">
        <v>55</v>
      </c>
      <c r="E996" t="s">
        <v>22</v>
      </c>
      <c r="F996" t="s">
        <v>37</v>
      </c>
      <c r="G996" t="s">
        <v>24</v>
      </c>
      <c r="H996" t="s">
        <v>134</v>
      </c>
      <c r="I996" t="s">
        <v>2014</v>
      </c>
      <c r="J996">
        <v>6</v>
      </c>
      <c r="K996" s="2">
        <v>2475.38</v>
      </c>
      <c r="L996">
        <v>15</v>
      </c>
      <c r="M996" s="2">
        <v>12624.44</v>
      </c>
      <c r="N996" s="2">
        <v>9597.32</v>
      </c>
      <c r="O996" s="2">
        <v>3027.12</v>
      </c>
      <c r="P996" t="s">
        <v>27</v>
      </c>
      <c r="Q996" t="s">
        <v>61</v>
      </c>
      <c r="R996" t="str">
        <f>TEXT(Table1[[#This Row],[Order Date]],"mmmm")</f>
        <v>September</v>
      </c>
      <c r="S996">
        <f>YEAR(Table1[[#This Row],[Order Date]])</f>
        <v>2025</v>
      </c>
    </row>
    <row r="997" spans="1:19" x14ac:dyDescent="0.3">
      <c r="A997" t="s">
        <v>2015</v>
      </c>
      <c r="B997" s="1">
        <v>45734</v>
      </c>
      <c r="C997" t="s">
        <v>35</v>
      </c>
      <c r="D997" t="s">
        <v>36</v>
      </c>
      <c r="E997" t="s">
        <v>44</v>
      </c>
      <c r="F997" t="s">
        <v>37</v>
      </c>
      <c r="G997" t="s">
        <v>24</v>
      </c>
      <c r="H997" t="s">
        <v>25</v>
      </c>
      <c r="I997" t="s">
        <v>2016</v>
      </c>
      <c r="J997">
        <v>1</v>
      </c>
      <c r="K997" s="2">
        <v>4936.32</v>
      </c>
      <c r="L997">
        <v>0</v>
      </c>
      <c r="M997" s="2">
        <v>4936.32</v>
      </c>
      <c r="N997" s="2">
        <v>3941.69</v>
      </c>
      <c r="O997" s="2">
        <v>994.63</v>
      </c>
      <c r="P997" t="s">
        <v>41</v>
      </c>
      <c r="Q997" t="s">
        <v>42</v>
      </c>
      <c r="R997" t="str">
        <f>TEXT(Table1[[#This Row],[Order Date]],"mmmm")</f>
        <v>March</v>
      </c>
      <c r="S997">
        <f>YEAR(Table1[[#This Row],[Order Date]])</f>
        <v>2025</v>
      </c>
    </row>
    <row r="998" spans="1:19" x14ac:dyDescent="0.3">
      <c r="A998" t="s">
        <v>2017</v>
      </c>
      <c r="B998" s="1">
        <v>46006</v>
      </c>
      <c r="C998" t="s">
        <v>86</v>
      </c>
      <c r="D998" t="s">
        <v>90</v>
      </c>
      <c r="E998" t="s">
        <v>22</v>
      </c>
      <c r="F998" t="s">
        <v>31</v>
      </c>
      <c r="G998" t="s">
        <v>38</v>
      </c>
      <c r="H998" t="s">
        <v>91</v>
      </c>
      <c r="I998" t="s">
        <v>2018</v>
      </c>
      <c r="J998">
        <v>10</v>
      </c>
      <c r="K998" s="2">
        <v>2283.92</v>
      </c>
      <c r="L998">
        <v>15</v>
      </c>
      <c r="M998" s="2">
        <v>19413.32</v>
      </c>
      <c r="N998" s="2">
        <v>15155.33</v>
      </c>
      <c r="O998" s="2">
        <v>4257.99</v>
      </c>
      <c r="P998" t="s">
        <v>48</v>
      </c>
      <c r="Q998" t="s">
        <v>49</v>
      </c>
      <c r="R998" t="str">
        <f>TEXT(Table1[[#This Row],[Order Date]],"mmmm")</f>
        <v>December</v>
      </c>
      <c r="S998">
        <f>YEAR(Table1[[#This Row],[Order Date]])</f>
        <v>2025</v>
      </c>
    </row>
    <row r="999" spans="1:19" x14ac:dyDescent="0.3">
      <c r="A999" t="s">
        <v>2019</v>
      </c>
      <c r="B999" s="1">
        <v>46028</v>
      </c>
      <c r="C999" t="s">
        <v>35</v>
      </c>
      <c r="D999" t="s">
        <v>36</v>
      </c>
      <c r="E999" t="s">
        <v>66</v>
      </c>
      <c r="F999" t="s">
        <v>31</v>
      </c>
      <c r="G999" t="s">
        <v>24</v>
      </c>
      <c r="H999" t="s">
        <v>56</v>
      </c>
      <c r="I999" t="s">
        <v>2020</v>
      </c>
      <c r="J999">
        <v>13</v>
      </c>
      <c r="K999" s="2">
        <v>3159.52</v>
      </c>
      <c r="L999">
        <v>15</v>
      </c>
      <c r="M999" s="2">
        <v>34912.699999999997</v>
      </c>
      <c r="N999" s="2">
        <v>22392.37</v>
      </c>
      <c r="O999" s="2">
        <v>12520.33</v>
      </c>
      <c r="P999" t="s">
        <v>27</v>
      </c>
      <c r="Q999" t="s">
        <v>28</v>
      </c>
      <c r="R999" t="str">
        <f>TEXT(Table1[[#This Row],[Order Date]],"mmmm")</f>
        <v>January</v>
      </c>
      <c r="S999">
        <f>YEAR(Table1[[#This Row],[Order Date]])</f>
        <v>2026</v>
      </c>
    </row>
    <row r="1000" spans="1:19" x14ac:dyDescent="0.3">
      <c r="A1000" t="s">
        <v>2021</v>
      </c>
      <c r="B1000" s="1">
        <v>46013</v>
      </c>
      <c r="C1000" t="s">
        <v>70</v>
      </c>
      <c r="D1000" t="s">
        <v>71</v>
      </c>
      <c r="E1000" t="s">
        <v>66</v>
      </c>
      <c r="F1000" t="s">
        <v>31</v>
      </c>
      <c r="G1000" t="s">
        <v>38</v>
      </c>
      <c r="H1000" t="s">
        <v>39</v>
      </c>
      <c r="I1000" t="s">
        <v>2022</v>
      </c>
      <c r="J1000">
        <v>13</v>
      </c>
      <c r="K1000" s="2">
        <v>1983.17</v>
      </c>
      <c r="L1000">
        <v>15</v>
      </c>
      <c r="M1000" s="2">
        <v>21914.03</v>
      </c>
      <c r="N1000" s="2">
        <v>14172.89</v>
      </c>
      <c r="O1000" s="2">
        <v>7741.14</v>
      </c>
      <c r="P1000" t="s">
        <v>27</v>
      </c>
      <c r="Q1000" t="s">
        <v>28</v>
      </c>
      <c r="R1000" t="str">
        <f>TEXT(Table1[[#This Row],[Order Date]],"mmmm")</f>
        <v>December</v>
      </c>
      <c r="S1000">
        <f>YEAR(Table1[[#This Row],[Order Date]])</f>
        <v>2025</v>
      </c>
    </row>
    <row r="1001" spans="1:19" x14ac:dyDescent="0.3">
      <c r="A1001" t="s">
        <v>2023</v>
      </c>
      <c r="B1001" s="1">
        <v>45933</v>
      </c>
      <c r="C1001" t="s">
        <v>20</v>
      </c>
      <c r="D1001" t="s">
        <v>21</v>
      </c>
      <c r="E1001" t="s">
        <v>30</v>
      </c>
      <c r="F1001" t="s">
        <v>37</v>
      </c>
      <c r="G1001" t="s">
        <v>24</v>
      </c>
      <c r="H1001" t="s">
        <v>134</v>
      </c>
      <c r="I1001" t="s">
        <v>2024</v>
      </c>
      <c r="J1001">
        <v>12</v>
      </c>
      <c r="K1001" s="2">
        <v>1166.81</v>
      </c>
      <c r="L1001">
        <v>10</v>
      </c>
      <c r="M1001" s="2">
        <v>12601.55</v>
      </c>
      <c r="N1001" s="2">
        <v>7367.47</v>
      </c>
      <c r="O1001" s="2">
        <v>5234.08</v>
      </c>
      <c r="P1001" t="s">
        <v>48</v>
      </c>
      <c r="Q1001" t="s">
        <v>49</v>
      </c>
      <c r="R1001" t="str">
        <f>TEXT(Table1[[#This Row],[Order Date]],"mmmm")</f>
        <v>October</v>
      </c>
      <c r="S1001">
        <f>YEAR(Table1[[#This Row],[Order Date]])</f>
        <v>2025</v>
      </c>
    </row>
    <row r="1002" spans="1:19" x14ac:dyDescent="0.3">
      <c r="A1002">
        <f>SUBTOTAL(103,A2:A1001)</f>
        <v>1000</v>
      </c>
      <c r="B1002" s="1"/>
      <c r="K1002" s="2"/>
      <c r="M1002" s="2">
        <f>SUBTOTAL(109,M2:M1001)</f>
        <v>18240573.670000017</v>
      </c>
      <c r="N1002" s="2">
        <f>SUBTOTAL(109,N2:N1001)</f>
        <v>12463710.310000006</v>
      </c>
      <c r="O1002" s="2"/>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01"/>
  <sheetViews>
    <sheetView tabSelected="1" workbookViewId="0">
      <selection sqref="A1:Q1001"/>
    </sheetView>
  </sheetViews>
  <sheetFormatPr defaultRowHeight="14.4" x14ac:dyDescent="0.3"/>
  <cols>
    <col min="1" max="1" width="9.88671875" customWidth="1"/>
    <col min="2" max="2" width="12" customWidth="1"/>
    <col min="5" max="5" width="12.88671875" customWidth="1"/>
    <col min="6" max="6" width="18.88671875" customWidth="1"/>
    <col min="7" max="7" width="10.44140625" customWidth="1"/>
    <col min="8" max="8" width="14.33203125" customWidth="1"/>
    <col min="9" max="9" width="9.5546875" customWidth="1"/>
    <col min="11" max="11" width="11" customWidth="1"/>
    <col min="12" max="12" width="12.109375" customWidth="1"/>
    <col min="13" max="13" width="10.21875" customWidth="1"/>
    <col min="16" max="16" width="9.77734375" customWidth="1"/>
    <col min="17" max="17" width="10.44140625"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19</v>
      </c>
      <c r="B2" s="1">
        <v>45790</v>
      </c>
      <c r="C2" t="s">
        <v>20</v>
      </c>
      <c r="D2" t="s">
        <v>21</v>
      </c>
      <c r="E2" t="s">
        <v>22</v>
      </c>
      <c r="F2" t="s">
        <v>23</v>
      </c>
      <c r="G2" t="s">
        <v>24</v>
      </c>
      <c r="H2" t="s">
        <v>25</v>
      </c>
      <c r="I2" t="s">
        <v>26</v>
      </c>
      <c r="J2">
        <v>7</v>
      </c>
      <c r="K2" s="2">
        <v>3307.79</v>
      </c>
      <c r="L2">
        <v>5</v>
      </c>
      <c r="M2" s="2">
        <v>21996.799999999999</v>
      </c>
      <c r="N2" s="2">
        <v>13289.01</v>
      </c>
      <c r="O2" s="2">
        <v>8707.7900000000009</v>
      </c>
      <c r="P2" t="s">
        <v>27</v>
      </c>
      <c r="Q2" t="s">
        <v>28</v>
      </c>
    </row>
    <row r="3" spans="1:17" x14ac:dyDescent="0.3">
      <c r="A3" t="s">
        <v>29</v>
      </c>
      <c r="B3" s="1">
        <v>46150</v>
      </c>
      <c r="C3" t="s">
        <v>20</v>
      </c>
      <c r="D3" t="s">
        <v>21</v>
      </c>
      <c r="E3" t="s">
        <v>30</v>
      </c>
      <c r="F3" t="s">
        <v>31</v>
      </c>
      <c r="G3" t="s">
        <v>24</v>
      </c>
      <c r="H3" t="s">
        <v>32</v>
      </c>
      <c r="I3" t="s">
        <v>33</v>
      </c>
      <c r="J3">
        <v>10</v>
      </c>
      <c r="K3" s="2">
        <v>4140.0600000000004</v>
      </c>
      <c r="L3">
        <v>0</v>
      </c>
      <c r="M3" s="2">
        <v>41400.6</v>
      </c>
      <c r="N3" s="2">
        <v>32613.85</v>
      </c>
      <c r="O3" s="2">
        <v>8786.75</v>
      </c>
      <c r="P3" t="s">
        <v>27</v>
      </c>
      <c r="Q3" t="s">
        <v>28</v>
      </c>
    </row>
    <row r="4" spans="1:17" x14ac:dyDescent="0.3">
      <c r="A4" t="s">
        <v>34</v>
      </c>
      <c r="B4" s="1">
        <v>45943</v>
      </c>
      <c r="C4" t="s">
        <v>35</v>
      </c>
      <c r="D4" t="s">
        <v>36</v>
      </c>
      <c r="E4" t="s">
        <v>30</v>
      </c>
      <c r="F4" t="s">
        <v>37</v>
      </c>
      <c r="G4" t="s">
        <v>38</v>
      </c>
      <c r="H4" t="s">
        <v>39</v>
      </c>
      <c r="I4" t="s">
        <v>40</v>
      </c>
      <c r="J4">
        <v>13</v>
      </c>
      <c r="K4" s="2">
        <v>4126.45</v>
      </c>
      <c r="L4">
        <v>15</v>
      </c>
      <c r="M4" s="2">
        <v>45597.27</v>
      </c>
      <c r="N4" s="2">
        <v>26050.2</v>
      </c>
      <c r="O4" s="2">
        <v>19547.07</v>
      </c>
      <c r="P4" t="s">
        <v>41</v>
      </c>
      <c r="Q4" t="s">
        <v>42</v>
      </c>
    </row>
    <row r="5" spans="1:17" x14ac:dyDescent="0.3">
      <c r="A5" t="s">
        <v>43</v>
      </c>
      <c r="B5" s="1">
        <v>46073</v>
      </c>
      <c r="C5" t="s">
        <v>20</v>
      </c>
      <c r="D5" t="s">
        <v>21</v>
      </c>
      <c r="E5" t="s">
        <v>44</v>
      </c>
      <c r="F5" t="s">
        <v>37</v>
      </c>
      <c r="G5" t="s">
        <v>45</v>
      </c>
      <c r="H5" t="s">
        <v>46</v>
      </c>
      <c r="I5" t="s">
        <v>47</v>
      </c>
      <c r="J5">
        <v>11</v>
      </c>
      <c r="K5" s="2">
        <v>4728.07</v>
      </c>
      <c r="L5">
        <v>15</v>
      </c>
      <c r="M5" s="2">
        <v>44207.45</v>
      </c>
      <c r="N5" s="2">
        <v>31674.14</v>
      </c>
      <c r="O5" s="2">
        <v>12533.31</v>
      </c>
      <c r="P5" t="s">
        <v>48</v>
      </c>
      <c r="Q5" t="s">
        <v>49</v>
      </c>
    </row>
    <row r="6" spans="1:17" x14ac:dyDescent="0.3">
      <c r="A6" t="s">
        <v>50</v>
      </c>
      <c r="B6" s="1">
        <v>45717</v>
      </c>
      <c r="C6" t="s">
        <v>20</v>
      </c>
      <c r="D6" t="s">
        <v>21</v>
      </c>
      <c r="E6" t="s">
        <v>51</v>
      </c>
      <c r="F6" t="s">
        <v>37</v>
      </c>
      <c r="G6" t="s">
        <v>45</v>
      </c>
      <c r="H6" t="s">
        <v>52</v>
      </c>
      <c r="I6" t="s">
        <v>53</v>
      </c>
      <c r="J6">
        <v>10</v>
      </c>
      <c r="K6" s="2">
        <v>2169.3200000000002</v>
      </c>
      <c r="L6">
        <v>5</v>
      </c>
      <c r="M6" s="2">
        <v>20608.54</v>
      </c>
      <c r="N6" s="2">
        <v>15851.94</v>
      </c>
      <c r="O6" s="2">
        <v>4756.6000000000004</v>
      </c>
      <c r="P6" t="s">
        <v>48</v>
      </c>
      <c r="Q6" t="s">
        <v>42</v>
      </c>
    </row>
    <row r="7" spans="1:17" x14ac:dyDescent="0.3">
      <c r="A7" t="s">
        <v>54</v>
      </c>
      <c r="B7" s="1">
        <v>45910</v>
      </c>
      <c r="C7" t="s">
        <v>20</v>
      </c>
      <c r="D7" t="s">
        <v>55</v>
      </c>
      <c r="E7" t="s">
        <v>51</v>
      </c>
      <c r="F7" t="s">
        <v>31</v>
      </c>
      <c r="G7" t="s">
        <v>24</v>
      </c>
      <c r="H7" t="s">
        <v>56</v>
      </c>
      <c r="I7" t="s">
        <v>57</v>
      </c>
      <c r="J7">
        <v>11</v>
      </c>
      <c r="K7" s="2">
        <v>4333.96</v>
      </c>
      <c r="L7">
        <v>10</v>
      </c>
      <c r="M7" s="2">
        <v>42906.2</v>
      </c>
      <c r="N7" s="2">
        <v>26492.94</v>
      </c>
      <c r="O7" s="2">
        <v>16413.259999999998</v>
      </c>
      <c r="P7" t="s">
        <v>27</v>
      </c>
      <c r="Q7" t="s">
        <v>42</v>
      </c>
    </row>
    <row r="8" spans="1:17" x14ac:dyDescent="0.3">
      <c r="A8" t="s">
        <v>58</v>
      </c>
      <c r="B8" s="1">
        <v>45849</v>
      </c>
      <c r="C8" t="s">
        <v>35</v>
      </c>
      <c r="D8" t="s">
        <v>59</v>
      </c>
      <c r="E8" t="s">
        <v>30</v>
      </c>
      <c r="F8" t="s">
        <v>23</v>
      </c>
      <c r="G8" t="s">
        <v>45</v>
      </c>
      <c r="H8" t="s">
        <v>46</v>
      </c>
      <c r="I8" t="s">
        <v>60</v>
      </c>
      <c r="J8">
        <v>11</v>
      </c>
      <c r="K8" s="2">
        <v>485.84</v>
      </c>
      <c r="L8">
        <v>20</v>
      </c>
      <c r="M8" s="2">
        <v>4275.3900000000003</v>
      </c>
      <c r="N8" s="2">
        <v>3340.42</v>
      </c>
      <c r="O8" s="2">
        <v>934.97</v>
      </c>
      <c r="P8" t="s">
        <v>48</v>
      </c>
      <c r="Q8" t="s">
        <v>61</v>
      </c>
    </row>
    <row r="9" spans="1:17" x14ac:dyDescent="0.3">
      <c r="A9" t="s">
        <v>62</v>
      </c>
      <c r="B9" s="1">
        <v>45885</v>
      </c>
      <c r="C9" t="s">
        <v>20</v>
      </c>
      <c r="D9" t="s">
        <v>55</v>
      </c>
      <c r="E9" t="s">
        <v>44</v>
      </c>
      <c r="F9" t="s">
        <v>37</v>
      </c>
      <c r="G9" t="s">
        <v>38</v>
      </c>
      <c r="H9" t="s">
        <v>63</v>
      </c>
      <c r="I9" t="s">
        <v>64</v>
      </c>
      <c r="J9">
        <v>14</v>
      </c>
      <c r="K9" s="2">
        <v>1435.08</v>
      </c>
      <c r="L9">
        <v>10</v>
      </c>
      <c r="M9" s="2">
        <v>18082.009999999998</v>
      </c>
      <c r="N9" s="2">
        <v>13408.27</v>
      </c>
      <c r="O9" s="2">
        <v>4673.74</v>
      </c>
      <c r="P9" t="s">
        <v>48</v>
      </c>
      <c r="Q9" t="s">
        <v>61</v>
      </c>
    </row>
    <row r="10" spans="1:17" x14ac:dyDescent="0.3">
      <c r="A10" t="s">
        <v>65</v>
      </c>
      <c r="B10" s="1">
        <v>46142</v>
      </c>
      <c r="C10" t="s">
        <v>20</v>
      </c>
      <c r="D10" t="s">
        <v>21</v>
      </c>
      <c r="E10" t="s">
        <v>66</v>
      </c>
      <c r="F10" t="s">
        <v>31</v>
      </c>
      <c r="G10" t="s">
        <v>45</v>
      </c>
      <c r="H10" t="s">
        <v>67</v>
      </c>
      <c r="I10" t="s">
        <v>68</v>
      </c>
      <c r="J10">
        <v>12</v>
      </c>
      <c r="K10" s="2">
        <v>4660.17</v>
      </c>
      <c r="L10">
        <v>5</v>
      </c>
      <c r="M10" s="2">
        <v>53125.94</v>
      </c>
      <c r="N10" s="2">
        <v>38250.36</v>
      </c>
      <c r="O10" s="2">
        <v>14875.58</v>
      </c>
      <c r="P10" t="s">
        <v>48</v>
      </c>
      <c r="Q10" t="s">
        <v>28</v>
      </c>
    </row>
    <row r="11" spans="1:17" x14ac:dyDescent="0.3">
      <c r="A11" t="s">
        <v>69</v>
      </c>
      <c r="B11" s="1">
        <v>46165</v>
      </c>
      <c r="C11" t="s">
        <v>70</v>
      </c>
      <c r="D11" t="s">
        <v>71</v>
      </c>
      <c r="E11" t="s">
        <v>44</v>
      </c>
      <c r="F11" t="s">
        <v>23</v>
      </c>
      <c r="G11" t="s">
        <v>38</v>
      </c>
      <c r="H11" t="s">
        <v>72</v>
      </c>
      <c r="I11" t="s">
        <v>73</v>
      </c>
      <c r="J11">
        <v>5</v>
      </c>
      <c r="K11" s="2">
        <v>4161.6499999999996</v>
      </c>
      <c r="L11">
        <v>10</v>
      </c>
      <c r="M11" s="2">
        <v>18727.419999999998</v>
      </c>
      <c r="N11" s="2">
        <v>15283.82</v>
      </c>
      <c r="O11" s="2">
        <v>3443.6</v>
      </c>
      <c r="P11" t="s">
        <v>27</v>
      </c>
      <c r="Q11" t="s">
        <v>49</v>
      </c>
    </row>
    <row r="12" spans="1:17" x14ac:dyDescent="0.3">
      <c r="A12" t="s">
        <v>74</v>
      </c>
      <c r="B12" s="1">
        <v>45917</v>
      </c>
      <c r="C12" t="s">
        <v>70</v>
      </c>
      <c r="D12" t="s">
        <v>75</v>
      </c>
      <c r="E12" t="s">
        <v>30</v>
      </c>
      <c r="F12" t="s">
        <v>23</v>
      </c>
      <c r="G12" t="s">
        <v>38</v>
      </c>
      <c r="H12" t="s">
        <v>72</v>
      </c>
      <c r="I12" t="s">
        <v>76</v>
      </c>
      <c r="J12">
        <v>3</v>
      </c>
      <c r="K12" s="2">
        <v>4734</v>
      </c>
      <c r="L12">
        <v>10</v>
      </c>
      <c r="M12" s="2">
        <v>12781.8</v>
      </c>
      <c r="N12" s="2">
        <v>10045.17</v>
      </c>
      <c r="O12" s="2">
        <v>2736.63</v>
      </c>
      <c r="P12" t="s">
        <v>27</v>
      </c>
      <c r="Q12" t="s">
        <v>28</v>
      </c>
    </row>
    <row r="13" spans="1:17" x14ac:dyDescent="0.3">
      <c r="A13" t="s">
        <v>77</v>
      </c>
      <c r="B13" s="1">
        <v>46172</v>
      </c>
      <c r="C13" t="s">
        <v>70</v>
      </c>
      <c r="D13" t="s">
        <v>75</v>
      </c>
      <c r="E13" t="s">
        <v>44</v>
      </c>
      <c r="F13" t="s">
        <v>23</v>
      </c>
      <c r="G13" t="s">
        <v>45</v>
      </c>
      <c r="H13" t="s">
        <v>52</v>
      </c>
      <c r="I13" t="s">
        <v>78</v>
      </c>
      <c r="J13">
        <v>8</v>
      </c>
      <c r="K13" s="2">
        <v>1529.94</v>
      </c>
      <c r="L13">
        <v>20</v>
      </c>
      <c r="M13" s="2">
        <v>9791.6200000000008</v>
      </c>
      <c r="N13" s="2">
        <v>6042.57</v>
      </c>
      <c r="O13" s="2">
        <v>3749.05</v>
      </c>
      <c r="P13" t="s">
        <v>27</v>
      </c>
      <c r="Q13" t="s">
        <v>49</v>
      </c>
    </row>
    <row r="14" spans="1:17" x14ac:dyDescent="0.3">
      <c r="A14" t="s">
        <v>79</v>
      </c>
      <c r="B14" s="1">
        <v>46112</v>
      </c>
      <c r="C14" t="s">
        <v>20</v>
      </c>
      <c r="D14" t="s">
        <v>55</v>
      </c>
      <c r="E14" t="s">
        <v>44</v>
      </c>
      <c r="F14" t="s">
        <v>31</v>
      </c>
      <c r="G14" t="s">
        <v>24</v>
      </c>
      <c r="H14" t="s">
        <v>32</v>
      </c>
      <c r="I14" t="s">
        <v>80</v>
      </c>
      <c r="J14">
        <v>2</v>
      </c>
      <c r="K14" s="2">
        <v>480.84</v>
      </c>
      <c r="L14">
        <v>15</v>
      </c>
      <c r="M14" s="2">
        <v>817.43</v>
      </c>
      <c r="N14" s="2">
        <v>536.85</v>
      </c>
      <c r="O14" s="2">
        <v>280.58</v>
      </c>
      <c r="P14" t="s">
        <v>48</v>
      </c>
      <c r="Q14" t="s">
        <v>42</v>
      </c>
    </row>
    <row r="15" spans="1:17" x14ac:dyDescent="0.3">
      <c r="A15" t="s">
        <v>81</v>
      </c>
      <c r="B15" s="1">
        <v>45839</v>
      </c>
      <c r="C15" t="s">
        <v>35</v>
      </c>
      <c r="D15" t="s">
        <v>36</v>
      </c>
      <c r="E15" t="s">
        <v>66</v>
      </c>
      <c r="F15" t="s">
        <v>23</v>
      </c>
      <c r="G15" t="s">
        <v>38</v>
      </c>
      <c r="H15" t="s">
        <v>63</v>
      </c>
      <c r="I15" t="s">
        <v>82</v>
      </c>
      <c r="J15">
        <v>10</v>
      </c>
      <c r="K15" s="2">
        <v>4277.93</v>
      </c>
      <c r="L15">
        <v>20</v>
      </c>
      <c r="M15" s="2">
        <v>34223.440000000002</v>
      </c>
      <c r="N15" s="2">
        <v>25263.59</v>
      </c>
      <c r="O15" s="2">
        <v>8959.85</v>
      </c>
      <c r="P15" t="s">
        <v>41</v>
      </c>
      <c r="Q15" t="s">
        <v>61</v>
      </c>
    </row>
    <row r="16" spans="1:17" x14ac:dyDescent="0.3">
      <c r="A16" t="s">
        <v>83</v>
      </c>
      <c r="B16" s="1">
        <v>45690</v>
      </c>
      <c r="C16" t="s">
        <v>20</v>
      </c>
      <c r="D16" t="s">
        <v>55</v>
      </c>
      <c r="E16" t="s">
        <v>51</v>
      </c>
      <c r="F16" t="s">
        <v>23</v>
      </c>
      <c r="G16" t="s">
        <v>24</v>
      </c>
      <c r="H16" t="s">
        <v>25</v>
      </c>
      <c r="I16" t="s">
        <v>84</v>
      </c>
      <c r="J16">
        <v>9</v>
      </c>
      <c r="K16" s="2">
        <v>1660.47</v>
      </c>
      <c r="L16">
        <v>15</v>
      </c>
      <c r="M16" s="2">
        <v>12702.6</v>
      </c>
      <c r="N16" s="2">
        <v>7825.17</v>
      </c>
      <c r="O16" s="2">
        <v>4877.43</v>
      </c>
      <c r="P16" t="s">
        <v>27</v>
      </c>
      <c r="Q16" t="s">
        <v>49</v>
      </c>
    </row>
    <row r="17" spans="1:17" x14ac:dyDescent="0.3">
      <c r="A17" t="s">
        <v>85</v>
      </c>
      <c r="B17" s="1">
        <v>45971</v>
      </c>
      <c r="C17" t="s">
        <v>86</v>
      </c>
      <c r="D17" t="s">
        <v>87</v>
      </c>
      <c r="E17" t="s">
        <v>66</v>
      </c>
      <c r="F17" t="s">
        <v>37</v>
      </c>
      <c r="G17" t="s">
        <v>45</v>
      </c>
      <c r="H17" t="s">
        <v>46</v>
      </c>
      <c r="I17" t="s">
        <v>88</v>
      </c>
      <c r="J17">
        <v>10</v>
      </c>
      <c r="K17" s="2">
        <v>1174.82</v>
      </c>
      <c r="L17">
        <v>15</v>
      </c>
      <c r="M17" s="2">
        <v>9985.9699999999993</v>
      </c>
      <c r="N17" s="2">
        <v>7304.46</v>
      </c>
      <c r="O17" s="2">
        <v>2681.51</v>
      </c>
      <c r="P17" t="s">
        <v>48</v>
      </c>
      <c r="Q17" t="s">
        <v>28</v>
      </c>
    </row>
    <row r="18" spans="1:17" x14ac:dyDescent="0.3">
      <c r="A18" t="s">
        <v>89</v>
      </c>
      <c r="B18" s="1">
        <v>45742</v>
      </c>
      <c r="C18" t="s">
        <v>86</v>
      </c>
      <c r="D18" t="s">
        <v>90</v>
      </c>
      <c r="E18" t="s">
        <v>22</v>
      </c>
      <c r="F18" t="s">
        <v>37</v>
      </c>
      <c r="G18" t="s">
        <v>38</v>
      </c>
      <c r="H18" t="s">
        <v>91</v>
      </c>
      <c r="I18" t="s">
        <v>92</v>
      </c>
      <c r="J18">
        <v>1</v>
      </c>
      <c r="K18" s="2">
        <v>3560.08</v>
      </c>
      <c r="L18">
        <v>5</v>
      </c>
      <c r="M18" s="2">
        <v>3382.08</v>
      </c>
      <c r="N18" s="2">
        <v>2743.47</v>
      </c>
      <c r="O18" s="2">
        <v>638.61</v>
      </c>
      <c r="P18" t="s">
        <v>48</v>
      </c>
      <c r="Q18" t="s">
        <v>61</v>
      </c>
    </row>
    <row r="19" spans="1:17" x14ac:dyDescent="0.3">
      <c r="A19" t="s">
        <v>93</v>
      </c>
      <c r="B19" s="1">
        <v>45672</v>
      </c>
      <c r="C19" t="s">
        <v>35</v>
      </c>
      <c r="D19" t="s">
        <v>36</v>
      </c>
      <c r="E19" t="s">
        <v>22</v>
      </c>
      <c r="F19" t="s">
        <v>37</v>
      </c>
      <c r="G19" t="s">
        <v>45</v>
      </c>
      <c r="H19" t="s">
        <v>52</v>
      </c>
      <c r="I19" t="s">
        <v>94</v>
      </c>
      <c r="J19">
        <v>11</v>
      </c>
      <c r="K19" s="2">
        <v>1585.64</v>
      </c>
      <c r="L19">
        <v>0</v>
      </c>
      <c r="M19" s="2">
        <v>17442.04</v>
      </c>
      <c r="N19" s="2">
        <v>9755.7099999999991</v>
      </c>
      <c r="O19" s="2">
        <v>7686.33</v>
      </c>
      <c r="P19" t="s">
        <v>27</v>
      </c>
      <c r="Q19" t="s">
        <v>61</v>
      </c>
    </row>
    <row r="20" spans="1:17" x14ac:dyDescent="0.3">
      <c r="A20" t="s">
        <v>95</v>
      </c>
      <c r="B20" s="1">
        <v>45905</v>
      </c>
      <c r="C20" t="s">
        <v>35</v>
      </c>
      <c r="D20" t="s">
        <v>59</v>
      </c>
      <c r="E20" t="s">
        <v>22</v>
      </c>
      <c r="F20" t="s">
        <v>23</v>
      </c>
      <c r="G20" t="s">
        <v>24</v>
      </c>
      <c r="H20" t="s">
        <v>25</v>
      </c>
      <c r="I20" t="s">
        <v>96</v>
      </c>
      <c r="J20">
        <v>10</v>
      </c>
      <c r="K20" s="2">
        <v>2392.11</v>
      </c>
      <c r="L20">
        <v>0</v>
      </c>
      <c r="M20" s="2">
        <v>23921.1</v>
      </c>
      <c r="N20" s="2">
        <v>13775.73</v>
      </c>
      <c r="O20" s="2">
        <v>10145.370000000001</v>
      </c>
      <c r="P20" t="s">
        <v>48</v>
      </c>
      <c r="Q20" t="s">
        <v>28</v>
      </c>
    </row>
    <row r="21" spans="1:17" x14ac:dyDescent="0.3">
      <c r="A21" t="s">
        <v>97</v>
      </c>
      <c r="B21" s="1">
        <v>45963</v>
      </c>
      <c r="C21" t="s">
        <v>70</v>
      </c>
      <c r="D21" t="s">
        <v>75</v>
      </c>
      <c r="E21" t="s">
        <v>44</v>
      </c>
      <c r="F21" t="s">
        <v>23</v>
      </c>
      <c r="G21" t="s">
        <v>38</v>
      </c>
      <c r="H21" t="s">
        <v>39</v>
      </c>
      <c r="I21" t="s">
        <v>98</v>
      </c>
      <c r="J21">
        <v>3</v>
      </c>
      <c r="K21" s="2">
        <v>2133.23</v>
      </c>
      <c r="L21">
        <v>5</v>
      </c>
      <c r="M21" s="2">
        <v>6079.71</v>
      </c>
      <c r="N21" s="2">
        <v>4281.22</v>
      </c>
      <c r="O21" s="2">
        <v>1798.49</v>
      </c>
      <c r="P21" t="s">
        <v>27</v>
      </c>
      <c r="Q21" t="s">
        <v>28</v>
      </c>
    </row>
    <row r="22" spans="1:17" x14ac:dyDescent="0.3">
      <c r="A22" t="s">
        <v>99</v>
      </c>
      <c r="B22" s="1">
        <v>46100</v>
      </c>
      <c r="C22" t="s">
        <v>35</v>
      </c>
      <c r="D22" t="s">
        <v>59</v>
      </c>
      <c r="E22" t="s">
        <v>44</v>
      </c>
      <c r="F22" t="s">
        <v>31</v>
      </c>
      <c r="G22" t="s">
        <v>38</v>
      </c>
      <c r="H22" t="s">
        <v>39</v>
      </c>
      <c r="I22" t="s">
        <v>100</v>
      </c>
      <c r="J22">
        <v>13</v>
      </c>
      <c r="K22" s="2">
        <v>3603.63</v>
      </c>
      <c r="L22">
        <v>5</v>
      </c>
      <c r="M22" s="2">
        <v>44504.83</v>
      </c>
      <c r="N22" s="2">
        <v>29393.279999999999</v>
      </c>
      <c r="O22" s="2">
        <v>15111.55</v>
      </c>
      <c r="P22" t="s">
        <v>41</v>
      </c>
      <c r="Q22" t="s">
        <v>42</v>
      </c>
    </row>
    <row r="23" spans="1:17" x14ac:dyDescent="0.3">
      <c r="A23" t="s">
        <v>101</v>
      </c>
      <c r="B23" s="1">
        <v>45989</v>
      </c>
      <c r="C23" t="s">
        <v>20</v>
      </c>
      <c r="D23" t="s">
        <v>21</v>
      </c>
      <c r="E23" t="s">
        <v>51</v>
      </c>
      <c r="F23" t="s">
        <v>31</v>
      </c>
      <c r="G23" t="s">
        <v>38</v>
      </c>
      <c r="H23" t="s">
        <v>39</v>
      </c>
      <c r="I23" t="s">
        <v>102</v>
      </c>
      <c r="J23">
        <v>15</v>
      </c>
      <c r="K23" s="2">
        <v>294.19</v>
      </c>
      <c r="L23">
        <v>0</v>
      </c>
      <c r="M23" s="2">
        <v>4412.8500000000004</v>
      </c>
      <c r="N23" s="2">
        <v>2928.16</v>
      </c>
      <c r="O23" s="2">
        <v>1484.69</v>
      </c>
      <c r="P23" t="s">
        <v>48</v>
      </c>
      <c r="Q23" t="s">
        <v>61</v>
      </c>
    </row>
    <row r="24" spans="1:17" x14ac:dyDescent="0.3">
      <c r="A24" t="s">
        <v>103</v>
      </c>
      <c r="B24" s="1">
        <v>45809</v>
      </c>
      <c r="C24" t="s">
        <v>20</v>
      </c>
      <c r="D24" t="s">
        <v>21</v>
      </c>
      <c r="E24" t="s">
        <v>51</v>
      </c>
      <c r="F24" t="s">
        <v>31</v>
      </c>
      <c r="G24" t="s">
        <v>38</v>
      </c>
      <c r="H24" t="s">
        <v>39</v>
      </c>
      <c r="I24" t="s">
        <v>104</v>
      </c>
      <c r="J24">
        <v>5</v>
      </c>
      <c r="K24" s="2">
        <v>1058.76</v>
      </c>
      <c r="L24">
        <v>20</v>
      </c>
      <c r="M24" s="2">
        <v>4235.04</v>
      </c>
      <c r="N24" s="2">
        <v>3460.86</v>
      </c>
      <c r="O24" s="2">
        <v>774.18</v>
      </c>
      <c r="P24" t="s">
        <v>41</v>
      </c>
      <c r="Q24" t="s">
        <v>28</v>
      </c>
    </row>
    <row r="25" spans="1:17" x14ac:dyDescent="0.3">
      <c r="A25" t="s">
        <v>105</v>
      </c>
      <c r="B25" s="1">
        <v>46033</v>
      </c>
      <c r="C25" t="s">
        <v>86</v>
      </c>
      <c r="D25" t="s">
        <v>90</v>
      </c>
      <c r="E25" t="s">
        <v>44</v>
      </c>
      <c r="F25" t="s">
        <v>37</v>
      </c>
      <c r="G25" t="s">
        <v>38</v>
      </c>
      <c r="H25" t="s">
        <v>106</v>
      </c>
      <c r="I25" t="s">
        <v>107</v>
      </c>
      <c r="J25">
        <v>2</v>
      </c>
      <c r="K25" s="2">
        <v>2154.37</v>
      </c>
      <c r="L25">
        <v>10</v>
      </c>
      <c r="M25" s="2">
        <v>3877.87</v>
      </c>
      <c r="N25" s="2">
        <v>2139.33</v>
      </c>
      <c r="O25" s="2">
        <v>1738.54</v>
      </c>
      <c r="P25" t="s">
        <v>27</v>
      </c>
      <c r="Q25" t="s">
        <v>61</v>
      </c>
    </row>
    <row r="26" spans="1:17" x14ac:dyDescent="0.3">
      <c r="A26" t="s">
        <v>108</v>
      </c>
      <c r="B26" s="1">
        <v>45918</v>
      </c>
      <c r="C26" t="s">
        <v>35</v>
      </c>
      <c r="D26" t="s">
        <v>59</v>
      </c>
      <c r="E26" t="s">
        <v>30</v>
      </c>
      <c r="F26" t="s">
        <v>31</v>
      </c>
      <c r="G26" t="s">
        <v>38</v>
      </c>
      <c r="H26" t="s">
        <v>39</v>
      </c>
      <c r="I26" t="s">
        <v>109</v>
      </c>
      <c r="J26">
        <v>6</v>
      </c>
      <c r="K26" s="2">
        <v>3494.42</v>
      </c>
      <c r="L26">
        <v>15</v>
      </c>
      <c r="M26" s="2">
        <v>17821.54</v>
      </c>
      <c r="N26" s="2">
        <v>10897.4</v>
      </c>
      <c r="O26" s="2">
        <v>6924.14</v>
      </c>
      <c r="P26" t="s">
        <v>48</v>
      </c>
      <c r="Q26" t="s">
        <v>42</v>
      </c>
    </row>
    <row r="27" spans="1:17" x14ac:dyDescent="0.3">
      <c r="A27" t="s">
        <v>110</v>
      </c>
      <c r="B27" s="1">
        <v>46099</v>
      </c>
      <c r="C27" t="s">
        <v>35</v>
      </c>
      <c r="D27" t="s">
        <v>59</v>
      </c>
      <c r="E27" t="s">
        <v>66</v>
      </c>
      <c r="F27" t="s">
        <v>23</v>
      </c>
      <c r="G27" t="s">
        <v>38</v>
      </c>
      <c r="H27" t="s">
        <v>63</v>
      </c>
      <c r="I27" t="s">
        <v>111</v>
      </c>
      <c r="J27">
        <v>3</v>
      </c>
      <c r="K27" s="2">
        <v>3241.88</v>
      </c>
      <c r="L27">
        <v>20</v>
      </c>
      <c r="M27" s="2">
        <v>7780.51</v>
      </c>
      <c r="N27" s="2">
        <v>5044.66</v>
      </c>
      <c r="O27" s="2">
        <v>2735.85</v>
      </c>
      <c r="P27" t="s">
        <v>27</v>
      </c>
      <c r="Q27" t="s">
        <v>61</v>
      </c>
    </row>
    <row r="28" spans="1:17" x14ac:dyDescent="0.3">
      <c r="A28" t="s">
        <v>112</v>
      </c>
      <c r="B28" s="1">
        <v>46001</v>
      </c>
      <c r="C28" t="s">
        <v>70</v>
      </c>
      <c r="D28" t="s">
        <v>71</v>
      </c>
      <c r="E28" t="s">
        <v>113</v>
      </c>
      <c r="F28" t="s">
        <v>31</v>
      </c>
      <c r="G28" t="s">
        <v>24</v>
      </c>
      <c r="H28" t="s">
        <v>25</v>
      </c>
      <c r="I28" t="s">
        <v>114</v>
      </c>
      <c r="J28">
        <v>11</v>
      </c>
      <c r="K28" s="2">
        <v>750.74</v>
      </c>
      <c r="L28">
        <v>15</v>
      </c>
      <c r="M28" s="2">
        <v>7019.42</v>
      </c>
      <c r="N28" s="2">
        <v>3906.97</v>
      </c>
      <c r="O28" s="2">
        <v>3112.45</v>
      </c>
      <c r="P28" t="s">
        <v>48</v>
      </c>
      <c r="Q28" t="s">
        <v>61</v>
      </c>
    </row>
    <row r="29" spans="1:17" x14ac:dyDescent="0.3">
      <c r="A29" t="s">
        <v>115</v>
      </c>
      <c r="B29" s="1">
        <v>45929</v>
      </c>
      <c r="C29" t="s">
        <v>86</v>
      </c>
      <c r="D29" t="s">
        <v>90</v>
      </c>
      <c r="E29" t="s">
        <v>113</v>
      </c>
      <c r="F29" t="s">
        <v>31</v>
      </c>
      <c r="G29" t="s">
        <v>24</v>
      </c>
      <c r="H29" t="s">
        <v>56</v>
      </c>
      <c r="I29" t="s">
        <v>116</v>
      </c>
      <c r="J29">
        <v>2</v>
      </c>
      <c r="K29" s="2">
        <v>1839.5</v>
      </c>
      <c r="L29">
        <v>10</v>
      </c>
      <c r="M29" s="2">
        <v>3311.1</v>
      </c>
      <c r="N29" s="2">
        <v>1980.83</v>
      </c>
      <c r="O29" s="2">
        <v>1330.27</v>
      </c>
      <c r="P29" t="s">
        <v>48</v>
      </c>
      <c r="Q29" t="s">
        <v>49</v>
      </c>
    </row>
    <row r="30" spans="1:17" x14ac:dyDescent="0.3">
      <c r="A30" t="s">
        <v>117</v>
      </c>
      <c r="B30" s="1">
        <v>46074</v>
      </c>
      <c r="C30" t="s">
        <v>86</v>
      </c>
      <c r="D30" t="s">
        <v>87</v>
      </c>
      <c r="E30" t="s">
        <v>51</v>
      </c>
      <c r="F30" t="s">
        <v>23</v>
      </c>
      <c r="G30" t="s">
        <v>45</v>
      </c>
      <c r="H30" t="s">
        <v>52</v>
      </c>
      <c r="I30" t="s">
        <v>118</v>
      </c>
      <c r="J30">
        <v>6</v>
      </c>
      <c r="K30" s="2">
        <v>4855.41</v>
      </c>
      <c r="L30">
        <v>15</v>
      </c>
      <c r="M30" s="2">
        <v>24762.59</v>
      </c>
      <c r="N30" s="2">
        <v>19962.95</v>
      </c>
      <c r="O30" s="2">
        <v>4799.6400000000003</v>
      </c>
      <c r="P30" t="s">
        <v>41</v>
      </c>
      <c r="Q30" t="s">
        <v>42</v>
      </c>
    </row>
    <row r="31" spans="1:17" x14ac:dyDescent="0.3">
      <c r="A31" t="s">
        <v>119</v>
      </c>
      <c r="B31" s="1">
        <v>46119</v>
      </c>
      <c r="C31" t="s">
        <v>20</v>
      </c>
      <c r="D31" t="s">
        <v>55</v>
      </c>
      <c r="E31" t="s">
        <v>120</v>
      </c>
      <c r="F31" t="s">
        <v>23</v>
      </c>
      <c r="G31" t="s">
        <v>24</v>
      </c>
      <c r="H31" t="s">
        <v>32</v>
      </c>
      <c r="I31" t="s">
        <v>121</v>
      </c>
      <c r="J31">
        <v>2</v>
      </c>
      <c r="K31" s="2">
        <v>573.58000000000004</v>
      </c>
      <c r="L31">
        <v>5</v>
      </c>
      <c r="M31" s="2">
        <v>1089.8</v>
      </c>
      <c r="N31" s="2">
        <v>866.22</v>
      </c>
      <c r="O31" s="2">
        <v>223.58</v>
      </c>
      <c r="P31" t="s">
        <v>48</v>
      </c>
      <c r="Q31" t="s">
        <v>49</v>
      </c>
    </row>
    <row r="32" spans="1:17" x14ac:dyDescent="0.3">
      <c r="A32" t="s">
        <v>122</v>
      </c>
      <c r="B32" s="1">
        <v>46018</v>
      </c>
      <c r="C32" t="s">
        <v>70</v>
      </c>
      <c r="D32" t="s">
        <v>75</v>
      </c>
      <c r="E32" t="s">
        <v>120</v>
      </c>
      <c r="F32" t="s">
        <v>23</v>
      </c>
      <c r="G32" t="s">
        <v>45</v>
      </c>
      <c r="H32" t="s">
        <v>123</v>
      </c>
      <c r="I32" t="s">
        <v>124</v>
      </c>
      <c r="J32">
        <v>5</v>
      </c>
      <c r="K32" s="2">
        <v>3530.9</v>
      </c>
      <c r="L32">
        <v>0</v>
      </c>
      <c r="M32" s="2">
        <v>17654.5</v>
      </c>
      <c r="N32" s="2">
        <v>12053.48</v>
      </c>
      <c r="O32" s="2">
        <v>5601.02</v>
      </c>
      <c r="P32" t="s">
        <v>27</v>
      </c>
      <c r="Q32" t="s">
        <v>49</v>
      </c>
    </row>
    <row r="33" spans="1:17" x14ac:dyDescent="0.3">
      <c r="A33" t="s">
        <v>125</v>
      </c>
      <c r="B33" s="1">
        <v>46118</v>
      </c>
      <c r="C33" t="s">
        <v>35</v>
      </c>
      <c r="D33" t="s">
        <v>36</v>
      </c>
      <c r="E33" t="s">
        <v>30</v>
      </c>
      <c r="F33" t="s">
        <v>31</v>
      </c>
      <c r="G33" t="s">
        <v>38</v>
      </c>
      <c r="H33" t="s">
        <v>72</v>
      </c>
      <c r="I33" t="s">
        <v>126</v>
      </c>
      <c r="J33">
        <v>10</v>
      </c>
      <c r="K33" s="2">
        <v>4822.96</v>
      </c>
      <c r="L33">
        <v>0</v>
      </c>
      <c r="M33" s="2">
        <v>48229.599999999999</v>
      </c>
      <c r="N33" s="2">
        <v>37692.239999999998</v>
      </c>
      <c r="O33" s="2">
        <v>10537.36</v>
      </c>
      <c r="P33" t="s">
        <v>48</v>
      </c>
      <c r="Q33" t="s">
        <v>61</v>
      </c>
    </row>
    <row r="34" spans="1:17" x14ac:dyDescent="0.3">
      <c r="A34" t="s">
        <v>127</v>
      </c>
      <c r="B34" s="1">
        <v>46134</v>
      </c>
      <c r="C34" t="s">
        <v>86</v>
      </c>
      <c r="D34" t="s">
        <v>90</v>
      </c>
      <c r="E34" t="s">
        <v>66</v>
      </c>
      <c r="F34" t="s">
        <v>23</v>
      </c>
      <c r="G34" t="s">
        <v>38</v>
      </c>
      <c r="H34" t="s">
        <v>63</v>
      </c>
      <c r="I34" t="s">
        <v>128</v>
      </c>
      <c r="J34">
        <v>6</v>
      </c>
      <c r="K34" s="2">
        <v>4265.34</v>
      </c>
      <c r="L34">
        <v>20</v>
      </c>
      <c r="M34" s="2">
        <v>20473.63</v>
      </c>
      <c r="N34" s="2">
        <v>14900.42</v>
      </c>
      <c r="O34" s="2">
        <v>5573.21</v>
      </c>
      <c r="P34" t="s">
        <v>27</v>
      </c>
      <c r="Q34" t="s">
        <v>28</v>
      </c>
    </row>
    <row r="35" spans="1:17" x14ac:dyDescent="0.3">
      <c r="A35" t="s">
        <v>129</v>
      </c>
      <c r="B35" s="1">
        <v>45839</v>
      </c>
      <c r="C35" t="s">
        <v>70</v>
      </c>
      <c r="D35" t="s">
        <v>71</v>
      </c>
      <c r="E35" t="s">
        <v>22</v>
      </c>
      <c r="F35" t="s">
        <v>23</v>
      </c>
      <c r="G35" t="s">
        <v>38</v>
      </c>
      <c r="H35" t="s">
        <v>106</v>
      </c>
      <c r="I35" t="s">
        <v>130</v>
      </c>
      <c r="J35">
        <v>13</v>
      </c>
      <c r="K35" s="2">
        <v>1479.42</v>
      </c>
      <c r="L35">
        <v>20</v>
      </c>
      <c r="M35" s="2">
        <v>15385.97</v>
      </c>
      <c r="N35" s="2">
        <v>9859.4</v>
      </c>
      <c r="O35" s="2">
        <v>5526.57</v>
      </c>
      <c r="P35" t="s">
        <v>27</v>
      </c>
      <c r="Q35" t="s">
        <v>42</v>
      </c>
    </row>
    <row r="36" spans="1:17" x14ac:dyDescent="0.3">
      <c r="A36" t="s">
        <v>131</v>
      </c>
      <c r="B36" s="1">
        <v>45732</v>
      </c>
      <c r="C36" t="s">
        <v>20</v>
      </c>
      <c r="D36" t="s">
        <v>55</v>
      </c>
      <c r="E36" t="s">
        <v>113</v>
      </c>
      <c r="F36" t="s">
        <v>31</v>
      </c>
      <c r="G36" t="s">
        <v>38</v>
      </c>
      <c r="H36" t="s">
        <v>72</v>
      </c>
      <c r="I36" t="s">
        <v>132</v>
      </c>
      <c r="J36">
        <v>3</v>
      </c>
      <c r="K36" s="2">
        <v>1294.1400000000001</v>
      </c>
      <c r="L36">
        <v>5</v>
      </c>
      <c r="M36" s="2">
        <v>3688.3</v>
      </c>
      <c r="N36" s="2">
        <v>2894.35</v>
      </c>
      <c r="O36" s="2">
        <v>793.95</v>
      </c>
      <c r="P36" t="s">
        <v>48</v>
      </c>
      <c r="Q36" t="s">
        <v>28</v>
      </c>
    </row>
    <row r="37" spans="1:17" x14ac:dyDescent="0.3">
      <c r="A37" t="s">
        <v>133</v>
      </c>
      <c r="B37" s="1">
        <v>46072</v>
      </c>
      <c r="C37" t="s">
        <v>70</v>
      </c>
      <c r="D37" t="s">
        <v>71</v>
      </c>
      <c r="E37" t="s">
        <v>113</v>
      </c>
      <c r="F37" t="s">
        <v>37</v>
      </c>
      <c r="G37" t="s">
        <v>24</v>
      </c>
      <c r="H37" t="s">
        <v>134</v>
      </c>
      <c r="I37" t="s">
        <v>135</v>
      </c>
      <c r="J37">
        <v>9</v>
      </c>
      <c r="K37" s="2">
        <v>3596.77</v>
      </c>
      <c r="L37">
        <v>10</v>
      </c>
      <c r="M37" s="2">
        <v>29133.84</v>
      </c>
      <c r="N37" s="2">
        <v>22524.34</v>
      </c>
      <c r="O37" s="2">
        <v>6609.5</v>
      </c>
      <c r="P37" t="s">
        <v>41</v>
      </c>
      <c r="Q37" t="s">
        <v>49</v>
      </c>
    </row>
    <row r="38" spans="1:17" x14ac:dyDescent="0.3">
      <c r="A38" t="s">
        <v>136</v>
      </c>
      <c r="B38" s="1">
        <v>45783</v>
      </c>
      <c r="C38" t="s">
        <v>86</v>
      </c>
      <c r="D38" t="s">
        <v>90</v>
      </c>
      <c r="E38" t="s">
        <v>22</v>
      </c>
      <c r="F38" t="s">
        <v>23</v>
      </c>
      <c r="G38" t="s">
        <v>45</v>
      </c>
      <c r="H38" t="s">
        <v>52</v>
      </c>
      <c r="I38" t="s">
        <v>137</v>
      </c>
      <c r="J38">
        <v>1</v>
      </c>
      <c r="K38" s="2">
        <v>2484.9299999999998</v>
      </c>
      <c r="L38">
        <v>20</v>
      </c>
      <c r="M38" s="2">
        <v>1987.94</v>
      </c>
      <c r="N38" s="2">
        <v>1400.09</v>
      </c>
      <c r="O38" s="2">
        <v>587.85</v>
      </c>
      <c r="P38" t="s">
        <v>41</v>
      </c>
      <c r="Q38" t="s">
        <v>42</v>
      </c>
    </row>
    <row r="39" spans="1:17" x14ac:dyDescent="0.3">
      <c r="A39" t="s">
        <v>138</v>
      </c>
      <c r="B39" s="1">
        <v>45978</v>
      </c>
      <c r="C39" t="s">
        <v>35</v>
      </c>
      <c r="D39" t="s">
        <v>59</v>
      </c>
      <c r="E39" t="s">
        <v>113</v>
      </c>
      <c r="F39" t="s">
        <v>31</v>
      </c>
      <c r="G39" t="s">
        <v>38</v>
      </c>
      <c r="H39" t="s">
        <v>91</v>
      </c>
      <c r="I39" t="s">
        <v>139</v>
      </c>
      <c r="J39">
        <v>7</v>
      </c>
      <c r="K39" s="2">
        <v>997.65</v>
      </c>
      <c r="L39">
        <v>5</v>
      </c>
      <c r="M39" s="2">
        <v>6634.37</v>
      </c>
      <c r="N39" s="2">
        <v>5416.7</v>
      </c>
      <c r="O39" s="2">
        <v>1217.67</v>
      </c>
      <c r="P39" t="s">
        <v>41</v>
      </c>
      <c r="Q39" t="s">
        <v>28</v>
      </c>
    </row>
    <row r="40" spans="1:17" x14ac:dyDescent="0.3">
      <c r="A40" t="s">
        <v>140</v>
      </c>
      <c r="B40" s="1">
        <v>45969</v>
      </c>
      <c r="C40" t="s">
        <v>35</v>
      </c>
      <c r="D40" t="s">
        <v>36</v>
      </c>
      <c r="E40" t="s">
        <v>51</v>
      </c>
      <c r="F40" t="s">
        <v>31</v>
      </c>
      <c r="G40" t="s">
        <v>45</v>
      </c>
      <c r="H40" t="s">
        <v>52</v>
      </c>
      <c r="I40" t="s">
        <v>141</v>
      </c>
      <c r="J40">
        <v>11</v>
      </c>
      <c r="K40" s="2">
        <v>3729.56</v>
      </c>
      <c r="L40">
        <v>0</v>
      </c>
      <c r="M40" s="2">
        <v>41025.160000000003</v>
      </c>
      <c r="N40" s="2">
        <v>25446.240000000002</v>
      </c>
      <c r="O40" s="2">
        <v>15578.92</v>
      </c>
      <c r="P40" t="s">
        <v>27</v>
      </c>
      <c r="Q40" t="s">
        <v>61</v>
      </c>
    </row>
    <row r="41" spans="1:17" x14ac:dyDescent="0.3">
      <c r="A41" t="s">
        <v>142</v>
      </c>
      <c r="B41" s="1">
        <v>45917</v>
      </c>
      <c r="C41" t="s">
        <v>35</v>
      </c>
      <c r="D41" t="s">
        <v>59</v>
      </c>
      <c r="E41" t="s">
        <v>120</v>
      </c>
      <c r="F41" t="s">
        <v>37</v>
      </c>
      <c r="G41" t="s">
        <v>24</v>
      </c>
      <c r="H41" t="s">
        <v>25</v>
      </c>
      <c r="I41" t="s">
        <v>143</v>
      </c>
      <c r="J41">
        <v>10</v>
      </c>
      <c r="K41" s="2">
        <v>4521.9799999999996</v>
      </c>
      <c r="L41">
        <v>0</v>
      </c>
      <c r="M41" s="2">
        <v>45219.8</v>
      </c>
      <c r="N41" s="2">
        <v>36071.019999999997</v>
      </c>
      <c r="O41" s="2">
        <v>9148.7800000000007</v>
      </c>
      <c r="P41" t="s">
        <v>41</v>
      </c>
      <c r="Q41" t="s">
        <v>61</v>
      </c>
    </row>
    <row r="42" spans="1:17" x14ac:dyDescent="0.3">
      <c r="A42" t="s">
        <v>144</v>
      </c>
      <c r="B42" s="1">
        <v>45877</v>
      </c>
      <c r="C42" t="s">
        <v>86</v>
      </c>
      <c r="D42" t="s">
        <v>87</v>
      </c>
      <c r="E42" t="s">
        <v>30</v>
      </c>
      <c r="F42" t="s">
        <v>37</v>
      </c>
      <c r="G42" t="s">
        <v>24</v>
      </c>
      <c r="H42" t="s">
        <v>56</v>
      </c>
      <c r="I42" t="s">
        <v>145</v>
      </c>
      <c r="J42">
        <v>2</v>
      </c>
      <c r="K42" s="2">
        <v>3663.06</v>
      </c>
      <c r="L42">
        <v>0</v>
      </c>
      <c r="M42" s="2">
        <v>7326.12</v>
      </c>
      <c r="N42" s="2">
        <v>5679.99</v>
      </c>
      <c r="O42" s="2">
        <v>1646.13</v>
      </c>
      <c r="P42" t="s">
        <v>41</v>
      </c>
      <c r="Q42" t="s">
        <v>28</v>
      </c>
    </row>
    <row r="43" spans="1:17" x14ac:dyDescent="0.3">
      <c r="A43" t="s">
        <v>146</v>
      </c>
      <c r="B43" s="1">
        <v>45675</v>
      </c>
      <c r="C43" t="s">
        <v>35</v>
      </c>
      <c r="D43" t="s">
        <v>59</v>
      </c>
      <c r="E43" t="s">
        <v>51</v>
      </c>
      <c r="F43" t="s">
        <v>31</v>
      </c>
      <c r="G43" t="s">
        <v>38</v>
      </c>
      <c r="H43" t="s">
        <v>39</v>
      </c>
      <c r="I43" t="s">
        <v>147</v>
      </c>
      <c r="J43">
        <v>15</v>
      </c>
      <c r="K43" s="2">
        <v>1647.05</v>
      </c>
      <c r="L43">
        <v>15</v>
      </c>
      <c r="M43" s="2">
        <v>20999.89</v>
      </c>
      <c r="N43" s="2">
        <v>15718.56</v>
      </c>
      <c r="O43" s="2">
        <v>5281.33</v>
      </c>
      <c r="P43" t="s">
        <v>41</v>
      </c>
      <c r="Q43" t="s">
        <v>49</v>
      </c>
    </row>
    <row r="44" spans="1:17" x14ac:dyDescent="0.3">
      <c r="A44" t="s">
        <v>148</v>
      </c>
      <c r="B44" s="1">
        <v>45892</v>
      </c>
      <c r="C44" t="s">
        <v>70</v>
      </c>
      <c r="D44" t="s">
        <v>75</v>
      </c>
      <c r="E44" t="s">
        <v>66</v>
      </c>
      <c r="F44" t="s">
        <v>37</v>
      </c>
      <c r="G44" t="s">
        <v>45</v>
      </c>
      <c r="H44" t="s">
        <v>123</v>
      </c>
      <c r="I44" t="s">
        <v>149</v>
      </c>
      <c r="J44">
        <v>8</v>
      </c>
      <c r="K44" s="2">
        <v>4675.12</v>
      </c>
      <c r="L44">
        <v>5</v>
      </c>
      <c r="M44" s="2">
        <v>35530.910000000003</v>
      </c>
      <c r="N44" s="2">
        <v>21084.47</v>
      </c>
      <c r="O44" s="2">
        <v>14446.44</v>
      </c>
      <c r="P44" t="s">
        <v>41</v>
      </c>
      <c r="Q44" t="s">
        <v>61</v>
      </c>
    </row>
    <row r="45" spans="1:17" x14ac:dyDescent="0.3">
      <c r="A45" t="s">
        <v>150</v>
      </c>
      <c r="B45" s="1">
        <v>46003</v>
      </c>
      <c r="C45" t="s">
        <v>70</v>
      </c>
      <c r="D45" t="s">
        <v>75</v>
      </c>
      <c r="E45" t="s">
        <v>22</v>
      </c>
      <c r="F45" t="s">
        <v>23</v>
      </c>
      <c r="G45" t="s">
        <v>45</v>
      </c>
      <c r="H45" t="s">
        <v>123</v>
      </c>
      <c r="I45" t="s">
        <v>151</v>
      </c>
      <c r="J45">
        <v>2</v>
      </c>
      <c r="K45" s="2">
        <v>2283.62</v>
      </c>
      <c r="L45">
        <v>15</v>
      </c>
      <c r="M45" s="2">
        <v>3882.15</v>
      </c>
      <c r="N45" s="2">
        <v>2432.06</v>
      </c>
      <c r="O45" s="2">
        <v>1450.09</v>
      </c>
      <c r="P45" t="s">
        <v>41</v>
      </c>
      <c r="Q45" t="s">
        <v>28</v>
      </c>
    </row>
    <row r="46" spans="1:17" x14ac:dyDescent="0.3">
      <c r="A46" t="s">
        <v>152</v>
      </c>
      <c r="B46" s="1">
        <v>45924</v>
      </c>
      <c r="C46" t="s">
        <v>70</v>
      </c>
      <c r="D46" t="s">
        <v>71</v>
      </c>
      <c r="E46" t="s">
        <v>22</v>
      </c>
      <c r="F46" t="s">
        <v>31</v>
      </c>
      <c r="G46" t="s">
        <v>45</v>
      </c>
      <c r="H46" t="s">
        <v>52</v>
      </c>
      <c r="I46" t="s">
        <v>153</v>
      </c>
      <c r="J46">
        <v>1</v>
      </c>
      <c r="K46" s="2">
        <v>1899.34</v>
      </c>
      <c r="L46">
        <v>10</v>
      </c>
      <c r="M46" s="2">
        <v>1709.41</v>
      </c>
      <c r="N46" s="2">
        <v>1260.9000000000001</v>
      </c>
      <c r="O46" s="2">
        <v>448.51</v>
      </c>
      <c r="P46" t="s">
        <v>41</v>
      </c>
      <c r="Q46" t="s">
        <v>28</v>
      </c>
    </row>
    <row r="47" spans="1:17" x14ac:dyDescent="0.3">
      <c r="A47" t="s">
        <v>154</v>
      </c>
      <c r="B47" s="1">
        <v>45680</v>
      </c>
      <c r="C47" t="s">
        <v>20</v>
      </c>
      <c r="D47" t="s">
        <v>21</v>
      </c>
      <c r="E47" t="s">
        <v>30</v>
      </c>
      <c r="F47" t="s">
        <v>23</v>
      </c>
      <c r="G47" t="s">
        <v>38</v>
      </c>
      <c r="H47" t="s">
        <v>63</v>
      </c>
      <c r="I47" t="s">
        <v>155</v>
      </c>
      <c r="J47">
        <v>11</v>
      </c>
      <c r="K47" s="2">
        <v>757.09</v>
      </c>
      <c r="L47">
        <v>20</v>
      </c>
      <c r="M47" s="2">
        <v>6662.39</v>
      </c>
      <c r="N47" s="2">
        <v>5262.61</v>
      </c>
      <c r="O47" s="2">
        <v>1399.78</v>
      </c>
      <c r="P47" t="s">
        <v>41</v>
      </c>
      <c r="Q47" t="s">
        <v>49</v>
      </c>
    </row>
    <row r="48" spans="1:17" x14ac:dyDescent="0.3">
      <c r="A48" t="s">
        <v>156</v>
      </c>
      <c r="B48" s="1">
        <v>46148</v>
      </c>
      <c r="C48" t="s">
        <v>35</v>
      </c>
      <c r="D48" t="s">
        <v>59</v>
      </c>
      <c r="E48" t="s">
        <v>113</v>
      </c>
      <c r="F48" t="s">
        <v>37</v>
      </c>
      <c r="G48" t="s">
        <v>38</v>
      </c>
      <c r="H48" t="s">
        <v>106</v>
      </c>
      <c r="I48" t="s">
        <v>157</v>
      </c>
      <c r="J48">
        <v>4</v>
      </c>
      <c r="K48" s="2">
        <v>2191.9699999999998</v>
      </c>
      <c r="L48">
        <v>20</v>
      </c>
      <c r="M48" s="2">
        <v>7014.3</v>
      </c>
      <c r="N48" s="2">
        <v>4876.67</v>
      </c>
      <c r="O48" s="2">
        <v>2137.63</v>
      </c>
      <c r="P48" t="s">
        <v>41</v>
      </c>
      <c r="Q48" t="s">
        <v>42</v>
      </c>
    </row>
    <row r="49" spans="1:17" x14ac:dyDescent="0.3">
      <c r="A49" t="s">
        <v>158</v>
      </c>
      <c r="B49" s="1">
        <v>45893</v>
      </c>
      <c r="C49" t="s">
        <v>20</v>
      </c>
      <c r="D49" t="s">
        <v>55</v>
      </c>
      <c r="E49" t="s">
        <v>44</v>
      </c>
      <c r="F49" t="s">
        <v>37</v>
      </c>
      <c r="G49" t="s">
        <v>45</v>
      </c>
      <c r="H49" t="s">
        <v>159</v>
      </c>
      <c r="I49" t="s">
        <v>160</v>
      </c>
      <c r="J49">
        <v>7</v>
      </c>
      <c r="K49" s="2">
        <v>1879.81</v>
      </c>
      <c r="L49">
        <v>5</v>
      </c>
      <c r="M49" s="2">
        <v>12500.74</v>
      </c>
      <c r="N49" s="2">
        <v>10170.08</v>
      </c>
      <c r="O49" s="2">
        <v>2330.66</v>
      </c>
      <c r="P49" t="s">
        <v>41</v>
      </c>
      <c r="Q49" t="s">
        <v>42</v>
      </c>
    </row>
    <row r="50" spans="1:17" x14ac:dyDescent="0.3">
      <c r="A50" t="s">
        <v>161</v>
      </c>
      <c r="B50" s="1">
        <v>45826</v>
      </c>
      <c r="C50" t="s">
        <v>20</v>
      </c>
      <c r="D50" t="s">
        <v>55</v>
      </c>
      <c r="E50" t="s">
        <v>120</v>
      </c>
      <c r="F50" t="s">
        <v>37</v>
      </c>
      <c r="G50" t="s">
        <v>38</v>
      </c>
      <c r="H50" t="s">
        <v>91</v>
      </c>
      <c r="I50" t="s">
        <v>162</v>
      </c>
      <c r="J50">
        <v>4</v>
      </c>
      <c r="K50" s="2">
        <v>3378.05</v>
      </c>
      <c r="L50">
        <v>15</v>
      </c>
      <c r="M50" s="2">
        <v>11485.37</v>
      </c>
      <c r="N50" s="2">
        <v>9016.18</v>
      </c>
      <c r="O50" s="2">
        <v>2469.19</v>
      </c>
      <c r="P50" t="s">
        <v>48</v>
      </c>
      <c r="Q50" t="s">
        <v>61</v>
      </c>
    </row>
    <row r="51" spans="1:17" x14ac:dyDescent="0.3">
      <c r="A51" t="s">
        <v>163</v>
      </c>
      <c r="B51" s="1">
        <v>45976</v>
      </c>
      <c r="C51" t="s">
        <v>70</v>
      </c>
      <c r="D51" t="s">
        <v>71</v>
      </c>
      <c r="E51" t="s">
        <v>51</v>
      </c>
      <c r="F51" t="s">
        <v>37</v>
      </c>
      <c r="G51" t="s">
        <v>38</v>
      </c>
      <c r="H51" t="s">
        <v>72</v>
      </c>
      <c r="I51" t="s">
        <v>164</v>
      </c>
      <c r="J51">
        <v>14</v>
      </c>
      <c r="K51" s="2">
        <v>4487.57</v>
      </c>
      <c r="L51">
        <v>10</v>
      </c>
      <c r="M51" s="2">
        <v>56543.38</v>
      </c>
      <c r="N51" s="2">
        <v>42064.17</v>
      </c>
      <c r="O51" s="2">
        <v>14479.21</v>
      </c>
      <c r="P51" t="s">
        <v>41</v>
      </c>
      <c r="Q51" t="s">
        <v>49</v>
      </c>
    </row>
    <row r="52" spans="1:17" x14ac:dyDescent="0.3">
      <c r="A52" t="s">
        <v>165</v>
      </c>
      <c r="B52" s="1">
        <v>45809</v>
      </c>
      <c r="C52" t="s">
        <v>70</v>
      </c>
      <c r="D52" t="s">
        <v>71</v>
      </c>
      <c r="E52" t="s">
        <v>44</v>
      </c>
      <c r="F52" t="s">
        <v>31</v>
      </c>
      <c r="G52" t="s">
        <v>24</v>
      </c>
      <c r="H52" t="s">
        <v>25</v>
      </c>
      <c r="I52" t="s">
        <v>166</v>
      </c>
      <c r="J52">
        <v>15</v>
      </c>
      <c r="K52" s="2">
        <v>897.07</v>
      </c>
      <c r="L52">
        <v>20</v>
      </c>
      <c r="M52" s="2">
        <v>10764.84</v>
      </c>
      <c r="N52" s="2">
        <v>6665.4</v>
      </c>
      <c r="O52" s="2">
        <v>4099.4399999999996</v>
      </c>
      <c r="P52" t="s">
        <v>41</v>
      </c>
      <c r="Q52" t="s">
        <v>61</v>
      </c>
    </row>
    <row r="53" spans="1:17" x14ac:dyDescent="0.3">
      <c r="A53" t="s">
        <v>167</v>
      </c>
      <c r="B53" s="1">
        <v>45700</v>
      </c>
      <c r="C53" t="s">
        <v>20</v>
      </c>
      <c r="D53" t="s">
        <v>21</v>
      </c>
      <c r="E53" t="s">
        <v>120</v>
      </c>
      <c r="F53" t="s">
        <v>31</v>
      </c>
      <c r="G53" t="s">
        <v>45</v>
      </c>
      <c r="H53" t="s">
        <v>159</v>
      </c>
      <c r="I53" t="s">
        <v>168</v>
      </c>
      <c r="J53">
        <v>11</v>
      </c>
      <c r="K53" s="2">
        <v>4229.9399999999996</v>
      </c>
      <c r="L53">
        <v>10</v>
      </c>
      <c r="M53" s="2">
        <v>41876.410000000003</v>
      </c>
      <c r="N53" s="2">
        <v>24036.62</v>
      </c>
      <c r="O53" s="2">
        <v>17839.79</v>
      </c>
      <c r="P53" t="s">
        <v>41</v>
      </c>
      <c r="Q53" t="s">
        <v>61</v>
      </c>
    </row>
    <row r="54" spans="1:17" x14ac:dyDescent="0.3">
      <c r="A54" t="s">
        <v>169</v>
      </c>
      <c r="B54" s="1">
        <v>46087</v>
      </c>
      <c r="C54" t="s">
        <v>70</v>
      </c>
      <c r="D54" t="s">
        <v>75</v>
      </c>
      <c r="E54" t="s">
        <v>170</v>
      </c>
      <c r="F54" t="s">
        <v>37</v>
      </c>
      <c r="G54" t="s">
        <v>24</v>
      </c>
      <c r="H54" t="s">
        <v>171</v>
      </c>
      <c r="I54" t="s">
        <v>172</v>
      </c>
      <c r="J54">
        <v>11</v>
      </c>
      <c r="K54" s="2">
        <v>2535.88</v>
      </c>
      <c r="L54">
        <v>20</v>
      </c>
      <c r="M54" s="2">
        <v>22315.74</v>
      </c>
      <c r="N54" s="2">
        <v>16340.19</v>
      </c>
      <c r="O54" s="2">
        <v>5975.55</v>
      </c>
      <c r="P54" t="s">
        <v>41</v>
      </c>
      <c r="Q54" t="s">
        <v>42</v>
      </c>
    </row>
    <row r="55" spans="1:17" x14ac:dyDescent="0.3">
      <c r="A55" t="s">
        <v>173</v>
      </c>
      <c r="B55" s="1">
        <v>45750</v>
      </c>
      <c r="C55" t="s">
        <v>20</v>
      </c>
      <c r="D55" t="s">
        <v>55</v>
      </c>
      <c r="E55" t="s">
        <v>170</v>
      </c>
      <c r="F55" t="s">
        <v>37</v>
      </c>
      <c r="G55" t="s">
        <v>24</v>
      </c>
      <c r="H55" t="s">
        <v>25</v>
      </c>
      <c r="I55" t="s">
        <v>174</v>
      </c>
      <c r="J55">
        <v>3</v>
      </c>
      <c r="K55" s="2">
        <v>258.33</v>
      </c>
      <c r="L55">
        <v>5</v>
      </c>
      <c r="M55" s="2">
        <v>736.24</v>
      </c>
      <c r="N55" s="2">
        <v>416.65</v>
      </c>
      <c r="O55" s="2">
        <v>319.58999999999997</v>
      </c>
      <c r="P55" t="s">
        <v>48</v>
      </c>
      <c r="Q55" t="s">
        <v>61</v>
      </c>
    </row>
    <row r="56" spans="1:17" x14ac:dyDescent="0.3">
      <c r="A56" t="s">
        <v>175</v>
      </c>
      <c r="B56" s="1">
        <v>45979</v>
      </c>
      <c r="C56" t="s">
        <v>35</v>
      </c>
      <c r="D56" t="s">
        <v>36</v>
      </c>
      <c r="E56" t="s">
        <v>120</v>
      </c>
      <c r="F56" t="s">
        <v>37</v>
      </c>
      <c r="G56" t="s">
        <v>45</v>
      </c>
      <c r="H56" t="s">
        <v>123</v>
      </c>
      <c r="I56" t="s">
        <v>176</v>
      </c>
      <c r="J56">
        <v>2</v>
      </c>
      <c r="K56" s="2">
        <v>1113.78</v>
      </c>
      <c r="L56">
        <v>10</v>
      </c>
      <c r="M56" s="2">
        <v>2004.8</v>
      </c>
      <c r="N56" s="2">
        <v>1559.65</v>
      </c>
      <c r="O56" s="2">
        <v>445.15</v>
      </c>
      <c r="P56" t="s">
        <v>41</v>
      </c>
      <c r="Q56" t="s">
        <v>42</v>
      </c>
    </row>
    <row r="57" spans="1:17" x14ac:dyDescent="0.3">
      <c r="A57" t="s">
        <v>177</v>
      </c>
      <c r="B57" s="1">
        <v>45759</v>
      </c>
      <c r="C57" t="s">
        <v>70</v>
      </c>
      <c r="D57" t="s">
        <v>71</v>
      </c>
      <c r="E57" t="s">
        <v>66</v>
      </c>
      <c r="F57" t="s">
        <v>37</v>
      </c>
      <c r="G57" t="s">
        <v>24</v>
      </c>
      <c r="H57" t="s">
        <v>134</v>
      </c>
      <c r="I57" t="s">
        <v>178</v>
      </c>
      <c r="J57">
        <v>15</v>
      </c>
      <c r="K57" s="2">
        <v>630.38</v>
      </c>
      <c r="L57">
        <v>5</v>
      </c>
      <c r="M57" s="2">
        <v>8982.92</v>
      </c>
      <c r="N57" s="2">
        <v>5616.4</v>
      </c>
      <c r="O57" s="2">
        <v>3366.52</v>
      </c>
      <c r="P57" t="s">
        <v>41</v>
      </c>
      <c r="Q57" t="s">
        <v>42</v>
      </c>
    </row>
    <row r="58" spans="1:17" x14ac:dyDescent="0.3">
      <c r="A58" t="s">
        <v>179</v>
      </c>
      <c r="B58" s="1">
        <v>45704</v>
      </c>
      <c r="C58" t="s">
        <v>20</v>
      </c>
      <c r="D58" t="s">
        <v>21</v>
      </c>
      <c r="E58" t="s">
        <v>120</v>
      </c>
      <c r="F58" t="s">
        <v>31</v>
      </c>
      <c r="G58" t="s">
        <v>45</v>
      </c>
      <c r="H58" t="s">
        <v>67</v>
      </c>
      <c r="I58" t="s">
        <v>180</v>
      </c>
      <c r="J58">
        <v>10</v>
      </c>
      <c r="K58" s="2">
        <v>2084.36</v>
      </c>
      <c r="L58">
        <v>15</v>
      </c>
      <c r="M58" s="2">
        <v>17717.060000000001</v>
      </c>
      <c r="N58" s="2">
        <v>12306.03</v>
      </c>
      <c r="O58" s="2">
        <v>5411.03</v>
      </c>
      <c r="P58" t="s">
        <v>27</v>
      </c>
      <c r="Q58" t="s">
        <v>28</v>
      </c>
    </row>
    <row r="59" spans="1:17" x14ac:dyDescent="0.3">
      <c r="A59" t="s">
        <v>181</v>
      </c>
      <c r="B59" s="1">
        <v>46126</v>
      </c>
      <c r="C59" t="s">
        <v>86</v>
      </c>
      <c r="D59" t="s">
        <v>90</v>
      </c>
      <c r="E59" t="s">
        <v>170</v>
      </c>
      <c r="F59" t="s">
        <v>37</v>
      </c>
      <c r="G59" t="s">
        <v>38</v>
      </c>
      <c r="H59" t="s">
        <v>63</v>
      </c>
      <c r="I59" t="s">
        <v>155</v>
      </c>
      <c r="J59">
        <v>14</v>
      </c>
      <c r="K59" s="2">
        <v>2475.21</v>
      </c>
      <c r="L59">
        <v>10</v>
      </c>
      <c r="M59" s="2">
        <v>31187.65</v>
      </c>
      <c r="N59" s="2">
        <v>19907.96</v>
      </c>
      <c r="O59" s="2">
        <v>11279.69</v>
      </c>
      <c r="P59" t="s">
        <v>41</v>
      </c>
      <c r="Q59" t="s">
        <v>49</v>
      </c>
    </row>
    <row r="60" spans="1:17" x14ac:dyDescent="0.3">
      <c r="A60" t="s">
        <v>182</v>
      </c>
      <c r="B60" s="1">
        <v>45965</v>
      </c>
      <c r="C60" t="s">
        <v>35</v>
      </c>
      <c r="D60" t="s">
        <v>59</v>
      </c>
      <c r="E60" t="s">
        <v>170</v>
      </c>
      <c r="F60" t="s">
        <v>31</v>
      </c>
      <c r="G60" t="s">
        <v>38</v>
      </c>
      <c r="H60" t="s">
        <v>91</v>
      </c>
      <c r="I60" t="s">
        <v>183</v>
      </c>
      <c r="J60">
        <v>15</v>
      </c>
      <c r="K60" s="2">
        <v>4161.82</v>
      </c>
      <c r="L60">
        <v>10</v>
      </c>
      <c r="M60" s="2">
        <v>56184.57</v>
      </c>
      <c r="N60" s="2">
        <v>44124.57</v>
      </c>
      <c r="O60" s="2">
        <v>12060</v>
      </c>
      <c r="P60" t="s">
        <v>48</v>
      </c>
      <c r="Q60" t="s">
        <v>61</v>
      </c>
    </row>
    <row r="61" spans="1:17" x14ac:dyDescent="0.3">
      <c r="A61" t="s">
        <v>184</v>
      </c>
      <c r="B61" s="1">
        <v>45677</v>
      </c>
      <c r="C61" t="s">
        <v>20</v>
      </c>
      <c r="D61" t="s">
        <v>21</v>
      </c>
      <c r="E61" t="s">
        <v>44</v>
      </c>
      <c r="F61" t="s">
        <v>37</v>
      </c>
      <c r="G61" t="s">
        <v>24</v>
      </c>
      <c r="H61" t="s">
        <v>134</v>
      </c>
      <c r="I61" t="s">
        <v>185</v>
      </c>
      <c r="J61">
        <v>12</v>
      </c>
      <c r="K61" s="2">
        <v>4798.3100000000004</v>
      </c>
      <c r="L61">
        <v>10</v>
      </c>
      <c r="M61" s="2">
        <v>51821.75</v>
      </c>
      <c r="N61" s="2">
        <v>40160.870000000003</v>
      </c>
      <c r="O61" s="2">
        <v>11660.88</v>
      </c>
      <c r="P61" t="s">
        <v>27</v>
      </c>
      <c r="Q61" t="s">
        <v>49</v>
      </c>
    </row>
    <row r="62" spans="1:17" x14ac:dyDescent="0.3">
      <c r="A62" t="s">
        <v>186</v>
      </c>
      <c r="B62" s="1">
        <v>45952</v>
      </c>
      <c r="C62" t="s">
        <v>20</v>
      </c>
      <c r="D62" t="s">
        <v>55</v>
      </c>
      <c r="E62" t="s">
        <v>170</v>
      </c>
      <c r="F62" t="s">
        <v>23</v>
      </c>
      <c r="G62" t="s">
        <v>45</v>
      </c>
      <c r="H62" t="s">
        <v>123</v>
      </c>
      <c r="I62" t="s">
        <v>187</v>
      </c>
      <c r="J62">
        <v>10</v>
      </c>
      <c r="K62" s="2">
        <v>4421.08</v>
      </c>
      <c r="L62">
        <v>15</v>
      </c>
      <c r="M62" s="2">
        <v>37579.18</v>
      </c>
      <c r="N62" s="2">
        <v>24662.66</v>
      </c>
      <c r="O62" s="2">
        <v>12916.52</v>
      </c>
      <c r="P62" t="s">
        <v>27</v>
      </c>
      <c r="Q62" t="s">
        <v>42</v>
      </c>
    </row>
    <row r="63" spans="1:17" x14ac:dyDescent="0.3">
      <c r="A63" t="s">
        <v>188</v>
      </c>
      <c r="B63" s="1">
        <v>45827</v>
      </c>
      <c r="C63" t="s">
        <v>20</v>
      </c>
      <c r="D63" t="s">
        <v>21</v>
      </c>
      <c r="E63" t="s">
        <v>170</v>
      </c>
      <c r="F63" t="s">
        <v>31</v>
      </c>
      <c r="G63" t="s">
        <v>45</v>
      </c>
      <c r="H63" t="s">
        <v>46</v>
      </c>
      <c r="I63" t="s">
        <v>189</v>
      </c>
      <c r="J63">
        <v>8</v>
      </c>
      <c r="K63" s="2">
        <v>4866.0200000000004</v>
      </c>
      <c r="L63">
        <v>10</v>
      </c>
      <c r="M63" s="2">
        <v>35035.339999999997</v>
      </c>
      <c r="N63" s="2">
        <v>25061.27</v>
      </c>
      <c r="O63" s="2">
        <v>9974.07</v>
      </c>
      <c r="P63" t="s">
        <v>27</v>
      </c>
      <c r="Q63" t="s">
        <v>42</v>
      </c>
    </row>
    <row r="64" spans="1:17" x14ac:dyDescent="0.3">
      <c r="A64" t="s">
        <v>190</v>
      </c>
      <c r="B64" s="1">
        <v>45940</v>
      </c>
      <c r="C64" t="s">
        <v>35</v>
      </c>
      <c r="D64" t="s">
        <v>59</v>
      </c>
      <c r="E64" t="s">
        <v>22</v>
      </c>
      <c r="F64" t="s">
        <v>23</v>
      </c>
      <c r="G64" t="s">
        <v>38</v>
      </c>
      <c r="H64" t="s">
        <v>39</v>
      </c>
      <c r="I64" t="s">
        <v>191</v>
      </c>
      <c r="J64">
        <v>11</v>
      </c>
      <c r="K64" s="2">
        <v>218.04</v>
      </c>
      <c r="L64">
        <v>10</v>
      </c>
      <c r="M64" s="2">
        <v>2158.6</v>
      </c>
      <c r="N64" s="2">
        <v>1625.19</v>
      </c>
      <c r="O64" s="2">
        <v>533.41</v>
      </c>
      <c r="P64" t="s">
        <v>27</v>
      </c>
      <c r="Q64" t="s">
        <v>49</v>
      </c>
    </row>
    <row r="65" spans="1:17" x14ac:dyDescent="0.3">
      <c r="A65" t="s">
        <v>192</v>
      </c>
      <c r="B65" s="1">
        <v>45718</v>
      </c>
      <c r="C65" t="s">
        <v>35</v>
      </c>
      <c r="D65" t="s">
        <v>59</v>
      </c>
      <c r="E65" t="s">
        <v>30</v>
      </c>
      <c r="F65" t="s">
        <v>37</v>
      </c>
      <c r="G65" t="s">
        <v>45</v>
      </c>
      <c r="H65" t="s">
        <v>159</v>
      </c>
      <c r="I65" t="s">
        <v>193</v>
      </c>
      <c r="J65">
        <v>1</v>
      </c>
      <c r="K65" s="2">
        <v>1907.07</v>
      </c>
      <c r="L65">
        <v>0</v>
      </c>
      <c r="M65" s="2">
        <v>1907.07</v>
      </c>
      <c r="N65" s="2">
        <v>1131.53</v>
      </c>
      <c r="O65" s="2">
        <v>775.54</v>
      </c>
      <c r="P65" t="s">
        <v>48</v>
      </c>
      <c r="Q65" t="s">
        <v>42</v>
      </c>
    </row>
    <row r="66" spans="1:17" x14ac:dyDescent="0.3">
      <c r="A66" t="s">
        <v>194</v>
      </c>
      <c r="B66" s="1">
        <v>45689</v>
      </c>
      <c r="C66" t="s">
        <v>35</v>
      </c>
      <c r="D66" t="s">
        <v>36</v>
      </c>
      <c r="E66" t="s">
        <v>22</v>
      </c>
      <c r="F66" t="s">
        <v>31</v>
      </c>
      <c r="G66" t="s">
        <v>38</v>
      </c>
      <c r="H66" t="s">
        <v>91</v>
      </c>
      <c r="I66" t="s">
        <v>195</v>
      </c>
      <c r="J66">
        <v>2</v>
      </c>
      <c r="K66" s="2">
        <v>3630.32</v>
      </c>
      <c r="L66">
        <v>10</v>
      </c>
      <c r="M66" s="2">
        <v>6534.58</v>
      </c>
      <c r="N66" s="2">
        <v>3606.59</v>
      </c>
      <c r="O66" s="2">
        <v>2927.99</v>
      </c>
      <c r="P66" t="s">
        <v>27</v>
      </c>
      <c r="Q66" t="s">
        <v>49</v>
      </c>
    </row>
    <row r="67" spans="1:17" x14ac:dyDescent="0.3">
      <c r="A67" t="s">
        <v>196</v>
      </c>
      <c r="B67" s="1">
        <v>45869</v>
      </c>
      <c r="C67" t="s">
        <v>35</v>
      </c>
      <c r="D67" t="s">
        <v>59</v>
      </c>
      <c r="E67" t="s">
        <v>66</v>
      </c>
      <c r="F67" t="s">
        <v>37</v>
      </c>
      <c r="G67" t="s">
        <v>45</v>
      </c>
      <c r="H67" t="s">
        <v>67</v>
      </c>
      <c r="I67" t="s">
        <v>197</v>
      </c>
      <c r="J67">
        <v>5</v>
      </c>
      <c r="K67" s="2">
        <v>2927.47</v>
      </c>
      <c r="L67">
        <v>5</v>
      </c>
      <c r="M67" s="2">
        <v>13905.48</v>
      </c>
      <c r="N67" s="2">
        <v>11119.18</v>
      </c>
      <c r="O67" s="2">
        <v>2786.3</v>
      </c>
      <c r="P67" t="s">
        <v>41</v>
      </c>
      <c r="Q67" t="s">
        <v>49</v>
      </c>
    </row>
    <row r="68" spans="1:17" x14ac:dyDescent="0.3">
      <c r="A68" t="s">
        <v>198</v>
      </c>
      <c r="B68" s="1">
        <v>45685</v>
      </c>
      <c r="C68" t="s">
        <v>86</v>
      </c>
      <c r="D68" t="s">
        <v>87</v>
      </c>
      <c r="E68" t="s">
        <v>22</v>
      </c>
      <c r="F68" t="s">
        <v>23</v>
      </c>
      <c r="G68" t="s">
        <v>38</v>
      </c>
      <c r="H68" t="s">
        <v>63</v>
      </c>
      <c r="I68" t="s">
        <v>199</v>
      </c>
      <c r="J68">
        <v>13</v>
      </c>
      <c r="K68" s="2">
        <v>2274.0300000000002</v>
      </c>
      <c r="L68">
        <v>0</v>
      </c>
      <c r="M68" s="2">
        <v>29562.39</v>
      </c>
      <c r="N68" s="2">
        <v>16451.37</v>
      </c>
      <c r="O68" s="2">
        <v>13111.02</v>
      </c>
      <c r="P68" t="s">
        <v>41</v>
      </c>
      <c r="Q68" t="s">
        <v>61</v>
      </c>
    </row>
    <row r="69" spans="1:17" x14ac:dyDescent="0.3">
      <c r="A69" t="s">
        <v>200</v>
      </c>
      <c r="B69" s="1">
        <v>46202</v>
      </c>
      <c r="C69" t="s">
        <v>35</v>
      </c>
      <c r="D69" t="s">
        <v>59</v>
      </c>
      <c r="E69" t="s">
        <v>170</v>
      </c>
      <c r="F69" t="s">
        <v>23</v>
      </c>
      <c r="G69" t="s">
        <v>38</v>
      </c>
      <c r="H69" t="s">
        <v>91</v>
      </c>
      <c r="I69" t="s">
        <v>201</v>
      </c>
      <c r="J69">
        <v>5</v>
      </c>
      <c r="K69" s="2">
        <v>3723.91</v>
      </c>
      <c r="L69">
        <v>20</v>
      </c>
      <c r="M69" s="2">
        <v>14895.64</v>
      </c>
      <c r="N69" s="2">
        <v>8634.43</v>
      </c>
      <c r="O69" s="2">
        <v>6261.21</v>
      </c>
      <c r="P69" t="s">
        <v>27</v>
      </c>
      <c r="Q69" t="s">
        <v>61</v>
      </c>
    </row>
    <row r="70" spans="1:17" x14ac:dyDescent="0.3">
      <c r="A70" t="s">
        <v>202</v>
      </c>
      <c r="B70" s="1">
        <v>45761</v>
      </c>
      <c r="C70" t="s">
        <v>86</v>
      </c>
      <c r="D70" t="s">
        <v>90</v>
      </c>
      <c r="E70" t="s">
        <v>30</v>
      </c>
      <c r="F70" t="s">
        <v>31</v>
      </c>
      <c r="G70" t="s">
        <v>45</v>
      </c>
      <c r="H70" t="s">
        <v>123</v>
      </c>
      <c r="I70" t="s">
        <v>203</v>
      </c>
      <c r="J70">
        <v>6</v>
      </c>
      <c r="K70" s="2">
        <v>3283.3</v>
      </c>
      <c r="L70">
        <v>20</v>
      </c>
      <c r="M70" s="2">
        <v>15759.84</v>
      </c>
      <c r="N70" s="2">
        <v>11328.54</v>
      </c>
      <c r="O70" s="2">
        <v>4431.3</v>
      </c>
      <c r="P70" t="s">
        <v>48</v>
      </c>
      <c r="Q70" t="s">
        <v>42</v>
      </c>
    </row>
    <row r="71" spans="1:17" x14ac:dyDescent="0.3">
      <c r="A71" t="s">
        <v>204</v>
      </c>
      <c r="B71" s="1">
        <v>45691</v>
      </c>
      <c r="C71" t="s">
        <v>20</v>
      </c>
      <c r="D71" t="s">
        <v>21</v>
      </c>
      <c r="E71" t="s">
        <v>44</v>
      </c>
      <c r="F71" t="s">
        <v>37</v>
      </c>
      <c r="G71" t="s">
        <v>38</v>
      </c>
      <c r="H71" t="s">
        <v>72</v>
      </c>
      <c r="I71" t="s">
        <v>205</v>
      </c>
      <c r="J71">
        <v>14</v>
      </c>
      <c r="K71" s="2">
        <v>2439.09</v>
      </c>
      <c r="L71">
        <v>0</v>
      </c>
      <c r="M71" s="2">
        <v>34147.26</v>
      </c>
      <c r="N71" s="2">
        <v>26022.93</v>
      </c>
      <c r="O71" s="2">
        <v>8124.33</v>
      </c>
      <c r="P71" t="s">
        <v>41</v>
      </c>
      <c r="Q71" t="s">
        <v>42</v>
      </c>
    </row>
    <row r="72" spans="1:17" x14ac:dyDescent="0.3">
      <c r="A72" t="s">
        <v>206</v>
      </c>
      <c r="B72" s="1">
        <v>46183</v>
      </c>
      <c r="C72" t="s">
        <v>35</v>
      </c>
      <c r="D72" t="s">
        <v>36</v>
      </c>
      <c r="E72" t="s">
        <v>51</v>
      </c>
      <c r="F72" t="s">
        <v>37</v>
      </c>
      <c r="G72" t="s">
        <v>45</v>
      </c>
      <c r="H72" t="s">
        <v>123</v>
      </c>
      <c r="I72" t="s">
        <v>207</v>
      </c>
      <c r="J72">
        <v>8</v>
      </c>
      <c r="K72" s="2">
        <v>3327.79</v>
      </c>
      <c r="L72">
        <v>20</v>
      </c>
      <c r="M72" s="2">
        <v>21297.86</v>
      </c>
      <c r="N72" s="2">
        <v>13321.15</v>
      </c>
      <c r="O72" s="2">
        <v>7976.71</v>
      </c>
      <c r="P72" t="s">
        <v>27</v>
      </c>
      <c r="Q72" t="s">
        <v>28</v>
      </c>
    </row>
    <row r="73" spans="1:17" x14ac:dyDescent="0.3">
      <c r="A73" t="s">
        <v>208</v>
      </c>
      <c r="B73" s="1">
        <v>45953</v>
      </c>
      <c r="C73" t="s">
        <v>86</v>
      </c>
      <c r="D73" t="s">
        <v>87</v>
      </c>
      <c r="E73" t="s">
        <v>51</v>
      </c>
      <c r="F73" t="s">
        <v>23</v>
      </c>
      <c r="G73" t="s">
        <v>24</v>
      </c>
      <c r="H73" t="s">
        <v>134</v>
      </c>
      <c r="I73" t="s">
        <v>209</v>
      </c>
      <c r="J73">
        <v>12</v>
      </c>
      <c r="K73" s="2">
        <v>2189.41</v>
      </c>
      <c r="L73">
        <v>0</v>
      </c>
      <c r="M73" s="2">
        <v>26272.92</v>
      </c>
      <c r="N73" s="2">
        <v>21122.84</v>
      </c>
      <c r="O73" s="2">
        <v>5150.08</v>
      </c>
      <c r="P73" t="s">
        <v>27</v>
      </c>
      <c r="Q73" t="s">
        <v>42</v>
      </c>
    </row>
    <row r="74" spans="1:17" x14ac:dyDescent="0.3">
      <c r="A74" t="s">
        <v>210</v>
      </c>
      <c r="B74" s="1">
        <v>45844</v>
      </c>
      <c r="C74" t="s">
        <v>86</v>
      </c>
      <c r="D74" t="s">
        <v>87</v>
      </c>
      <c r="E74" t="s">
        <v>113</v>
      </c>
      <c r="F74" t="s">
        <v>23</v>
      </c>
      <c r="G74" t="s">
        <v>45</v>
      </c>
      <c r="H74" t="s">
        <v>46</v>
      </c>
      <c r="I74" t="s">
        <v>211</v>
      </c>
      <c r="J74">
        <v>12</v>
      </c>
      <c r="K74" s="2">
        <v>1542.69</v>
      </c>
      <c r="L74">
        <v>5</v>
      </c>
      <c r="M74" s="2">
        <v>17586.669999999998</v>
      </c>
      <c r="N74" s="2">
        <v>12262.51</v>
      </c>
      <c r="O74" s="2">
        <v>5324.16</v>
      </c>
      <c r="P74" t="s">
        <v>41</v>
      </c>
      <c r="Q74" t="s">
        <v>28</v>
      </c>
    </row>
    <row r="75" spans="1:17" x14ac:dyDescent="0.3">
      <c r="A75" t="s">
        <v>212</v>
      </c>
      <c r="B75" s="1">
        <v>46105</v>
      </c>
      <c r="C75" t="s">
        <v>86</v>
      </c>
      <c r="D75" t="s">
        <v>87</v>
      </c>
      <c r="E75" t="s">
        <v>170</v>
      </c>
      <c r="F75" t="s">
        <v>31</v>
      </c>
      <c r="G75" t="s">
        <v>45</v>
      </c>
      <c r="H75" t="s">
        <v>123</v>
      </c>
      <c r="I75" t="s">
        <v>213</v>
      </c>
      <c r="J75">
        <v>15</v>
      </c>
      <c r="K75" s="2">
        <v>4664.67</v>
      </c>
      <c r="L75">
        <v>15</v>
      </c>
      <c r="M75" s="2">
        <v>59474.54</v>
      </c>
      <c r="N75" s="2">
        <v>43862.51</v>
      </c>
      <c r="O75" s="2">
        <v>15612.03</v>
      </c>
      <c r="P75" t="s">
        <v>48</v>
      </c>
      <c r="Q75" t="s">
        <v>42</v>
      </c>
    </row>
    <row r="76" spans="1:17" x14ac:dyDescent="0.3">
      <c r="A76" t="s">
        <v>214</v>
      </c>
      <c r="B76" s="1">
        <v>46169</v>
      </c>
      <c r="C76" t="s">
        <v>70</v>
      </c>
      <c r="D76" t="s">
        <v>75</v>
      </c>
      <c r="E76" t="s">
        <v>22</v>
      </c>
      <c r="F76" t="s">
        <v>37</v>
      </c>
      <c r="G76" t="s">
        <v>38</v>
      </c>
      <c r="H76" t="s">
        <v>72</v>
      </c>
      <c r="I76" t="s">
        <v>215</v>
      </c>
      <c r="J76">
        <v>1</v>
      </c>
      <c r="K76" s="2">
        <v>1898.27</v>
      </c>
      <c r="L76">
        <v>0</v>
      </c>
      <c r="M76" s="2">
        <v>1898.27</v>
      </c>
      <c r="N76" s="2">
        <v>1103.68</v>
      </c>
      <c r="O76" s="2">
        <v>794.59</v>
      </c>
      <c r="P76" t="s">
        <v>41</v>
      </c>
      <c r="Q76" t="s">
        <v>49</v>
      </c>
    </row>
    <row r="77" spans="1:17" x14ac:dyDescent="0.3">
      <c r="A77" t="s">
        <v>216</v>
      </c>
      <c r="B77" s="1">
        <v>45693</v>
      </c>
      <c r="C77" t="s">
        <v>70</v>
      </c>
      <c r="D77" t="s">
        <v>71</v>
      </c>
      <c r="E77" t="s">
        <v>113</v>
      </c>
      <c r="F77" t="s">
        <v>23</v>
      </c>
      <c r="G77" t="s">
        <v>45</v>
      </c>
      <c r="H77" t="s">
        <v>52</v>
      </c>
      <c r="I77" t="s">
        <v>217</v>
      </c>
      <c r="J77">
        <v>3</v>
      </c>
      <c r="K77" s="2">
        <v>3579.09</v>
      </c>
      <c r="L77">
        <v>15</v>
      </c>
      <c r="M77" s="2">
        <v>9126.68</v>
      </c>
      <c r="N77" s="2">
        <v>6086.85</v>
      </c>
      <c r="O77" s="2">
        <v>3039.83</v>
      </c>
      <c r="P77" t="s">
        <v>41</v>
      </c>
      <c r="Q77" t="s">
        <v>49</v>
      </c>
    </row>
    <row r="78" spans="1:17" x14ac:dyDescent="0.3">
      <c r="A78" t="s">
        <v>218</v>
      </c>
      <c r="B78" s="1">
        <v>45726</v>
      </c>
      <c r="C78" t="s">
        <v>35</v>
      </c>
      <c r="D78" t="s">
        <v>36</v>
      </c>
      <c r="E78" t="s">
        <v>170</v>
      </c>
      <c r="F78" t="s">
        <v>31</v>
      </c>
      <c r="G78" t="s">
        <v>24</v>
      </c>
      <c r="H78" t="s">
        <v>171</v>
      </c>
      <c r="I78" t="s">
        <v>219</v>
      </c>
      <c r="J78">
        <v>5</v>
      </c>
      <c r="K78" s="2">
        <v>396.68</v>
      </c>
      <c r="L78">
        <v>5</v>
      </c>
      <c r="M78" s="2">
        <v>1884.23</v>
      </c>
      <c r="N78" s="2">
        <v>1156.1199999999999</v>
      </c>
      <c r="O78" s="2">
        <v>728.11</v>
      </c>
      <c r="P78" t="s">
        <v>41</v>
      </c>
      <c r="Q78" t="s">
        <v>49</v>
      </c>
    </row>
    <row r="79" spans="1:17" x14ac:dyDescent="0.3">
      <c r="A79" t="s">
        <v>220</v>
      </c>
      <c r="B79" s="1">
        <v>45845</v>
      </c>
      <c r="C79" t="s">
        <v>35</v>
      </c>
      <c r="D79" t="s">
        <v>36</v>
      </c>
      <c r="E79" t="s">
        <v>44</v>
      </c>
      <c r="F79" t="s">
        <v>31</v>
      </c>
      <c r="G79" t="s">
        <v>45</v>
      </c>
      <c r="H79" t="s">
        <v>52</v>
      </c>
      <c r="I79" t="s">
        <v>221</v>
      </c>
      <c r="J79">
        <v>5</v>
      </c>
      <c r="K79" s="2">
        <v>999.66</v>
      </c>
      <c r="L79">
        <v>15</v>
      </c>
      <c r="M79" s="2">
        <v>4248.5600000000004</v>
      </c>
      <c r="N79" s="2">
        <v>3336.31</v>
      </c>
      <c r="O79" s="2">
        <v>912.25</v>
      </c>
      <c r="P79" t="s">
        <v>48</v>
      </c>
      <c r="Q79" t="s">
        <v>61</v>
      </c>
    </row>
    <row r="80" spans="1:17" x14ac:dyDescent="0.3">
      <c r="A80" t="s">
        <v>222</v>
      </c>
      <c r="B80" s="1">
        <v>45726</v>
      </c>
      <c r="C80" t="s">
        <v>35</v>
      </c>
      <c r="D80" t="s">
        <v>36</v>
      </c>
      <c r="E80" t="s">
        <v>120</v>
      </c>
      <c r="F80" t="s">
        <v>37</v>
      </c>
      <c r="G80" t="s">
        <v>24</v>
      </c>
      <c r="H80" t="s">
        <v>56</v>
      </c>
      <c r="I80" t="s">
        <v>223</v>
      </c>
      <c r="J80">
        <v>13</v>
      </c>
      <c r="K80" s="2">
        <v>2980.49</v>
      </c>
      <c r="L80">
        <v>20</v>
      </c>
      <c r="M80" s="2">
        <v>30997.1</v>
      </c>
      <c r="N80" s="2">
        <v>24817.57</v>
      </c>
      <c r="O80" s="2">
        <v>6179.53</v>
      </c>
      <c r="P80" t="s">
        <v>27</v>
      </c>
      <c r="Q80" t="s">
        <v>42</v>
      </c>
    </row>
    <row r="81" spans="1:17" x14ac:dyDescent="0.3">
      <c r="A81" t="s">
        <v>224</v>
      </c>
      <c r="B81" s="1">
        <v>45693</v>
      </c>
      <c r="C81" t="s">
        <v>35</v>
      </c>
      <c r="D81" t="s">
        <v>59</v>
      </c>
      <c r="E81" t="s">
        <v>44</v>
      </c>
      <c r="F81" t="s">
        <v>31</v>
      </c>
      <c r="G81" t="s">
        <v>45</v>
      </c>
      <c r="H81" t="s">
        <v>159</v>
      </c>
      <c r="I81" t="s">
        <v>225</v>
      </c>
      <c r="J81">
        <v>8</v>
      </c>
      <c r="K81" s="2">
        <v>3696.45</v>
      </c>
      <c r="L81">
        <v>10</v>
      </c>
      <c r="M81" s="2">
        <v>26614.44</v>
      </c>
      <c r="N81" s="2">
        <v>18646.400000000001</v>
      </c>
      <c r="O81" s="2">
        <v>7968.04</v>
      </c>
      <c r="P81" t="s">
        <v>48</v>
      </c>
      <c r="Q81" t="s">
        <v>61</v>
      </c>
    </row>
    <row r="82" spans="1:17" x14ac:dyDescent="0.3">
      <c r="A82" t="s">
        <v>226</v>
      </c>
      <c r="B82" s="1">
        <v>46160</v>
      </c>
      <c r="C82" t="s">
        <v>20</v>
      </c>
      <c r="D82" t="s">
        <v>21</v>
      </c>
      <c r="E82" t="s">
        <v>51</v>
      </c>
      <c r="F82" t="s">
        <v>37</v>
      </c>
      <c r="G82" t="s">
        <v>24</v>
      </c>
      <c r="H82" t="s">
        <v>25</v>
      </c>
      <c r="I82" t="s">
        <v>227</v>
      </c>
      <c r="J82">
        <v>8</v>
      </c>
      <c r="K82" s="2">
        <v>1525.13</v>
      </c>
      <c r="L82">
        <v>10</v>
      </c>
      <c r="M82" s="2">
        <v>10980.94</v>
      </c>
      <c r="N82" s="2">
        <v>6802.46</v>
      </c>
      <c r="O82" s="2">
        <v>4178.4799999999996</v>
      </c>
      <c r="P82" t="s">
        <v>48</v>
      </c>
      <c r="Q82" t="s">
        <v>42</v>
      </c>
    </row>
    <row r="83" spans="1:17" x14ac:dyDescent="0.3">
      <c r="A83" t="s">
        <v>228</v>
      </c>
      <c r="B83" s="1">
        <v>45942</v>
      </c>
      <c r="C83" t="s">
        <v>86</v>
      </c>
      <c r="D83" t="s">
        <v>87</v>
      </c>
      <c r="E83" t="s">
        <v>170</v>
      </c>
      <c r="F83" t="s">
        <v>37</v>
      </c>
      <c r="G83" t="s">
        <v>45</v>
      </c>
      <c r="H83" t="s">
        <v>123</v>
      </c>
      <c r="I83" t="s">
        <v>229</v>
      </c>
      <c r="J83">
        <v>3</v>
      </c>
      <c r="K83" s="2">
        <v>3021.5</v>
      </c>
      <c r="L83">
        <v>0</v>
      </c>
      <c r="M83" s="2">
        <v>9064.5</v>
      </c>
      <c r="N83" s="2">
        <v>7424.77</v>
      </c>
      <c r="O83" s="2">
        <v>1639.73</v>
      </c>
      <c r="P83" t="s">
        <v>27</v>
      </c>
      <c r="Q83" t="s">
        <v>42</v>
      </c>
    </row>
    <row r="84" spans="1:17" x14ac:dyDescent="0.3">
      <c r="A84" t="s">
        <v>230</v>
      </c>
      <c r="B84" s="1">
        <v>46125</v>
      </c>
      <c r="C84" t="s">
        <v>86</v>
      </c>
      <c r="D84" t="s">
        <v>90</v>
      </c>
      <c r="E84" t="s">
        <v>120</v>
      </c>
      <c r="F84" t="s">
        <v>31</v>
      </c>
      <c r="G84" t="s">
        <v>24</v>
      </c>
      <c r="H84" t="s">
        <v>134</v>
      </c>
      <c r="I84" t="s">
        <v>231</v>
      </c>
      <c r="J84">
        <v>10</v>
      </c>
      <c r="K84" s="2">
        <v>3820.16</v>
      </c>
      <c r="L84">
        <v>5</v>
      </c>
      <c r="M84" s="2">
        <v>36291.519999999997</v>
      </c>
      <c r="N84" s="2">
        <v>25973.51</v>
      </c>
      <c r="O84" s="2">
        <v>10318.01</v>
      </c>
      <c r="P84" t="s">
        <v>27</v>
      </c>
      <c r="Q84" t="s">
        <v>28</v>
      </c>
    </row>
    <row r="85" spans="1:17" x14ac:dyDescent="0.3">
      <c r="A85" t="s">
        <v>232</v>
      </c>
      <c r="B85" s="1">
        <v>45687</v>
      </c>
      <c r="C85" t="s">
        <v>70</v>
      </c>
      <c r="D85" t="s">
        <v>71</v>
      </c>
      <c r="E85" t="s">
        <v>30</v>
      </c>
      <c r="F85" t="s">
        <v>37</v>
      </c>
      <c r="G85" t="s">
        <v>24</v>
      </c>
      <c r="H85" t="s">
        <v>25</v>
      </c>
      <c r="I85" t="s">
        <v>233</v>
      </c>
      <c r="J85">
        <v>2</v>
      </c>
      <c r="K85" s="2">
        <v>901.94</v>
      </c>
      <c r="L85">
        <v>15</v>
      </c>
      <c r="M85" s="2">
        <v>1533.3</v>
      </c>
      <c r="N85" s="2">
        <v>1211.6500000000001</v>
      </c>
      <c r="O85" s="2">
        <v>321.64999999999998</v>
      </c>
      <c r="P85" t="s">
        <v>48</v>
      </c>
      <c r="Q85" t="s">
        <v>49</v>
      </c>
    </row>
    <row r="86" spans="1:17" x14ac:dyDescent="0.3">
      <c r="A86" t="s">
        <v>234</v>
      </c>
      <c r="B86" s="1">
        <v>45829</v>
      </c>
      <c r="C86" t="s">
        <v>86</v>
      </c>
      <c r="D86" t="s">
        <v>90</v>
      </c>
      <c r="E86" t="s">
        <v>30</v>
      </c>
      <c r="F86" t="s">
        <v>37</v>
      </c>
      <c r="G86" t="s">
        <v>45</v>
      </c>
      <c r="H86" t="s">
        <v>46</v>
      </c>
      <c r="I86" t="s">
        <v>235</v>
      </c>
      <c r="J86">
        <v>3</v>
      </c>
      <c r="K86" s="2">
        <v>1784.65</v>
      </c>
      <c r="L86">
        <v>10</v>
      </c>
      <c r="M86" s="2">
        <v>4818.5600000000004</v>
      </c>
      <c r="N86" s="2">
        <v>3817.61</v>
      </c>
      <c r="O86" s="2">
        <v>1000.95</v>
      </c>
      <c r="P86" t="s">
        <v>27</v>
      </c>
      <c r="Q86" t="s">
        <v>49</v>
      </c>
    </row>
    <row r="87" spans="1:17" x14ac:dyDescent="0.3">
      <c r="A87" t="s">
        <v>236</v>
      </c>
      <c r="B87" s="1">
        <v>45842</v>
      </c>
      <c r="C87" t="s">
        <v>86</v>
      </c>
      <c r="D87" t="s">
        <v>90</v>
      </c>
      <c r="E87" t="s">
        <v>170</v>
      </c>
      <c r="F87" t="s">
        <v>31</v>
      </c>
      <c r="G87" t="s">
        <v>38</v>
      </c>
      <c r="H87" t="s">
        <v>72</v>
      </c>
      <c r="I87" t="s">
        <v>237</v>
      </c>
      <c r="J87">
        <v>2</v>
      </c>
      <c r="K87" s="2">
        <v>4365.07</v>
      </c>
      <c r="L87">
        <v>10</v>
      </c>
      <c r="M87" s="2">
        <v>7857.13</v>
      </c>
      <c r="N87" s="2">
        <v>6071.13</v>
      </c>
      <c r="O87" s="2">
        <v>1786</v>
      </c>
      <c r="P87" t="s">
        <v>48</v>
      </c>
      <c r="Q87" t="s">
        <v>42</v>
      </c>
    </row>
    <row r="88" spans="1:17" x14ac:dyDescent="0.3">
      <c r="A88" t="s">
        <v>238</v>
      </c>
      <c r="B88" s="1">
        <v>45778</v>
      </c>
      <c r="C88" t="s">
        <v>20</v>
      </c>
      <c r="D88" t="s">
        <v>55</v>
      </c>
      <c r="E88" t="s">
        <v>120</v>
      </c>
      <c r="F88" t="s">
        <v>23</v>
      </c>
      <c r="G88" t="s">
        <v>24</v>
      </c>
      <c r="H88" t="s">
        <v>134</v>
      </c>
      <c r="I88" t="s">
        <v>239</v>
      </c>
      <c r="J88">
        <v>11</v>
      </c>
      <c r="K88" s="2">
        <v>2378.9</v>
      </c>
      <c r="L88">
        <v>0</v>
      </c>
      <c r="M88" s="2">
        <v>26167.9</v>
      </c>
      <c r="N88" s="2">
        <v>17872.18</v>
      </c>
      <c r="O88" s="2">
        <v>8295.7199999999993</v>
      </c>
      <c r="P88" t="s">
        <v>48</v>
      </c>
      <c r="Q88" t="s">
        <v>61</v>
      </c>
    </row>
    <row r="89" spans="1:17" x14ac:dyDescent="0.3">
      <c r="A89" t="s">
        <v>240</v>
      </c>
      <c r="B89" s="1">
        <v>46052</v>
      </c>
      <c r="C89" t="s">
        <v>70</v>
      </c>
      <c r="D89" t="s">
        <v>75</v>
      </c>
      <c r="E89" t="s">
        <v>44</v>
      </c>
      <c r="F89" t="s">
        <v>31</v>
      </c>
      <c r="G89" t="s">
        <v>38</v>
      </c>
      <c r="H89" t="s">
        <v>39</v>
      </c>
      <c r="I89" t="s">
        <v>241</v>
      </c>
      <c r="J89">
        <v>13</v>
      </c>
      <c r="K89" s="2">
        <v>2853.21</v>
      </c>
      <c r="L89">
        <v>10</v>
      </c>
      <c r="M89" s="2">
        <v>33382.559999999998</v>
      </c>
      <c r="N89" s="2">
        <v>23976.7</v>
      </c>
      <c r="O89" s="2">
        <v>9405.86</v>
      </c>
      <c r="P89" t="s">
        <v>27</v>
      </c>
      <c r="Q89" t="s">
        <v>61</v>
      </c>
    </row>
    <row r="90" spans="1:17" x14ac:dyDescent="0.3">
      <c r="A90" t="s">
        <v>242</v>
      </c>
      <c r="B90" s="1">
        <v>46021</v>
      </c>
      <c r="C90" t="s">
        <v>70</v>
      </c>
      <c r="D90" t="s">
        <v>71</v>
      </c>
      <c r="E90" t="s">
        <v>30</v>
      </c>
      <c r="F90" t="s">
        <v>31</v>
      </c>
      <c r="G90" t="s">
        <v>38</v>
      </c>
      <c r="H90" t="s">
        <v>91</v>
      </c>
      <c r="I90" t="s">
        <v>243</v>
      </c>
      <c r="J90">
        <v>12</v>
      </c>
      <c r="K90" s="2">
        <v>2918.28</v>
      </c>
      <c r="L90">
        <v>10</v>
      </c>
      <c r="M90" s="2">
        <v>31517.42</v>
      </c>
      <c r="N90" s="2">
        <v>22283.9</v>
      </c>
      <c r="O90" s="2">
        <v>9233.52</v>
      </c>
      <c r="P90" t="s">
        <v>41</v>
      </c>
      <c r="Q90" t="s">
        <v>42</v>
      </c>
    </row>
    <row r="91" spans="1:17" x14ac:dyDescent="0.3">
      <c r="A91" t="s">
        <v>244</v>
      </c>
      <c r="B91" s="1">
        <v>45862</v>
      </c>
      <c r="C91" t="s">
        <v>70</v>
      </c>
      <c r="D91" t="s">
        <v>75</v>
      </c>
      <c r="E91" t="s">
        <v>44</v>
      </c>
      <c r="F91" t="s">
        <v>23</v>
      </c>
      <c r="G91" t="s">
        <v>38</v>
      </c>
      <c r="H91" t="s">
        <v>72</v>
      </c>
      <c r="I91" t="s">
        <v>245</v>
      </c>
      <c r="J91">
        <v>7</v>
      </c>
      <c r="K91" s="2">
        <v>695.07</v>
      </c>
      <c r="L91">
        <v>20</v>
      </c>
      <c r="M91" s="2">
        <v>3892.39</v>
      </c>
      <c r="N91" s="2">
        <v>2366.27</v>
      </c>
      <c r="O91" s="2">
        <v>1526.12</v>
      </c>
      <c r="P91" t="s">
        <v>48</v>
      </c>
      <c r="Q91" t="s">
        <v>28</v>
      </c>
    </row>
    <row r="92" spans="1:17" x14ac:dyDescent="0.3">
      <c r="A92" t="s">
        <v>246</v>
      </c>
      <c r="B92" s="1">
        <v>45845</v>
      </c>
      <c r="C92" t="s">
        <v>35</v>
      </c>
      <c r="D92" t="s">
        <v>36</v>
      </c>
      <c r="E92" t="s">
        <v>66</v>
      </c>
      <c r="F92" t="s">
        <v>31</v>
      </c>
      <c r="G92" t="s">
        <v>45</v>
      </c>
      <c r="H92" t="s">
        <v>159</v>
      </c>
      <c r="I92" t="s">
        <v>247</v>
      </c>
      <c r="J92">
        <v>9</v>
      </c>
      <c r="K92" s="2">
        <v>4185.12</v>
      </c>
      <c r="L92">
        <v>0</v>
      </c>
      <c r="M92" s="2">
        <v>37666.080000000002</v>
      </c>
      <c r="N92" s="2">
        <v>22057.47</v>
      </c>
      <c r="O92" s="2">
        <v>15608.61</v>
      </c>
      <c r="P92" t="s">
        <v>27</v>
      </c>
      <c r="Q92" t="s">
        <v>61</v>
      </c>
    </row>
    <row r="93" spans="1:17" x14ac:dyDescent="0.3">
      <c r="A93" t="s">
        <v>248</v>
      </c>
      <c r="B93" s="1">
        <v>45922</v>
      </c>
      <c r="C93" t="s">
        <v>70</v>
      </c>
      <c r="D93" t="s">
        <v>75</v>
      </c>
      <c r="E93" t="s">
        <v>44</v>
      </c>
      <c r="F93" t="s">
        <v>37</v>
      </c>
      <c r="G93" t="s">
        <v>38</v>
      </c>
      <c r="H93" t="s">
        <v>72</v>
      </c>
      <c r="I93" t="s">
        <v>249</v>
      </c>
      <c r="J93">
        <v>13</v>
      </c>
      <c r="K93" s="2">
        <v>4594.75</v>
      </c>
      <c r="L93">
        <v>0</v>
      </c>
      <c r="M93" s="2">
        <v>59731.75</v>
      </c>
      <c r="N93" s="2">
        <v>48375.86</v>
      </c>
      <c r="O93" s="2">
        <v>11355.89</v>
      </c>
      <c r="P93" t="s">
        <v>27</v>
      </c>
      <c r="Q93" t="s">
        <v>28</v>
      </c>
    </row>
    <row r="94" spans="1:17" x14ac:dyDescent="0.3">
      <c r="A94" t="s">
        <v>250</v>
      </c>
      <c r="B94" s="1">
        <v>45974</v>
      </c>
      <c r="C94" t="s">
        <v>20</v>
      </c>
      <c r="D94" t="s">
        <v>21</v>
      </c>
      <c r="E94" t="s">
        <v>113</v>
      </c>
      <c r="F94" t="s">
        <v>31</v>
      </c>
      <c r="G94" t="s">
        <v>24</v>
      </c>
      <c r="H94" t="s">
        <v>56</v>
      </c>
      <c r="I94" t="s">
        <v>251</v>
      </c>
      <c r="J94">
        <v>14</v>
      </c>
      <c r="K94" s="2">
        <v>2012.93</v>
      </c>
      <c r="L94">
        <v>20</v>
      </c>
      <c r="M94" s="2">
        <v>22544.82</v>
      </c>
      <c r="N94" s="2">
        <v>13506.13</v>
      </c>
      <c r="O94" s="2">
        <v>9038.69</v>
      </c>
      <c r="P94" t="s">
        <v>41</v>
      </c>
      <c r="Q94" t="s">
        <v>49</v>
      </c>
    </row>
    <row r="95" spans="1:17" x14ac:dyDescent="0.3">
      <c r="A95" t="s">
        <v>252</v>
      </c>
      <c r="B95" s="1">
        <v>45819</v>
      </c>
      <c r="C95" t="s">
        <v>70</v>
      </c>
      <c r="D95" t="s">
        <v>75</v>
      </c>
      <c r="E95" t="s">
        <v>22</v>
      </c>
      <c r="F95" t="s">
        <v>23</v>
      </c>
      <c r="G95" t="s">
        <v>45</v>
      </c>
      <c r="H95" t="s">
        <v>123</v>
      </c>
      <c r="I95" t="s">
        <v>253</v>
      </c>
      <c r="J95">
        <v>11</v>
      </c>
      <c r="K95" s="2">
        <v>533.29999999999995</v>
      </c>
      <c r="L95">
        <v>10</v>
      </c>
      <c r="M95" s="2">
        <v>5279.67</v>
      </c>
      <c r="N95" s="2">
        <v>3979.02</v>
      </c>
      <c r="O95" s="2">
        <v>1300.6500000000001</v>
      </c>
      <c r="P95" t="s">
        <v>27</v>
      </c>
      <c r="Q95" t="s">
        <v>42</v>
      </c>
    </row>
    <row r="96" spans="1:17" x14ac:dyDescent="0.3">
      <c r="A96" t="s">
        <v>254</v>
      </c>
      <c r="B96" s="1">
        <v>46005</v>
      </c>
      <c r="C96" t="s">
        <v>86</v>
      </c>
      <c r="D96" t="s">
        <v>87</v>
      </c>
      <c r="E96" t="s">
        <v>120</v>
      </c>
      <c r="F96" t="s">
        <v>23</v>
      </c>
      <c r="G96" t="s">
        <v>24</v>
      </c>
      <c r="H96" t="s">
        <v>32</v>
      </c>
      <c r="I96" t="s">
        <v>255</v>
      </c>
      <c r="J96">
        <v>7</v>
      </c>
      <c r="K96" s="2">
        <v>883.19</v>
      </c>
      <c r="L96">
        <v>0</v>
      </c>
      <c r="M96" s="2">
        <v>6182.33</v>
      </c>
      <c r="N96" s="2">
        <v>4128.8599999999997</v>
      </c>
      <c r="O96" s="2">
        <v>2053.4699999999998</v>
      </c>
      <c r="P96" t="s">
        <v>41</v>
      </c>
      <c r="Q96" t="s">
        <v>49</v>
      </c>
    </row>
    <row r="97" spans="1:17" x14ac:dyDescent="0.3">
      <c r="A97" t="s">
        <v>256</v>
      </c>
      <c r="B97" s="1">
        <v>46095</v>
      </c>
      <c r="C97" t="s">
        <v>35</v>
      </c>
      <c r="D97" t="s">
        <v>59</v>
      </c>
      <c r="E97" t="s">
        <v>66</v>
      </c>
      <c r="F97" t="s">
        <v>31</v>
      </c>
      <c r="G97" t="s">
        <v>45</v>
      </c>
      <c r="H97" t="s">
        <v>159</v>
      </c>
      <c r="I97" t="s">
        <v>257</v>
      </c>
      <c r="J97">
        <v>14</v>
      </c>
      <c r="K97" s="2">
        <v>2600.3200000000002</v>
      </c>
      <c r="L97">
        <v>15</v>
      </c>
      <c r="M97" s="2">
        <v>30943.81</v>
      </c>
      <c r="N97" s="2">
        <v>21475.3</v>
      </c>
      <c r="O97" s="2">
        <v>9468.51</v>
      </c>
      <c r="P97" t="s">
        <v>41</v>
      </c>
      <c r="Q97" t="s">
        <v>61</v>
      </c>
    </row>
    <row r="98" spans="1:17" x14ac:dyDescent="0.3">
      <c r="A98" t="s">
        <v>258</v>
      </c>
      <c r="B98" s="1">
        <v>45684</v>
      </c>
      <c r="C98" t="s">
        <v>35</v>
      </c>
      <c r="D98" t="s">
        <v>59</v>
      </c>
      <c r="E98" t="s">
        <v>22</v>
      </c>
      <c r="F98" t="s">
        <v>23</v>
      </c>
      <c r="G98" t="s">
        <v>24</v>
      </c>
      <c r="H98" t="s">
        <v>56</v>
      </c>
      <c r="I98" t="s">
        <v>259</v>
      </c>
      <c r="J98">
        <v>6</v>
      </c>
      <c r="K98" s="2">
        <v>3885.14</v>
      </c>
      <c r="L98">
        <v>20</v>
      </c>
      <c r="M98" s="2">
        <v>18648.669999999998</v>
      </c>
      <c r="N98" s="2">
        <v>13015.15</v>
      </c>
      <c r="O98" s="2">
        <v>5633.52</v>
      </c>
      <c r="P98" t="s">
        <v>48</v>
      </c>
      <c r="Q98" t="s">
        <v>49</v>
      </c>
    </row>
    <row r="99" spans="1:17" x14ac:dyDescent="0.3">
      <c r="A99" t="s">
        <v>260</v>
      </c>
      <c r="B99" s="1">
        <v>45784</v>
      </c>
      <c r="C99" t="s">
        <v>70</v>
      </c>
      <c r="D99" t="s">
        <v>71</v>
      </c>
      <c r="E99" t="s">
        <v>51</v>
      </c>
      <c r="F99" t="s">
        <v>31</v>
      </c>
      <c r="G99" t="s">
        <v>24</v>
      </c>
      <c r="H99" t="s">
        <v>56</v>
      </c>
      <c r="I99" t="s">
        <v>261</v>
      </c>
      <c r="J99">
        <v>3</v>
      </c>
      <c r="K99" s="2">
        <v>4537.88</v>
      </c>
      <c r="L99">
        <v>5</v>
      </c>
      <c r="M99" s="2">
        <v>12932.96</v>
      </c>
      <c r="N99" s="2">
        <v>7355.72</v>
      </c>
      <c r="O99" s="2">
        <v>5577.24</v>
      </c>
      <c r="P99" t="s">
        <v>48</v>
      </c>
      <c r="Q99" t="s">
        <v>61</v>
      </c>
    </row>
    <row r="100" spans="1:17" x14ac:dyDescent="0.3">
      <c r="A100" t="s">
        <v>262</v>
      </c>
      <c r="B100" s="1">
        <v>45886</v>
      </c>
      <c r="C100" t="s">
        <v>70</v>
      </c>
      <c r="D100" t="s">
        <v>71</v>
      </c>
      <c r="E100" t="s">
        <v>66</v>
      </c>
      <c r="F100" t="s">
        <v>31</v>
      </c>
      <c r="G100" t="s">
        <v>24</v>
      </c>
      <c r="H100" t="s">
        <v>56</v>
      </c>
      <c r="I100" t="s">
        <v>263</v>
      </c>
      <c r="J100">
        <v>12</v>
      </c>
      <c r="K100" s="2">
        <v>3006.85</v>
      </c>
      <c r="L100">
        <v>5</v>
      </c>
      <c r="M100" s="2">
        <v>34278.089999999997</v>
      </c>
      <c r="N100" s="2">
        <v>23579.71</v>
      </c>
      <c r="O100" s="2">
        <v>10698.38</v>
      </c>
      <c r="P100" t="s">
        <v>27</v>
      </c>
      <c r="Q100" t="s">
        <v>42</v>
      </c>
    </row>
    <row r="101" spans="1:17" x14ac:dyDescent="0.3">
      <c r="A101" t="s">
        <v>264</v>
      </c>
      <c r="B101" s="1">
        <v>46133</v>
      </c>
      <c r="C101" t="s">
        <v>70</v>
      </c>
      <c r="D101" t="s">
        <v>75</v>
      </c>
      <c r="E101" t="s">
        <v>170</v>
      </c>
      <c r="F101" t="s">
        <v>37</v>
      </c>
      <c r="G101" t="s">
        <v>24</v>
      </c>
      <c r="H101" t="s">
        <v>134</v>
      </c>
      <c r="I101" t="s">
        <v>265</v>
      </c>
      <c r="J101">
        <v>11</v>
      </c>
      <c r="K101" s="2">
        <v>4682.6499999999996</v>
      </c>
      <c r="L101">
        <v>10</v>
      </c>
      <c r="M101" s="2">
        <v>46358.23</v>
      </c>
      <c r="N101" s="2">
        <v>37986.6</v>
      </c>
      <c r="O101" s="2">
        <v>8371.6299999999992</v>
      </c>
      <c r="P101" t="s">
        <v>41</v>
      </c>
      <c r="Q101" t="s">
        <v>49</v>
      </c>
    </row>
    <row r="102" spans="1:17" x14ac:dyDescent="0.3">
      <c r="A102" t="s">
        <v>266</v>
      </c>
      <c r="B102" s="1">
        <v>45871</v>
      </c>
      <c r="C102" t="s">
        <v>86</v>
      </c>
      <c r="D102" t="s">
        <v>87</v>
      </c>
      <c r="E102" t="s">
        <v>120</v>
      </c>
      <c r="F102" t="s">
        <v>37</v>
      </c>
      <c r="G102" t="s">
        <v>38</v>
      </c>
      <c r="H102" t="s">
        <v>39</v>
      </c>
      <c r="I102" t="s">
        <v>267</v>
      </c>
      <c r="J102">
        <v>3</v>
      </c>
      <c r="K102" s="2">
        <v>4560.08</v>
      </c>
      <c r="L102">
        <v>10</v>
      </c>
      <c r="M102" s="2">
        <v>12312.22</v>
      </c>
      <c r="N102" s="2">
        <v>8510.91</v>
      </c>
      <c r="O102" s="2">
        <v>3801.31</v>
      </c>
      <c r="P102" t="s">
        <v>41</v>
      </c>
      <c r="Q102" t="s">
        <v>49</v>
      </c>
    </row>
    <row r="103" spans="1:17" x14ac:dyDescent="0.3">
      <c r="A103" t="s">
        <v>268</v>
      </c>
      <c r="B103" s="1">
        <v>45670</v>
      </c>
      <c r="C103" t="s">
        <v>35</v>
      </c>
      <c r="D103" t="s">
        <v>59</v>
      </c>
      <c r="E103" t="s">
        <v>30</v>
      </c>
      <c r="F103" t="s">
        <v>23</v>
      </c>
      <c r="G103" t="s">
        <v>24</v>
      </c>
      <c r="H103" t="s">
        <v>32</v>
      </c>
      <c r="I103" t="s">
        <v>269</v>
      </c>
      <c r="J103">
        <v>6</v>
      </c>
      <c r="K103" s="2">
        <v>4490.3999999999996</v>
      </c>
      <c r="L103">
        <v>5</v>
      </c>
      <c r="M103" s="2">
        <v>25595.279999999999</v>
      </c>
      <c r="N103" s="2">
        <v>16989.54</v>
      </c>
      <c r="O103" s="2">
        <v>8605.74</v>
      </c>
      <c r="P103" t="s">
        <v>41</v>
      </c>
      <c r="Q103" t="s">
        <v>28</v>
      </c>
    </row>
    <row r="104" spans="1:17" x14ac:dyDescent="0.3">
      <c r="A104" t="s">
        <v>270</v>
      </c>
      <c r="B104" s="1">
        <v>45776</v>
      </c>
      <c r="C104" t="s">
        <v>86</v>
      </c>
      <c r="D104" t="s">
        <v>87</v>
      </c>
      <c r="E104" t="s">
        <v>44</v>
      </c>
      <c r="F104" t="s">
        <v>31</v>
      </c>
      <c r="G104" t="s">
        <v>38</v>
      </c>
      <c r="H104" t="s">
        <v>72</v>
      </c>
      <c r="I104" t="s">
        <v>271</v>
      </c>
      <c r="J104">
        <v>1</v>
      </c>
      <c r="K104" s="2">
        <v>2532.91</v>
      </c>
      <c r="L104">
        <v>0</v>
      </c>
      <c r="M104" s="2">
        <v>2532.91</v>
      </c>
      <c r="N104" s="2">
        <v>1959.38</v>
      </c>
      <c r="O104" s="2">
        <v>573.53</v>
      </c>
      <c r="P104" t="s">
        <v>41</v>
      </c>
      <c r="Q104" t="s">
        <v>61</v>
      </c>
    </row>
    <row r="105" spans="1:17" x14ac:dyDescent="0.3">
      <c r="A105" t="s">
        <v>272</v>
      </c>
      <c r="B105" s="1">
        <v>46117</v>
      </c>
      <c r="C105" t="s">
        <v>70</v>
      </c>
      <c r="D105" t="s">
        <v>71</v>
      </c>
      <c r="E105" t="s">
        <v>22</v>
      </c>
      <c r="F105" t="s">
        <v>31</v>
      </c>
      <c r="G105" t="s">
        <v>24</v>
      </c>
      <c r="H105" t="s">
        <v>134</v>
      </c>
      <c r="I105" t="s">
        <v>273</v>
      </c>
      <c r="J105">
        <v>10</v>
      </c>
      <c r="K105" s="2">
        <v>1280.0899999999999</v>
      </c>
      <c r="L105">
        <v>10</v>
      </c>
      <c r="M105" s="2">
        <v>11520.81</v>
      </c>
      <c r="N105" s="2">
        <v>9250.34</v>
      </c>
      <c r="O105" s="2">
        <v>2270.4699999999998</v>
      </c>
      <c r="P105" t="s">
        <v>48</v>
      </c>
      <c r="Q105" t="s">
        <v>61</v>
      </c>
    </row>
    <row r="106" spans="1:17" x14ac:dyDescent="0.3">
      <c r="A106" t="s">
        <v>274</v>
      </c>
      <c r="B106" s="1">
        <v>45843</v>
      </c>
      <c r="C106" t="s">
        <v>70</v>
      </c>
      <c r="D106" t="s">
        <v>71</v>
      </c>
      <c r="E106" t="s">
        <v>170</v>
      </c>
      <c r="F106" t="s">
        <v>23</v>
      </c>
      <c r="G106" t="s">
        <v>24</v>
      </c>
      <c r="H106" t="s">
        <v>32</v>
      </c>
      <c r="I106" t="s">
        <v>275</v>
      </c>
      <c r="J106">
        <v>5</v>
      </c>
      <c r="K106" s="2">
        <v>1986.61</v>
      </c>
      <c r="L106">
        <v>20</v>
      </c>
      <c r="M106" s="2">
        <v>7946.44</v>
      </c>
      <c r="N106" s="2">
        <v>5597.35</v>
      </c>
      <c r="O106" s="2">
        <v>2349.09</v>
      </c>
      <c r="P106" t="s">
        <v>48</v>
      </c>
      <c r="Q106" t="s">
        <v>42</v>
      </c>
    </row>
    <row r="107" spans="1:17" x14ac:dyDescent="0.3">
      <c r="A107" t="s">
        <v>276</v>
      </c>
      <c r="B107" s="1">
        <v>45777</v>
      </c>
      <c r="C107" t="s">
        <v>70</v>
      </c>
      <c r="D107" t="s">
        <v>75</v>
      </c>
      <c r="E107" t="s">
        <v>22</v>
      </c>
      <c r="F107" t="s">
        <v>31</v>
      </c>
      <c r="G107" t="s">
        <v>24</v>
      </c>
      <c r="H107" t="s">
        <v>134</v>
      </c>
      <c r="I107" t="s">
        <v>277</v>
      </c>
      <c r="J107">
        <v>14</v>
      </c>
      <c r="K107" s="2">
        <v>3281.18</v>
      </c>
      <c r="L107">
        <v>15</v>
      </c>
      <c r="M107" s="2">
        <v>39046.04</v>
      </c>
      <c r="N107" s="2">
        <v>22324.65</v>
      </c>
      <c r="O107" s="2">
        <v>16721.39</v>
      </c>
      <c r="P107" t="s">
        <v>48</v>
      </c>
      <c r="Q107" t="s">
        <v>28</v>
      </c>
    </row>
    <row r="108" spans="1:17" x14ac:dyDescent="0.3">
      <c r="A108" t="s">
        <v>278</v>
      </c>
      <c r="B108" s="1">
        <v>45980</v>
      </c>
      <c r="C108" t="s">
        <v>35</v>
      </c>
      <c r="D108" t="s">
        <v>59</v>
      </c>
      <c r="E108" t="s">
        <v>66</v>
      </c>
      <c r="F108" t="s">
        <v>31</v>
      </c>
      <c r="G108" t="s">
        <v>24</v>
      </c>
      <c r="H108" t="s">
        <v>32</v>
      </c>
      <c r="I108" t="s">
        <v>279</v>
      </c>
      <c r="J108">
        <v>3</v>
      </c>
      <c r="K108" s="2">
        <v>4617.83</v>
      </c>
      <c r="L108">
        <v>20</v>
      </c>
      <c r="M108" s="2">
        <v>11082.79</v>
      </c>
      <c r="N108" s="2">
        <v>8600.2800000000007</v>
      </c>
      <c r="O108" s="2">
        <v>2482.5100000000002</v>
      </c>
      <c r="P108" t="s">
        <v>27</v>
      </c>
      <c r="Q108" t="s">
        <v>28</v>
      </c>
    </row>
    <row r="109" spans="1:17" x14ac:dyDescent="0.3">
      <c r="A109" t="s">
        <v>280</v>
      </c>
      <c r="B109" s="1">
        <v>45921</v>
      </c>
      <c r="C109" t="s">
        <v>86</v>
      </c>
      <c r="D109" t="s">
        <v>90</v>
      </c>
      <c r="E109" t="s">
        <v>51</v>
      </c>
      <c r="F109" t="s">
        <v>23</v>
      </c>
      <c r="G109" t="s">
        <v>45</v>
      </c>
      <c r="H109" t="s">
        <v>46</v>
      </c>
      <c r="I109" t="s">
        <v>281</v>
      </c>
      <c r="J109">
        <v>8</v>
      </c>
      <c r="K109" s="2">
        <v>3516.54</v>
      </c>
      <c r="L109">
        <v>15</v>
      </c>
      <c r="M109" s="2">
        <v>23912.47</v>
      </c>
      <c r="N109" s="2">
        <v>18499.509999999998</v>
      </c>
      <c r="O109" s="2">
        <v>5412.96</v>
      </c>
      <c r="P109" t="s">
        <v>41</v>
      </c>
      <c r="Q109" t="s">
        <v>42</v>
      </c>
    </row>
    <row r="110" spans="1:17" x14ac:dyDescent="0.3">
      <c r="A110" t="s">
        <v>282</v>
      </c>
      <c r="B110" s="1">
        <v>45730</v>
      </c>
      <c r="C110" t="s">
        <v>86</v>
      </c>
      <c r="D110" t="s">
        <v>90</v>
      </c>
      <c r="E110" t="s">
        <v>51</v>
      </c>
      <c r="F110" t="s">
        <v>23</v>
      </c>
      <c r="G110" t="s">
        <v>24</v>
      </c>
      <c r="H110" t="s">
        <v>25</v>
      </c>
      <c r="I110" t="s">
        <v>283</v>
      </c>
      <c r="J110">
        <v>12</v>
      </c>
      <c r="K110" s="2">
        <v>4984.1000000000004</v>
      </c>
      <c r="L110">
        <v>20</v>
      </c>
      <c r="M110" s="2">
        <v>47847.360000000001</v>
      </c>
      <c r="N110" s="2">
        <v>38374.97</v>
      </c>
      <c r="O110" s="2">
        <v>9472.39</v>
      </c>
      <c r="P110" t="s">
        <v>41</v>
      </c>
      <c r="Q110" t="s">
        <v>61</v>
      </c>
    </row>
    <row r="111" spans="1:17" x14ac:dyDescent="0.3">
      <c r="A111" t="s">
        <v>284</v>
      </c>
      <c r="B111" s="1">
        <v>45856</v>
      </c>
      <c r="C111" t="s">
        <v>70</v>
      </c>
      <c r="D111" t="s">
        <v>71</v>
      </c>
      <c r="E111" t="s">
        <v>170</v>
      </c>
      <c r="F111" t="s">
        <v>31</v>
      </c>
      <c r="G111" t="s">
        <v>24</v>
      </c>
      <c r="H111" t="s">
        <v>171</v>
      </c>
      <c r="I111" t="s">
        <v>285</v>
      </c>
      <c r="J111">
        <v>1</v>
      </c>
      <c r="K111" s="2">
        <v>4068.61</v>
      </c>
      <c r="L111">
        <v>5</v>
      </c>
      <c r="M111" s="2">
        <v>3865.18</v>
      </c>
      <c r="N111" s="2">
        <v>3092.24</v>
      </c>
      <c r="O111" s="2">
        <v>772.94</v>
      </c>
      <c r="P111" t="s">
        <v>41</v>
      </c>
      <c r="Q111" t="s">
        <v>28</v>
      </c>
    </row>
    <row r="112" spans="1:17" x14ac:dyDescent="0.3">
      <c r="A112" t="s">
        <v>286</v>
      </c>
      <c r="B112" s="1">
        <v>46193</v>
      </c>
      <c r="C112" t="s">
        <v>70</v>
      </c>
      <c r="D112" t="s">
        <v>75</v>
      </c>
      <c r="E112" t="s">
        <v>44</v>
      </c>
      <c r="F112" t="s">
        <v>23</v>
      </c>
      <c r="G112" t="s">
        <v>38</v>
      </c>
      <c r="H112" t="s">
        <v>106</v>
      </c>
      <c r="I112" t="s">
        <v>287</v>
      </c>
      <c r="J112">
        <v>9</v>
      </c>
      <c r="K112" s="2">
        <v>1235.1199999999999</v>
      </c>
      <c r="L112">
        <v>0</v>
      </c>
      <c r="M112" s="2">
        <v>11116.08</v>
      </c>
      <c r="N112" s="2">
        <v>6273.97</v>
      </c>
      <c r="O112" s="2">
        <v>4842.1099999999997</v>
      </c>
      <c r="P112" t="s">
        <v>27</v>
      </c>
      <c r="Q112" t="s">
        <v>49</v>
      </c>
    </row>
    <row r="113" spans="1:17" x14ac:dyDescent="0.3">
      <c r="A113" t="s">
        <v>288</v>
      </c>
      <c r="B113" s="1">
        <v>46058</v>
      </c>
      <c r="C113" t="s">
        <v>20</v>
      </c>
      <c r="D113" t="s">
        <v>21</v>
      </c>
      <c r="E113" t="s">
        <v>120</v>
      </c>
      <c r="F113" t="s">
        <v>23</v>
      </c>
      <c r="G113" t="s">
        <v>38</v>
      </c>
      <c r="H113" t="s">
        <v>39</v>
      </c>
      <c r="I113" t="s">
        <v>289</v>
      </c>
      <c r="J113">
        <v>8</v>
      </c>
      <c r="K113" s="2">
        <v>3557.37</v>
      </c>
      <c r="L113">
        <v>10</v>
      </c>
      <c r="M113" s="2">
        <v>25613.06</v>
      </c>
      <c r="N113" s="2">
        <v>18499.439999999999</v>
      </c>
      <c r="O113" s="2">
        <v>7113.62</v>
      </c>
      <c r="P113" t="s">
        <v>41</v>
      </c>
      <c r="Q113" t="s">
        <v>28</v>
      </c>
    </row>
    <row r="114" spans="1:17" x14ac:dyDescent="0.3">
      <c r="A114" t="s">
        <v>290</v>
      </c>
      <c r="B114" s="1">
        <v>45699</v>
      </c>
      <c r="C114" t="s">
        <v>20</v>
      </c>
      <c r="D114" t="s">
        <v>21</v>
      </c>
      <c r="E114" t="s">
        <v>44</v>
      </c>
      <c r="F114" t="s">
        <v>37</v>
      </c>
      <c r="G114" t="s">
        <v>24</v>
      </c>
      <c r="H114" t="s">
        <v>56</v>
      </c>
      <c r="I114" t="s">
        <v>291</v>
      </c>
      <c r="J114">
        <v>9</v>
      </c>
      <c r="K114" s="2">
        <v>2213.2600000000002</v>
      </c>
      <c r="L114">
        <v>10</v>
      </c>
      <c r="M114" s="2">
        <v>17927.41</v>
      </c>
      <c r="N114" s="2">
        <v>10854.98</v>
      </c>
      <c r="O114" s="2">
        <v>7072.43</v>
      </c>
      <c r="P114" t="s">
        <v>27</v>
      </c>
      <c r="Q114" t="s">
        <v>28</v>
      </c>
    </row>
    <row r="115" spans="1:17" x14ac:dyDescent="0.3">
      <c r="A115" t="s">
        <v>292</v>
      </c>
      <c r="B115" s="1">
        <v>45960</v>
      </c>
      <c r="C115" t="s">
        <v>20</v>
      </c>
      <c r="D115" t="s">
        <v>21</v>
      </c>
      <c r="E115" t="s">
        <v>30</v>
      </c>
      <c r="F115" t="s">
        <v>37</v>
      </c>
      <c r="G115" t="s">
        <v>45</v>
      </c>
      <c r="H115" t="s">
        <v>159</v>
      </c>
      <c r="I115" t="s">
        <v>293</v>
      </c>
      <c r="J115">
        <v>9</v>
      </c>
      <c r="K115" s="2">
        <v>3044.97</v>
      </c>
      <c r="L115">
        <v>0</v>
      </c>
      <c r="M115" s="2">
        <v>27404.73</v>
      </c>
      <c r="N115" s="2">
        <v>19067.82</v>
      </c>
      <c r="O115" s="2">
        <v>8336.91</v>
      </c>
      <c r="P115" t="s">
        <v>48</v>
      </c>
      <c r="Q115" t="s">
        <v>61</v>
      </c>
    </row>
    <row r="116" spans="1:17" x14ac:dyDescent="0.3">
      <c r="A116" t="s">
        <v>294</v>
      </c>
      <c r="B116" s="1">
        <v>46193</v>
      </c>
      <c r="C116" t="s">
        <v>86</v>
      </c>
      <c r="D116" t="s">
        <v>90</v>
      </c>
      <c r="E116" t="s">
        <v>113</v>
      </c>
      <c r="F116" t="s">
        <v>23</v>
      </c>
      <c r="G116" t="s">
        <v>45</v>
      </c>
      <c r="H116" t="s">
        <v>123</v>
      </c>
      <c r="I116" t="s">
        <v>295</v>
      </c>
      <c r="J116">
        <v>12</v>
      </c>
      <c r="K116" s="2">
        <v>4017.05</v>
      </c>
      <c r="L116">
        <v>0</v>
      </c>
      <c r="M116" s="2">
        <v>48204.6</v>
      </c>
      <c r="N116" s="2">
        <v>30746.14</v>
      </c>
      <c r="O116" s="2">
        <v>17458.46</v>
      </c>
      <c r="P116" t="s">
        <v>41</v>
      </c>
      <c r="Q116" t="s">
        <v>61</v>
      </c>
    </row>
    <row r="117" spans="1:17" x14ac:dyDescent="0.3">
      <c r="A117" t="s">
        <v>296</v>
      </c>
      <c r="B117" s="1">
        <v>46034</v>
      </c>
      <c r="C117" t="s">
        <v>20</v>
      </c>
      <c r="D117" t="s">
        <v>55</v>
      </c>
      <c r="E117" t="s">
        <v>120</v>
      </c>
      <c r="F117" t="s">
        <v>23</v>
      </c>
      <c r="G117" t="s">
        <v>45</v>
      </c>
      <c r="H117" t="s">
        <v>52</v>
      </c>
      <c r="I117" t="s">
        <v>297</v>
      </c>
      <c r="J117">
        <v>11</v>
      </c>
      <c r="K117" s="2">
        <v>3806.63</v>
      </c>
      <c r="L117">
        <v>10</v>
      </c>
      <c r="M117" s="2">
        <v>37685.64</v>
      </c>
      <c r="N117" s="2">
        <v>24193.1</v>
      </c>
      <c r="O117" s="2">
        <v>13492.54</v>
      </c>
      <c r="P117" t="s">
        <v>48</v>
      </c>
      <c r="Q117" t="s">
        <v>61</v>
      </c>
    </row>
    <row r="118" spans="1:17" x14ac:dyDescent="0.3">
      <c r="A118" t="s">
        <v>298</v>
      </c>
      <c r="B118" s="1">
        <v>45774</v>
      </c>
      <c r="C118" t="s">
        <v>70</v>
      </c>
      <c r="D118" t="s">
        <v>71</v>
      </c>
      <c r="E118" t="s">
        <v>113</v>
      </c>
      <c r="F118" t="s">
        <v>37</v>
      </c>
      <c r="G118" t="s">
        <v>24</v>
      </c>
      <c r="H118" t="s">
        <v>134</v>
      </c>
      <c r="I118" t="s">
        <v>299</v>
      </c>
      <c r="J118">
        <v>3</v>
      </c>
      <c r="K118" s="2">
        <v>4679.6099999999997</v>
      </c>
      <c r="L118">
        <v>5</v>
      </c>
      <c r="M118" s="2">
        <v>13336.89</v>
      </c>
      <c r="N118" s="2">
        <v>8789.0400000000009</v>
      </c>
      <c r="O118" s="2">
        <v>4547.8500000000004</v>
      </c>
      <c r="P118" t="s">
        <v>27</v>
      </c>
      <c r="Q118" t="s">
        <v>28</v>
      </c>
    </row>
    <row r="119" spans="1:17" x14ac:dyDescent="0.3">
      <c r="A119" t="s">
        <v>300</v>
      </c>
      <c r="B119" s="1">
        <v>45880</v>
      </c>
      <c r="C119" t="s">
        <v>70</v>
      </c>
      <c r="D119" t="s">
        <v>71</v>
      </c>
      <c r="E119" t="s">
        <v>22</v>
      </c>
      <c r="F119" t="s">
        <v>37</v>
      </c>
      <c r="G119" t="s">
        <v>45</v>
      </c>
      <c r="H119" t="s">
        <v>123</v>
      </c>
      <c r="I119" t="s">
        <v>301</v>
      </c>
      <c r="J119">
        <v>8</v>
      </c>
      <c r="K119" s="2">
        <v>4087.56</v>
      </c>
      <c r="L119">
        <v>15</v>
      </c>
      <c r="M119" s="2">
        <v>27795.41</v>
      </c>
      <c r="N119" s="2">
        <v>17025.099999999999</v>
      </c>
      <c r="O119" s="2">
        <v>10770.31</v>
      </c>
      <c r="P119" t="s">
        <v>48</v>
      </c>
      <c r="Q119" t="s">
        <v>49</v>
      </c>
    </row>
    <row r="120" spans="1:17" x14ac:dyDescent="0.3">
      <c r="A120" t="s">
        <v>302</v>
      </c>
      <c r="B120" s="1">
        <v>45862</v>
      </c>
      <c r="C120" t="s">
        <v>86</v>
      </c>
      <c r="D120" t="s">
        <v>87</v>
      </c>
      <c r="E120" t="s">
        <v>120</v>
      </c>
      <c r="F120" t="s">
        <v>37</v>
      </c>
      <c r="G120" t="s">
        <v>24</v>
      </c>
      <c r="H120" t="s">
        <v>25</v>
      </c>
      <c r="I120" t="s">
        <v>303</v>
      </c>
      <c r="J120">
        <v>14</v>
      </c>
      <c r="K120" s="2">
        <v>215.44</v>
      </c>
      <c r="L120">
        <v>5</v>
      </c>
      <c r="M120" s="2">
        <v>2865.35</v>
      </c>
      <c r="N120" s="2">
        <v>2008.33</v>
      </c>
      <c r="O120" s="2">
        <v>857.02</v>
      </c>
      <c r="P120" t="s">
        <v>48</v>
      </c>
      <c r="Q120" t="s">
        <v>61</v>
      </c>
    </row>
    <row r="121" spans="1:17" x14ac:dyDescent="0.3">
      <c r="A121" t="s">
        <v>304</v>
      </c>
      <c r="B121" s="1">
        <v>45745</v>
      </c>
      <c r="C121" t="s">
        <v>70</v>
      </c>
      <c r="D121" t="s">
        <v>75</v>
      </c>
      <c r="E121" t="s">
        <v>120</v>
      </c>
      <c r="F121" t="s">
        <v>23</v>
      </c>
      <c r="G121" t="s">
        <v>38</v>
      </c>
      <c r="H121" t="s">
        <v>63</v>
      </c>
      <c r="I121" t="s">
        <v>305</v>
      </c>
      <c r="J121">
        <v>14</v>
      </c>
      <c r="K121" s="2">
        <v>1875.57</v>
      </c>
      <c r="L121">
        <v>10</v>
      </c>
      <c r="M121" s="2">
        <v>23632.18</v>
      </c>
      <c r="N121" s="2">
        <v>17685.68</v>
      </c>
      <c r="O121" s="2">
        <v>5946.5</v>
      </c>
      <c r="P121" t="s">
        <v>48</v>
      </c>
      <c r="Q121" t="s">
        <v>49</v>
      </c>
    </row>
    <row r="122" spans="1:17" x14ac:dyDescent="0.3">
      <c r="A122" t="s">
        <v>306</v>
      </c>
      <c r="B122" s="1">
        <v>46074</v>
      </c>
      <c r="C122" t="s">
        <v>20</v>
      </c>
      <c r="D122" t="s">
        <v>55</v>
      </c>
      <c r="E122" t="s">
        <v>113</v>
      </c>
      <c r="F122" t="s">
        <v>31</v>
      </c>
      <c r="G122" t="s">
        <v>24</v>
      </c>
      <c r="H122" t="s">
        <v>56</v>
      </c>
      <c r="I122" t="s">
        <v>307</v>
      </c>
      <c r="J122">
        <v>3</v>
      </c>
      <c r="K122" s="2">
        <v>3219.88</v>
      </c>
      <c r="L122">
        <v>10</v>
      </c>
      <c r="M122" s="2">
        <v>8693.68</v>
      </c>
      <c r="N122" s="2">
        <v>7006.69</v>
      </c>
      <c r="O122" s="2">
        <v>1686.99</v>
      </c>
      <c r="P122" t="s">
        <v>41</v>
      </c>
      <c r="Q122" t="s">
        <v>28</v>
      </c>
    </row>
    <row r="123" spans="1:17" x14ac:dyDescent="0.3">
      <c r="A123" t="s">
        <v>308</v>
      </c>
      <c r="B123" s="1">
        <v>45911</v>
      </c>
      <c r="C123" t="s">
        <v>70</v>
      </c>
      <c r="D123" t="s">
        <v>71</v>
      </c>
      <c r="E123" t="s">
        <v>22</v>
      </c>
      <c r="F123" t="s">
        <v>31</v>
      </c>
      <c r="G123" t="s">
        <v>24</v>
      </c>
      <c r="H123" t="s">
        <v>134</v>
      </c>
      <c r="I123" t="s">
        <v>309</v>
      </c>
      <c r="J123">
        <v>1</v>
      </c>
      <c r="K123" s="2">
        <v>2730.16</v>
      </c>
      <c r="L123">
        <v>15</v>
      </c>
      <c r="M123" s="2">
        <v>2320.64</v>
      </c>
      <c r="N123" s="2">
        <v>1575.44</v>
      </c>
      <c r="O123" s="2">
        <v>745.2</v>
      </c>
      <c r="P123" t="s">
        <v>27</v>
      </c>
      <c r="Q123" t="s">
        <v>61</v>
      </c>
    </row>
    <row r="124" spans="1:17" x14ac:dyDescent="0.3">
      <c r="A124" t="s">
        <v>310</v>
      </c>
      <c r="B124" s="1">
        <v>45839</v>
      </c>
      <c r="C124" t="s">
        <v>20</v>
      </c>
      <c r="D124" t="s">
        <v>21</v>
      </c>
      <c r="E124" t="s">
        <v>22</v>
      </c>
      <c r="F124" t="s">
        <v>37</v>
      </c>
      <c r="G124" t="s">
        <v>38</v>
      </c>
      <c r="H124" t="s">
        <v>63</v>
      </c>
      <c r="I124" t="s">
        <v>311</v>
      </c>
      <c r="J124">
        <v>9</v>
      </c>
      <c r="K124" s="2">
        <v>2886.52</v>
      </c>
      <c r="L124">
        <v>20</v>
      </c>
      <c r="M124" s="2">
        <v>20782.939999999999</v>
      </c>
      <c r="N124" s="2">
        <v>14752.04</v>
      </c>
      <c r="O124" s="2">
        <v>6030.9</v>
      </c>
      <c r="P124" t="s">
        <v>27</v>
      </c>
      <c r="Q124" t="s">
        <v>28</v>
      </c>
    </row>
    <row r="125" spans="1:17" x14ac:dyDescent="0.3">
      <c r="A125" t="s">
        <v>312</v>
      </c>
      <c r="B125" s="1">
        <v>45830</v>
      </c>
      <c r="C125" t="s">
        <v>20</v>
      </c>
      <c r="D125" t="s">
        <v>55</v>
      </c>
      <c r="E125" t="s">
        <v>44</v>
      </c>
      <c r="F125" t="s">
        <v>37</v>
      </c>
      <c r="G125" t="s">
        <v>38</v>
      </c>
      <c r="H125" t="s">
        <v>106</v>
      </c>
      <c r="I125" t="s">
        <v>313</v>
      </c>
      <c r="J125">
        <v>9</v>
      </c>
      <c r="K125" s="2">
        <v>2813.54</v>
      </c>
      <c r="L125">
        <v>5</v>
      </c>
      <c r="M125" s="2">
        <v>24055.77</v>
      </c>
      <c r="N125" s="2">
        <v>16879.36</v>
      </c>
      <c r="O125" s="2">
        <v>7176.41</v>
      </c>
      <c r="P125" t="s">
        <v>48</v>
      </c>
      <c r="Q125" t="s">
        <v>61</v>
      </c>
    </row>
    <row r="126" spans="1:17" x14ac:dyDescent="0.3">
      <c r="A126" t="s">
        <v>314</v>
      </c>
      <c r="B126" s="1">
        <v>45998</v>
      </c>
      <c r="C126" t="s">
        <v>35</v>
      </c>
      <c r="D126" t="s">
        <v>59</v>
      </c>
      <c r="E126" t="s">
        <v>120</v>
      </c>
      <c r="F126" t="s">
        <v>37</v>
      </c>
      <c r="G126" t="s">
        <v>38</v>
      </c>
      <c r="H126" t="s">
        <v>91</v>
      </c>
      <c r="I126" t="s">
        <v>315</v>
      </c>
      <c r="J126">
        <v>13</v>
      </c>
      <c r="K126" s="2">
        <v>2600.0700000000002</v>
      </c>
      <c r="L126">
        <v>15</v>
      </c>
      <c r="M126" s="2">
        <v>28730.77</v>
      </c>
      <c r="N126" s="2">
        <v>20362.86</v>
      </c>
      <c r="O126" s="2">
        <v>8367.91</v>
      </c>
      <c r="P126" t="s">
        <v>27</v>
      </c>
      <c r="Q126" t="s">
        <v>61</v>
      </c>
    </row>
    <row r="127" spans="1:17" x14ac:dyDescent="0.3">
      <c r="A127" t="s">
        <v>316</v>
      </c>
      <c r="B127" s="1">
        <v>45809</v>
      </c>
      <c r="C127" t="s">
        <v>70</v>
      </c>
      <c r="D127" t="s">
        <v>71</v>
      </c>
      <c r="E127" t="s">
        <v>66</v>
      </c>
      <c r="F127" t="s">
        <v>31</v>
      </c>
      <c r="G127" t="s">
        <v>24</v>
      </c>
      <c r="H127" t="s">
        <v>25</v>
      </c>
      <c r="I127" t="s">
        <v>317</v>
      </c>
      <c r="J127">
        <v>7</v>
      </c>
      <c r="K127" s="2">
        <v>1324.83</v>
      </c>
      <c r="L127">
        <v>20</v>
      </c>
      <c r="M127" s="2">
        <v>7419.05</v>
      </c>
      <c r="N127" s="2">
        <v>4764.66</v>
      </c>
      <c r="O127" s="2">
        <v>2654.39</v>
      </c>
      <c r="P127" t="s">
        <v>41</v>
      </c>
      <c r="Q127" t="s">
        <v>49</v>
      </c>
    </row>
    <row r="128" spans="1:17" x14ac:dyDescent="0.3">
      <c r="A128" t="s">
        <v>318</v>
      </c>
      <c r="B128" s="1">
        <v>46189</v>
      </c>
      <c r="C128" t="s">
        <v>70</v>
      </c>
      <c r="D128" t="s">
        <v>71</v>
      </c>
      <c r="E128" t="s">
        <v>66</v>
      </c>
      <c r="F128" t="s">
        <v>31</v>
      </c>
      <c r="G128" t="s">
        <v>38</v>
      </c>
      <c r="H128" t="s">
        <v>106</v>
      </c>
      <c r="I128" t="s">
        <v>319</v>
      </c>
      <c r="J128">
        <v>2</v>
      </c>
      <c r="K128" s="2">
        <v>3819.11</v>
      </c>
      <c r="L128">
        <v>20</v>
      </c>
      <c r="M128" s="2">
        <v>6110.58</v>
      </c>
      <c r="N128" s="2">
        <v>4579.93</v>
      </c>
      <c r="O128" s="2">
        <v>1530.65</v>
      </c>
      <c r="P128" t="s">
        <v>48</v>
      </c>
      <c r="Q128" t="s">
        <v>42</v>
      </c>
    </row>
    <row r="129" spans="1:17" x14ac:dyDescent="0.3">
      <c r="A129" t="s">
        <v>320</v>
      </c>
      <c r="B129" s="1">
        <v>45784</v>
      </c>
      <c r="C129" t="s">
        <v>35</v>
      </c>
      <c r="D129" t="s">
        <v>36</v>
      </c>
      <c r="E129" t="s">
        <v>44</v>
      </c>
      <c r="F129" t="s">
        <v>23</v>
      </c>
      <c r="G129" t="s">
        <v>24</v>
      </c>
      <c r="H129" t="s">
        <v>25</v>
      </c>
      <c r="I129" t="s">
        <v>321</v>
      </c>
      <c r="J129">
        <v>2</v>
      </c>
      <c r="K129" s="2">
        <v>4465.8</v>
      </c>
      <c r="L129">
        <v>10</v>
      </c>
      <c r="M129" s="2">
        <v>8038.44</v>
      </c>
      <c r="N129" s="2">
        <v>6259.32</v>
      </c>
      <c r="O129" s="2">
        <v>1779.12</v>
      </c>
      <c r="P129" t="s">
        <v>48</v>
      </c>
      <c r="Q129" t="s">
        <v>42</v>
      </c>
    </row>
    <row r="130" spans="1:17" x14ac:dyDescent="0.3">
      <c r="A130" t="s">
        <v>322</v>
      </c>
      <c r="B130" s="1">
        <v>45670</v>
      </c>
      <c r="C130" t="s">
        <v>70</v>
      </c>
      <c r="D130" t="s">
        <v>71</v>
      </c>
      <c r="E130" t="s">
        <v>44</v>
      </c>
      <c r="F130" t="s">
        <v>31</v>
      </c>
      <c r="G130" t="s">
        <v>24</v>
      </c>
      <c r="H130" t="s">
        <v>56</v>
      </c>
      <c r="I130" t="s">
        <v>323</v>
      </c>
      <c r="J130">
        <v>11</v>
      </c>
      <c r="K130" s="2">
        <v>4807.78</v>
      </c>
      <c r="L130">
        <v>5</v>
      </c>
      <c r="M130" s="2">
        <v>50241.3</v>
      </c>
      <c r="N130" s="2">
        <v>30910.07</v>
      </c>
      <c r="O130" s="2">
        <v>19331.23</v>
      </c>
      <c r="P130" t="s">
        <v>41</v>
      </c>
      <c r="Q130" t="s">
        <v>42</v>
      </c>
    </row>
    <row r="131" spans="1:17" x14ac:dyDescent="0.3">
      <c r="A131" t="s">
        <v>324</v>
      </c>
      <c r="B131" s="1">
        <v>45913</v>
      </c>
      <c r="C131" t="s">
        <v>20</v>
      </c>
      <c r="D131" t="s">
        <v>55</v>
      </c>
      <c r="E131" t="s">
        <v>170</v>
      </c>
      <c r="F131" t="s">
        <v>37</v>
      </c>
      <c r="G131" t="s">
        <v>45</v>
      </c>
      <c r="H131" t="s">
        <v>52</v>
      </c>
      <c r="I131" t="s">
        <v>325</v>
      </c>
      <c r="J131">
        <v>13</v>
      </c>
      <c r="K131" s="2">
        <v>828.83</v>
      </c>
      <c r="L131">
        <v>20</v>
      </c>
      <c r="M131" s="2">
        <v>8619.83</v>
      </c>
      <c r="N131" s="2">
        <v>6196.76</v>
      </c>
      <c r="O131" s="2">
        <v>2423.0700000000002</v>
      </c>
      <c r="P131" t="s">
        <v>48</v>
      </c>
      <c r="Q131" t="s">
        <v>61</v>
      </c>
    </row>
    <row r="132" spans="1:17" x14ac:dyDescent="0.3">
      <c r="A132" t="s">
        <v>326</v>
      </c>
      <c r="B132" s="1">
        <v>46189</v>
      </c>
      <c r="C132" t="s">
        <v>70</v>
      </c>
      <c r="D132" t="s">
        <v>75</v>
      </c>
      <c r="E132" t="s">
        <v>22</v>
      </c>
      <c r="F132" t="s">
        <v>23</v>
      </c>
      <c r="G132" t="s">
        <v>38</v>
      </c>
      <c r="H132" t="s">
        <v>63</v>
      </c>
      <c r="I132" t="s">
        <v>327</v>
      </c>
      <c r="J132">
        <v>1</v>
      </c>
      <c r="K132" s="2">
        <v>3968.2</v>
      </c>
      <c r="L132">
        <v>0</v>
      </c>
      <c r="M132" s="2">
        <v>3968.2</v>
      </c>
      <c r="N132" s="2">
        <v>2862.94</v>
      </c>
      <c r="O132" s="2">
        <v>1105.26</v>
      </c>
      <c r="P132" t="s">
        <v>41</v>
      </c>
      <c r="Q132" t="s">
        <v>42</v>
      </c>
    </row>
    <row r="133" spans="1:17" x14ac:dyDescent="0.3">
      <c r="A133" t="s">
        <v>328</v>
      </c>
      <c r="B133" s="1">
        <v>46106</v>
      </c>
      <c r="C133" t="s">
        <v>20</v>
      </c>
      <c r="D133" t="s">
        <v>21</v>
      </c>
      <c r="E133" t="s">
        <v>44</v>
      </c>
      <c r="F133" t="s">
        <v>37</v>
      </c>
      <c r="G133" t="s">
        <v>38</v>
      </c>
      <c r="H133" t="s">
        <v>106</v>
      </c>
      <c r="I133" t="s">
        <v>329</v>
      </c>
      <c r="J133">
        <v>14</v>
      </c>
      <c r="K133" s="2">
        <v>1629.6</v>
      </c>
      <c r="L133">
        <v>0</v>
      </c>
      <c r="M133" s="2">
        <v>22814.400000000001</v>
      </c>
      <c r="N133" s="2">
        <v>18318.849999999999</v>
      </c>
      <c r="O133" s="2">
        <v>4495.55</v>
      </c>
      <c r="P133" t="s">
        <v>27</v>
      </c>
      <c r="Q133" t="s">
        <v>28</v>
      </c>
    </row>
    <row r="134" spans="1:17" x14ac:dyDescent="0.3">
      <c r="A134" t="s">
        <v>330</v>
      </c>
      <c r="B134" s="1">
        <v>45711</v>
      </c>
      <c r="C134" t="s">
        <v>20</v>
      </c>
      <c r="D134" t="s">
        <v>55</v>
      </c>
      <c r="E134" t="s">
        <v>120</v>
      </c>
      <c r="F134" t="s">
        <v>23</v>
      </c>
      <c r="G134" t="s">
        <v>24</v>
      </c>
      <c r="H134" t="s">
        <v>25</v>
      </c>
      <c r="I134" t="s">
        <v>331</v>
      </c>
      <c r="J134">
        <v>11</v>
      </c>
      <c r="K134" s="2">
        <v>2062.66</v>
      </c>
      <c r="L134">
        <v>10</v>
      </c>
      <c r="M134" s="2">
        <v>20420.330000000002</v>
      </c>
      <c r="N134" s="2">
        <v>14799.22</v>
      </c>
      <c r="O134" s="2">
        <v>5621.11</v>
      </c>
      <c r="P134" t="s">
        <v>41</v>
      </c>
      <c r="Q134" t="s">
        <v>61</v>
      </c>
    </row>
    <row r="135" spans="1:17" x14ac:dyDescent="0.3">
      <c r="A135" t="s">
        <v>332</v>
      </c>
      <c r="B135" s="1">
        <v>45722</v>
      </c>
      <c r="C135" t="s">
        <v>86</v>
      </c>
      <c r="D135" t="s">
        <v>90</v>
      </c>
      <c r="E135" t="s">
        <v>51</v>
      </c>
      <c r="F135" t="s">
        <v>23</v>
      </c>
      <c r="G135" t="s">
        <v>38</v>
      </c>
      <c r="H135" t="s">
        <v>39</v>
      </c>
      <c r="I135" t="s">
        <v>333</v>
      </c>
      <c r="J135">
        <v>5</v>
      </c>
      <c r="K135" s="2">
        <v>4909.21</v>
      </c>
      <c r="L135">
        <v>0</v>
      </c>
      <c r="M135" s="2">
        <v>24546.05</v>
      </c>
      <c r="N135" s="2">
        <v>14962.62</v>
      </c>
      <c r="O135" s="2">
        <v>9583.43</v>
      </c>
      <c r="P135" t="s">
        <v>41</v>
      </c>
      <c r="Q135" t="s">
        <v>28</v>
      </c>
    </row>
    <row r="136" spans="1:17" x14ac:dyDescent="0.3">
      <c r="A136" t="s">
        <v>334</v>
      </c>
      <c r="B136" s="1">
        <v>45859</v>
      </c>
      <c r="C136" t="s">
        <v>35</v>
      </c>
      <c r="D136" t="s">
        <v>59</v>
      </c>
      <c r="E136" t="s">
        <v>22</v>
      </c>
      <c r="F136" t="s">
        <v>31</v>
      </c>
      <c r="G136" t="s">
        <v>38</v>
      </c>
      <c r="H136" t="s">
        <v>39</v>
      </c>
      <c r="I136" t="s">
        <v>335</v>
      </c>
      <c r="J136">
        <v>4</v>
      </c>
      <c r="K136" s="2">
        <v>4308.8500000000004</v>
      </c>
      <c r="L136">
        <v>0</v>
      </c>
      <c r="M136" s="2">
        <v>17235.400000000001</v>
      </c>
      <c r="N136" s="2">
        <v>10742.38</v>
      </c>
      <c r="O136" s="2">
        <v>6493.02</v>
      </c>
      <c r="P136" t="s">
        <v>48</v>
      </c>
      <c r="Q136" t="s">
        <v>61</v>
      </c>
    </row>
    <row r="137" spans="1:17" x14ac:dyDescent="0.3">
      <c r="A137" t="s">
        <v>336</v>
      </c>
      <c r="B137" s="1">
        <v>45707</v>
      </c>
      <c r="C137" t="s">
        <v>70</v>
      </c>
      <c r="D137" t="s">
        <v>75</v>
      </c>
      <c r="E137" t="s">
        <v>120</v>
      </c>
      <c r="F137" t="s">
        <v>37</v>
      </c>
      <c r="G137" t="s">
        <v>38</v>
      </c>
      <c r="H137" t="s">
        <v>39</v>
      </c>
      <c r="I137" t="s">
        <v>337</v>
      </c>
      <c r="J137">
        <v>11</v>
      </c>
      <c r="K137" s="2">
        <v>1740.84</v>
      </c>
      <c r="L137">
        <v>5</v>
      </c>
      <c r="M137" s="2">
        <v>18191.78</v>
      </c>
      <c r="N137" s="2">
        <v>11287.73</v>
      </c>
      <c r="O137" s="2">
        <v>6904.05</v>
      </c>
      <c r="P137" t="s">
        <v>41</v>
      </c>
      <c r="Q137" t="s">
        <v>42</v>
      </c>
    </row>
    <row r="138" spans="1:17" x14ac:dyDescent="0.3">
      <c r="A138" t="s">
        <v>338</v>
      </c>
      <c r="B138" s="1">
        <v>45957</v>
      </c>
      <c r="C138" t="s">
        <v>70</v>
      </c>
      <c r="D138" t="s">
        <v>75</v>
      </c>
      <c r="E138" t="s">
        <v>51</v>
      </c>
      <c r="F138" t="s">
        <v>37</v>
      </c>
      <c r="G138" t="s">
        <v>38</v>
      </c>
      <c r="H138" t="s">
        <v>106</v>
      </c>
      <c r="I138" t="s">
        <v>339</v>
      </c>
      <c r="J138">
        <v>6</v>
      </c>
      <c r="K138" s="2">
        <v>777.45</v>
      </c>
      <c r="L138">
        <v>20</v>
      </c>
      <c r="M138" s="2">
        <v>3731.76</v>
      </c>
      <c r="N138" s="2">
        <v>2496.71</v>
      </c>
      <c r="O138" s="2">
        <v>1235.05</v>
      </c>
      <c r="P138" t="s">
        <v>48</v>
      </c>
      <c r="Q138" t="s">
        <v>49</v>
      </c>
    </row>
    <row r="139" spans="1:17" x14ac:dyDescent="0.3">
      <c r="A139" t="s">
        <v>340</v>
      </c>
      <c r="B139" s="1">
        <v>46146</v>
      </c>
      <c r="C139" t="s">
        <v>70</v>
      </c>
      <c r="D139" t="s">
        <v>71</v>
      </c>
      <c r="E139" t="s">
        <v>51</v>
      </c>
      <c r="F139" t="s">
        <v>37</v>
      </c>
      <c r="G139" t="s">
        <v>24</v>
      </c>
      <c r="H139" t="s">
        <v>56</v>
      </c>
      <c r="I139" t="s">
        <v>341</v>
      </c>
      <c r="J139">
        <v>1</v>
      </c>
      <c r="K139" s="2">
        <v>717.39</v>
      </c>
      <c r="L139">
        <v>0</v>
      </c>
      <c r="M139" s="2">
        <v>717.39</v>
      </c>
      <c r="N139" s="2">
        <v>543.52</v>
      </c>
      <c r="O139" s="2">
        <v>173.87</v>
      </c>
      <c r="P139" t="s">
        <v>27</v>
      </c>
      <c r="Q139" t="s">
        <v>28</v>
      </c>
    </row>
    <row r="140" spans="1:17" x14ac:dyDescent="0.3">
      <c r="A140" t="s">
        <v>342</v>
      </c>
      <c r="B140" s="1">
        <v>46203</v>
      </c>
      <c r="C140" t="s">
        <v>86</v>
      </c>
      <c r="D140" t="s">
        <v>90</v>
      </c>
      <c r="E140" t="s">
        <v>120</v>
      </c>
      <c r="F140" t="s">
        <v>31</v>
      </c>
      <c r="G140" t="s">
        <v>45</v>
      </c>
      <c r="H140" t="s">
        <v>46</v>
      </c>
      <c r="I140" t="s">
        <v>343</v>
      </c>
      <c r="J140">
        <v>6</v>
      </c>
      <c r="K140" s="2">
        <v>2594.65</v>
      </c>
      <c r="L140">
        <v>15</v>
      </c>
      <c r="M140" s="2">
        <v>13232.72</v>
      </c>
      <c r="N140" s="2">
        <v>10671.61</v>
      </c>
      <c r="O140" s="2">
        <v>2561.11</v>
      </c>
      <c r="P140" t="s">
        <v>48</v>
      </c>
      <c r="Q140" t="s">
        <v>49</v>
      </c>
    </row>
    <row r="141" spans="1:17" x14ac:dyDescent="0.3">
      <c r="A141" t="s">
        <v>344</v>
      </c>
      <c r="B141" s="1">
        <v>45921</v>
      </c>
      <c r="C141" t="s">
        <v>86</v>
      </c>
      <c r="D141" t="s">
        <v>87</v>
      </c>
      <c r="E141" t="s">
        <v>66</v>
      </c>
      <c r="F141" t="s">
        <v>23</v>
      </c>
      <c r="G141" t="s">
        <v>24</v>
      </c>
      <c r="H141" t="s">
        <v>32</v>
      </c>
      <c r="I141" t="s">
        <v>345</v>
      </c>
      <c r="J141">
        <v>3</v>
      </c>
      <c r="K141" s="2">
        <v>2171.81</v>
      </c>
      <c r="L141">
        <v>0</v>
      </c>
      <c r="M141" s="2">
        <v>6515.43</v>
      </c>
      <c r="N141" s="2">
        <v>3632.04</v>
      </c>
      <c r="O141" s="2">
        <v>2883.39</v>
      </c>
      <c r="P141" t="s">
        <v>48</v>
      </c>
      <c r="Q141" t="s">
        <v>42</v>
      </c>
    </row>
    <row r="142" spans="1:17" x14ac:dyDescent="0.3">
      <c r="A142" t="s">
        <v>346</v>
      </c>
      <c r="B142" s="1">
        <v>45664</v>
      </c>
      <c r="C142" t="s">
        <v>70</v>
      </c>
      <c r="D142" t="s">
        <v>75</v>
      </c>
      <c r="E142" t="s">
        <v>66</v>
      </c>
      <c r="F142" t="s">
        <v>23</v>
      </c>
      <c r="G142" t="s">
        <v>45</v>
      </c>
      <c r="H142" t="s">
        <v>46</v>
      </c>
      <c r="I142" t="s">
        <v>347</v>
      </c>
      <c r="J142">
        <v>12</v>
      </c>
      <c r="K142" s="2">
        <v>524.91999999999996</v>
      </c>
      <c r="L142">
        <v>20</v>
      </c>
      <c r="M142" s="2">
        <v>5039.2299999999996</v>
      </c>
      <c r="N142" s="2">
        <v>3101.47</v>
      </c>
      <c r="O142" s="2">
        <v>1937.76</v>
      </c>
      <c r="P142" t="s">
        <v>27</v>
      </c>
      <c r="Q142" t="s">
        <v>61</v>
      </c>
    </row>
    <row r="143" spans="1:17" x14ac:dyDescent="0.3">
      <c r="A143" t="s">
        <v>348</v>
      </c>
      <c r="B143" s="1">
        <v>45857</v>
      </c>
      <c r="C143" t="s">
        <v>70</v>
      </c>
      <c r="D143" t="s">
        <v>75</v>
      </c>
      <c r="E143" t="s">
        <v>113</v>
      </c>
      <c r="F143" t="s">
        <v>23</v>
      </c>
      <c r="G143" t="s">
        <v>45</v>
      </c>
      <c r="H143" t="s">
        <v>52</v>
      </c>
      <c r="I143" t="s">
        <v>349</v>
      </c>
      <c r="J143">
        <v>4</v>
      </c>
      <c r="K143" s="2">
        <v>4719.3500000000004</v>
      </c>
      <c r="L143">
        <v>0</v>
      </c>
      <c r="M143" s="2">
        <v>18877.400000000001</v>
      </c>
      <c r="N143" s="2">
        <v>11835.43</v>
      </c>
      <c r="O143" s="2">
        <v>7041.97</v>
      </c>
      <c r="P143" t="s">
        <v>48</v>
      </c>
      <c r="Q143" t="s">
        <v>49</v>
      </c>
    </row>
    <row r="144" spans="1:17" x14ac:dyDescent="0.3">
      <c r="A144" t="s">
        <v>350</v>
      </c>
      <c r="B144" s="1">
        <v>45666</v>
      </c>
      <c r="C144" t="s">
        <v>70</v>
      </c>
      <c r="D144" t="s">
        <v>75</v>
      </c>
      <c r="E144" t="s">
        <v>120</v>
      </c>
      <c r="F144" t="s">
        <v>37</v>
      </c>
      <c r="G144" t="s">
        <v>45</v>
      </c>
      <c r="H144" t="s">
        <v>52</v>
      </c>
      <c r="I144" t="s">
        <v>351</v>
      </c>
      <c r="J144">
        <v>9</v>
      </c>
      <c r="K144" s="2">
        <v>601.32000000000005</v>
      </c>
      <c r="L144">
        <v>20</v>
      </c>
      <c r="M144" s="2">
        <v>4329.5</v>
      </c>
      <c r="N144" s="2">
        <v>3546.1</v>
      </c>
      <c r="O144" s="2">
        <v>783.4</v>
      </c>
      <c r="P144" t="s">
        <v>27</v>
      </c>
      <c r="Q144" t="s">
        <v>42</v>
      </c>
    </row>
    <row r="145" spans="1:17" x14ac:dyDescent="0.3">
      <c r="A145" t="s">
        <v>352</v>
      </c>
      <c r="B145" s="1">
        <v>45999</v>
      </c>
      <c r="C145" t="s">
        <v>35</v>
      </c>
      <c r="D145" t="s">
        <v>59</v>
      </c>
      <c r="E145" t="s">
        <v>51</v>
      </c>
      <c r="F145" t="s">
        <v>37</v>
      </c>
      <c r="G145" t="s">
        <v>24</v>
      </c>
      <c r="H145" t="s">
        <v>56</v>
      </c>
      <c r="I145" t="s">
        <v>353</v>
      </c>
      <c r="J145">
        <v>12</v>
      </c>
      <c r="K145" s="2">
        <v>1021.93</v>
      </c>
      <c r="L145">
        <v>0</v>
      </c>
      <c r="M145" s="2">
        <v>12263.16</v>
      </c>
      <c r="N145" s="2">
        <v>9002.48</v>
      </c>
      <c r="O145" s="2">
        <v>3260.68</v>
      </c>
      <c r="P145" t="s">
        <v>41</v>
      </c>
      <c r="Q145" t="s">
        <v>42</v>
      </c>
    </row>
    <row r="146" spans="1:17" x14ac:dyDescent="0.3">
      <c r="A146" t="s">
        <v>354</v>
      </c>
      <c r="B146" s="1">
        <v>46001</v>
      </c>
      <c r="C146" t="s">
        <v>35</v>
      </c>
      <c r="D146" t="s">
        <v>59</v>
      </c>
      <c r="E146" t="s">
        <v>22</v>
      </c>
      <c r="F146" t="s">
        <v>37</v>
      </c>
      <c r="G146" t="s">
        <v>45</v>
      </c>
      <c r="H146" t="s">
        <v>46</v>
      </c>
      <c r="I146" t="s">
        <v>355</v>
      </c>
      <c r="J146">
        <v>8</v>
      </c>
      <c r="K146" s="2">
        <v>634.79</v>
      </c>
      <c r="L146">
        <v>15</v>
      </c>
      <c r="M146" s="2">
        <v>4316.57</v>
      </c>
      <c r="N146" s="2">
        <v>3090.1</v>
      </c>
      <c r="O146" s="2">
        <v>1226.47</v>
      </c>
      <c r="P146" t="s">
        <v>48</v>
      </c>
      <c r="Q146" t="s">
        <v>28</v>
      </c>
    </row>
    <row r="147" spans="1:17" x14ac:dyDescent="0.3">
      <c r="A147" t="s">
        <v>356</v>
      </c>
      <c r="B147" s="1">
        <v>46139</v>
      </c>
      <c r="C147" t="s">
        <v>35</v>
      </c>
      <c r="D147" t="s">
        <v>59</v>
      </c>
      <c r="E147" t="s">
        <v>30</v>
      </c>
      <c r="F147" t="s">
        <v>37</v>
      </c>
      <c r="G147" t="s">
        <v>45</v>
      </c>
      <c r="H147" t="s">
        <v>159</v>
      </c>
      <c r="I147" t="s">
        <v>357</v>
      </c>
      <c r="J147">
        <v>9</v>
      </c>
      <c r="K147" s="2">
        <v>2272.3200000000002</v>
      </c>
      <c r="L147">
        <v>20</v>
      </c>
      <c r="M147" s="2">
        <v>16360.7</v>
      </c>
      <c r="N147" s="2">
        <v>13100.48</v>
      </c>
      <c r="O147" s="2">
        <v>3260.22</v>
      </c>
      <c r="P147" t="s">
        <v>41</v>
      </c>
      <c r="Q147" t="s">
        <v>49</v>
      </c>
    </row>
    <row r="148" spans="1:17" x14ac:dyDescent="0.3">
      <c r="A148" t="s">
        <v>358</v>
      </c>
      <c r="B148" s="1">
        <v>45985</v>
      </c>
      <c r="C148" t="s">
        <v>70</v>
      </c>
      <c r="D148" t="s">
        <v>75</v>
      </c>
      <c r="E148" t="s">
        <v>66</v>
      </c>
      <c r="F148" t="s">
        <v>31</v>
      </c>
      <c r="G148" t="s">
        <v>45</v>
      </c>
      <c r="H148" t="s">
        <v>46</v>
      </c>
      <c r="I148" t="s">
        <v>359</v>
      </c>
      <c r="J148">
        <v>10</v>
      </c>
      <c r="K148" s="2">
        <v>3232.72</v>
      </c>
      <c r="L148">
        <v>15</v>
      </c>
      <c r="M148" s="2">
        <v>27478.12</v>
      </c>
      <c r="N148" s="2">
        <v>15986.37</v>
      </c>
      <c r="O148" s="2">
        <v>11491.75</v>
      </c>
      <c r="P148" t="s">
        <v>41</v>
      </c>
      <c r="Q148" t="s">
        <v>28</v>
      </c>
    </row>
    <row r="149" spans="1:17" x14ac:dyDescent="0.3">
      <c r="A149" t="s">
        <v>360</v>
      </c>
      <c r="B149" s="1">
        <v>45745</v>
      </c>
      <c r="C149" t="s">
        <v>20</v>
      </c>
      <c r="D149" t="s">
        <v>55</v>
      </c>
      <c r="E149" t="s">
        <v>44</v>
      </c>
      <c r="F149" t="s">
        <v>23</v>
      </c>
      <c r="G149" t="s">
        <v>45</v>
      </c>
      <c r="H149" t="s">
        <v>67</v>
      </c>
      <c r="I149" t="s">
        <v>361</v>
      </c>
      <c r="J149">
        <v>12</v>
      </c>
      <c r="K149" s="2">
        <v>1952.16</v>
      </c>
      <c r="L149">
        <v>10</v>
      </c>
      <c r="M149" s="2">
        <v>21083.33</v>
      </c>
      <c r="N149" s="2">
        <v>14344.43</v>
      </c>
      <c r="O149" s="2">
        <v>6738.9</v>
      </c>
      <c r="P149" t="s">
        <v>41</v>
      </c>
      <c r="Q149" t="s">
        <v>61</v>
      </c>
    </row>
    <row r="150" spans="1:17" x14ac:dyDescent="0.3">
      <c r="A150" t="s">
        <v>362</v>
      </c>
      <c r="B150" s="1">
        <v>45918</v>
      </c>
      <c r="C150" t="s">
        <v>70</v>
      </c>
      <c r="D150" t="s">
        <v>71</v>
      </c>
      <c r="E150" t="s">
        <v>44</v>
      </c>
      <c r="F150" t="s">
        <v>37</v>
      </c>
      <c r="G150" t="s">
        <v>24</v>
      </c>
      <c r="H150" t="s">
        <v>56</v>
      </c>
      <c r="I150" t="s">
        <v>363</v>
      </c>
      <c r="J150">
        <v>3</v>
      </c>
      <c r="K150" s="2">
        <v>3780.69</v>
      </c>
      <c r="L150">
        <v>5</v>
      </c>
      <c r="M150" s="2">
        <v>10774.97</v>
      </c>
      <c r="N150" s="2">
        <v>8254.61</v>
      </c>
      <c r="O150" s="2">
        <v>2520.36</v>
      </c>
      <c r="P150" t="s">
        <v>48</v>
      </c>
      <c r="Q150" t="s">
        <v>61</v>
      </c>
    </row>
    <row r="151" spans="1:17" x14ac:dyDescent="0.3">
      <c r="A151" t="s">
        <v>364</v>
      </c>
      <c r="B151" s="1">
        <v>45824</v>
      </c>
      <c r="C151" t="s">
        <v>86</v>
      </c>
      <c r="D151" t="s">
        <v>87</v>
      </c>
      <c r="E151" t="s">
        <v>170</v>
      </c>
      <c r="F151" t="s">
        <v>23</v>
      </c>
      <c r="G151" t="s">
        <v>24</v>
      </c>
      <c r="H151" t="s">
        <v>25</v>
      </c>
      <c r="I151" t="s">
        <v>365</v>
      </c>
      <c r="J151">
        <v>5</v>
      </c>
      <c r="K151" s="2">
        <v>2198.65</v>
      </c>
      <c r="L151">
        <v>20</v>
      </c>
      <c r="M151" s="2">
        <v>8794.6</v>
      </c>
      <c r="N151" s="2">
        <v>6234.97</v>
      </c>
      <c r="O151" s="2">
        <v>2559.63</v>
      </c>
      <c r="P151" t="s">
        <v>48</v>
      </c>
      <c r="Q151" t="s">
        <v>42</v>
      </c>
    </row>
    <row r="152" spans="1:17" x14ac:dyDescent="0.3">
      <c r="A152" t="s">
        <v>366</v>
      </c>
      <c r="B152" s="1">
        <v>45896</v>
      </c>
      <c r="C152" t="s">
        <v>70</v>
      </c>
      <c r="D152" t="s">
        <v>71</v>
      </c>
      <c r="E152" t="s">
        <v>170</v>
      </c>
      <c r="F152" t="s">
        <v>23</v>
      </c>
      <c r="G152" t="s">
        <v>45</v>
      </c>
      <c r="H152" t="s">
        <v>46</v>
      </c>
      <c r="I152" t="s">
        <v>367</v>
      </c>
      <c r="J152">
        <v>4</v>
      </c>
      <c r="K152" s="2">
        <v>3545.41</v>
      </c>
      <c r="L152">
        <v>15</v>
      </c>
      <c r="M152" s="2">
        <v>12054.39</v>
      </c>
      <c r="N152" s="2">
        <v>9217.5300000000007</v>
      </c>
      <c r="O152" s="2">
        <v>2836.86</v>
      </c>
      <c r="P152" t="s">
        <v>48</v>
      </c>
      <c r="Q152" t="s">
        <v>42</v>
      </c>
    </row>
    <row r="153" spans="1:17" x14ac:dyDescent="0.3">
      <c r="A153" t="s">
        <v>368</v>
      </c>
      <c r="B153" s="1">
        <v>46197</v>
      </c>
      <c r="C153" t="s">
        <v>70</v>
      </c>
      <c r="D153" t="s">
        <v>75</v>
      </c>
      <c r="E153" t="s">
        <v>44</v>
      </c>
      <c r="F153" t="s">
        <v>23</v>
      </c>
      <c r="G153" t="s">
        <v>38</v>
      </c>
      <c r="H153" t="s">
        <v>39</v>
      </c>
      <c r="I153" t="s">
        <v>369</v>
      </c>
      <c r="J153">
        <v>12</v>
      </c>
      <c r="K153" s="2">
        <v>2942.6</v>
      </c>
      <c r="L153">
        <v>20</v>
      </c>
      <c r="M153" s="2">
        <v>28248.959999999999</v>
      </c>
      <c r="N153" s="2">
        <v>16195.03</v>
      </c>
      <c r="O153" s="2">
        <v>12053.93</v>
      </c>
      <c r="P153" t="s">
        <v>41</v>
      </c>
      <c r="Q153" t="s">
        <v>49</v>
      </c>
    </row>
    <row r="154" spans="1:17" x14ac:dyDescent="0.3">
      <c r="A154" t="s">
        <v>370</v>
      </c>
      <c r="B154" s="1">
        <v>45734</v>
      </c>
      <c r="C154" t="s">
        <v>70</v>
      </c>
      <c r="D154" t="s">
        <v>71</v>
      </c>
      <c r="E154" t="s">
        <v>22</v>
      </c>
      <c r="F154" t="s">
        <v>37</v>
      </c>
      <c r="G154" t="s">
        <v>45</v>
      </c>
      <c r="H154" t="s">
        <v>123</v>
      </c>
      <c r="I154" t="s">
        <v>371</v>
      </c>
      <c r="J154">
        <v>9</v>
      </c>
      <c r="K154" s="2">
        <v>3972.82</v>
      </c>
      <c r="L154">
        <v>0</v>
      </c>
      <c r="M154" s="2">
        <v>35755.379999999997</v>
      </c>
      <c r="N154" s="2">
        <v>22124.31</v>
      </c>
      <c r="O154" s="2">
        <v>13631.07</v>
      </c>
      <c r="P154" t="s">
        <v>41</v>
      </c>
      <c r="Q154" t="s">
        <v>28</v>
      </c>
    </row>
    <row r="155" spans="1:17" x14ac:dyDescent="0.3">
      <c r="A155" t="s">
        <v>372</v>
      </c>
      <c r="B155" s="1">
        <v>45812</v>
      </c>
      <c r="C155" t="s">
        <v>70</v>
      </c>
      <c r="D155" t="s">
        <v>75</v>
      </c>
      <c r="E155" t="s">
        <v>22</v>
      </c>
      <c r="F155" t="s">
        <v>23</v>
      </c>
      <c r="G155" t="s">
        <v>45</v>
      </c>
      <c r="H155" t="s">
        <v>46</v>
      </c>
      <c r="I155" t="s">
        <v>373</v>
      </c>
      <c r="J155">
        <v>13</v>
      </c>
      <c r="K155" s="2">
        <v>1506.48</v>
      </c>
      <c r="L155">
        <v>20</v>
      </c>
      <c r="M155" s="2">
        <v>15667.39</v>
      </c>
      <c r="N155" s="2">
        <v>9163.7000000000007</v>
      </c>
      <c r="O155" s="2">
        <v>6503.69</v>
      </c>
      <c r="P155" t="s">
        <v>41</v>
      </c>
      <c r="Q155" t="s">
        <v>28</v>
      </c>
    </row>
    <row r="156" spans="1:17" x14ac:dyDescent="0.3">
      <c r="A156" t="s">
        <v>374</v>
      </c>
      <c r="B156" s="1">
        <v>46190</v>
      </c>
      <c r="C156" t="s">
        <v>70</v>
      </c>
      <c r="D156" t="s">
        <v>71</v>
      </c>
      <c r="E156" t="s">
        <v>120</v>
      </c>
      <c r="F156" t="s">
        <v>37</v>
      </c>
      <c r="G156" t="s">
        <v>24</v>
      </c>
      <c r="H156" t="s">
        <v>134</v>
      </c>
      <c r="I156" t="s">
        <v>375</v>
      </c>
      <c r="J156">
        <v>13</v>
      </c>
      <c r="K156" s="2">
        <v>3829.87</v>
      </c>
      <c r="L156">
        <v>5</v>
      </c>
      <c r="M156" s="2">
        <v>47298.89</v>
      </c>
      <c r="N156" s="2">
        <v>34387.03</v>
      </c>
      <c r="O156" s="2">
        <v>12911.86</v>
      </c>
      <c r="P156" t="s">
        <v>48</v>
      </c>
      <c r="Q156" t="s">
        <v>42</v>
      </c>
    </row>
    <row r="157" spans="1:17" x14ac:dyDescent="0.3">
      <c r="A157" t="s">
        <v>376</v>
      </c>
      <c r="B157" s="1">
        <v>46155</v>
      </c>
      <c r="C157" t="s">
        <v>35</v>
      </c>
      <c r="D157" t="s">
        <v>59</v>
      </c>
      <c r="E157" t="s">
        <v>51</v>
      </c>
      <c r="F157" t="s">
        <v>23</v>
      </c>
      <c r="G157" t="s">
        <v>38</v>
      </c>
      <c r="H157" t="s">
        <v>106</v>
      </c>
      <c r="I157" t="s">
        <v>377</v>
      </c>
      <c r="J157">
        <v>6</v>
      </c>
      <c r="K157" s="2">
        <v>1591.29</v>
      </c>
      <c r="L157">
        <v>0</v>
      </c>
      <c r="M157" s="2">
        <v>9547.74</v>
      </c>
      <c r="N157" s="2">
        <v>5792.26</v>
      </c>
      <c r="O157" s="2">
        <v>3755.48</v>
      </c>
      <c r="P157" t="s">
        <v>41</v>
      </c>
      <c r="Q157" t="s">
        <v>28</v>
      </c>
    </row>
    <row r="158" spans="1:17" x14ac:dyDescent="0.3">
      <c r="A158" t="s">
        <v>378</v>
      </c>
      <c r="B158" s="1">
        <v>46109</v>
      </c>
      <c r="C158" t="s">
        <v>86</v>
      </c>
      <c r="D158" t="s">
        <v>87</v>
      </c>
      <c r="E158" t="s">
        <v>44</v>
      </c>
      <c r="F158" t="s">
        <v>31</v>
      </c>
      <c r="G158" t="s">
        <v>38</v>
      </c>
      <c r="H158" t="s">
        <v>39</v>
      </c>
      <c r="I158" t="s">
        <v>379</v>
      </c>
      <c r="J158">
        <v>13</v>
      </c>
      <c r="K158" s="2">
        <v>1408.56</v>
      </c>
      <c r="L158">
        <v>15</v>
      </c>
      <c r="M158" s="2">
        <v>15564.59</v>
      </c>
      <c r="N158" s="2">
        <v>12436.84</v>
      </c>
      <c r="O158" s="2">
        <v>3127.75</v>
      </c>
      <c r="P158" t="s">
        <v>41</v>
      </c>
      <c r="Q158" t="s">
        <v>28</v>
      </c>
    </row>
    <row r="159" spans="1:17" x14ac:dyDescent="0.3">
      <c r="A159" t="s">
        <v>380</v>
      </c>
      <c r="B159" s="1">
        <v>45838</v>
      </c>
      <c r="C159" t="s">
        <v>20</v>
      </c>
      <c r="D159" t="s">
        <v>55</v>
      </c>
      <c r="E159" t="s">
        <v>22</v>
      </c>
      <c r="F159" t="s">
        <v>31</v>
      </c>
      <c r="G159" t="s">
        <v>45</v>
      </c>
      <c r="H159" t="s">
        <v>67</v>
      </c>
      <c r="I159" t="s">
        <v>381</v>
      </c>
      <c r="J159">
        <v>12</v>
      </c>
      <c r="K159" s="2">
        <v>2150.64</v>
      </c>
      <c r="L159">
        <v>10</v>
      </c>
      <c r="M159" s="2">
        <v>23226.91</v>
      </c>
      <c r="N159" s="2">
        <v>13773.68</v>
      </c>
      <c r="O159" s="2">
        <v>9453.23</v>
      </c>
      <c r="P159" t="s">
        <v>48</v>
      </c>
      <c r="Q159" t="s">
        <v>42</v>
      </c>
    </row>
    <row r="160" spans="1:17" x14ac:dyDescent="0.3">
      <c r="A160" t="s">
        <v>382</v>
      </c>
      <c r="B160" s="1">
        <v>45693</v>
      </c>
      <c r="C160" t="s">
        <v>86</v>
      </c>
      <c r="D160" t="s">
        <v>87</v>
      </c>
      <c r="E160" t="s">
        <v>44</v>
      </c>
      <c r="F160" t="s">
        <v>37</v>
      </c>
      <c r="G160" t="s">
        <v>45</v>
      </c>
      <c r="H160" t="s">
        <v>67</v>
      </c>
      <c r="I160" t="s">
        <v>383</v>
      </c>
      <c r="J160">
        <v>6</v>
      </c>
      <c r="K160" s="2">
        <v>4345.6499999999996</v>
      </c>
      <c r="L160">
        <v>20</v>
      </c>
      <c r="M160" s="2">
        <v>20859.12</v>
      </c>
      <c r="N160" s="2">
        <v>12064.04</v>
      </c>
      <c r="O160" s="2">
        <v>8795.08</v>
      </c>
      <c r="P160" t="s">
        <v>41</v>
      </c>
      <c r="Q160" t="s">
        <v>42</v>
      </c>
    </row>
    <row r="161" spans="1:17" x14ac:dyDescent="0.3">
      <c r="A161" t="s">
        <v>384</v>
      </c>
      <c r="B161" s="1">
        <v>45991</v>
      </c>
      <c r="C161" t="s">
        <v>70</v>
      </c>
      <c r="D161" t="s">
        <v>75</v>
      </c>
      <c r="E161" t="s">
        <v>113</v>
      </c>
      <c r="F161" t="s">
        <v>37</v>
      </c>
      <c r="G161" t="s">
        <v>38</v>
      </c>
      <c r="H161" t="s">
        <v>63</v>
      </c>
      <c r="I161" t="s">
        <v>385</v>
      </c>
      <c r="J161">
        <v>3</v>
      </c>
      <c r="K161" s="2">
        <v>3160.92</v>
      </c>
      <c r="L161">
        <v>20</v>
      </c>
      <c r="M161" s="2">
        <v>7586.21</v>
      </c>
      <c r="N161" s="2">
        <v>6134.01</v>
      </c>
      <c r="O161" s="2">
        <v>1452.2</v>
      </c>
      <c r="P161" t="s">
        <v>48</v>
      </c>
      <c r="Q161" t="s">
        <v>61</v>
      </c>
    </row>
    <row r="162" spans="1:17" x14ac:dyDescent="0.3">
      <c r="A162" t="s">
        <v>386</v>
      </c>
      <c r="B162" s="1">
        <v>45864</v>
      </c>
      <c r="C162" t="s">
        <v>35</v>
      </c>
      <c r="D162" t="s">
        <v>36</v>
      </c>
      <c r="E162" t="s">
        <v>113</v>
      </c>
      <c r="F162" t="s">
        <v>31</v>
      </c>
      <c r="G162" t="s">
        <v>24</v>
      </c>
      <c r="H162" t="s">
        <v>56</v>
      </c>
      <c r="I162" t="s">
        <v>387</v>
      </c>
      <c r="J162">
        <v>4</v>
      </c>
      <c r="K162" s="2">
        <v>1180.24</v>
      </c>
      <c r="L162">
        <v>15</v>
      </c>
      <c r="M162" s="2">
        <v>4012.82</v>
      </c>
      <c r="N162" s="2">
        <v>3073.65</v>
      </c>
      <c r="O162" s="2">
        <v>939.17</v>
      </c>
      <c r="P162" t="s">
        <v>48</v>
      </c>
      <c r="Q162" t="s">
        <v>61</v>
      </c>
    </row>
    <row r="163" spans="1:17" x14ac:dyDescent="0.3">
      <c r="A163" t="s">
        <v>388</v>
      </c>
      <c r="B163" s="1">
        <v>45960</v>
      </c>
      <c r="C163" t="s">
        <v>20</v>
      </c>
      <c r="D163" t="s">
        <v>55</v>
      </c>
      <c r="E163" t="s">
        <v>113</v>
      </c>
      <c r="F163" t="s">
        <v>23</v>
      </c>
      <c r="G163" t="s">
        <v>38</v>
      </c>
      <c r="H163" t="s">
        <v>39</v>
      </c>
      <c r="I163" t="s">
        <v>389</v>
      </c>
      <c r="J163">
        <v>9</v>
      </c>
      <c r="K163" s="2">
        <v>4853.5600000000004</v>
      </c>
      <c r="L163">
        <v>15</v>
      </c>
      <c r="M163" s="2">
        <v>37129.730000000003</v>
      </c>
      <c r="N163" s="2">
        <v>30349.040000000001</v>
      </c>
      <c r="O163" s="2">
        <v>6780.69</v>
      </c>
      <c r="P163" t="s">
        <v>48</v>
      </c>
      <c r="Q163" t="s">
        <v>28</v>
      </c>
    </row>
    <row r="164" spans="1:17" x14ac:dyDescent="0.3">
      <c r="A164" t="s">
        <v>390</v>
      </c>
      <c r="B164" s="1">
        <v>46132</v>
      </c>
      <c r="C164" t="s">
        <v>86</v>
      </c>
      <c r="D164" t="s">
        <v>90</v>
      </c>
      <c r="E164" t="s">
        <v>51</v>
      </c>
      <c r="F164" t="s">
        <v>23</v>
      </c>
      <c r="G164" t="s">
        <v>38</v>
      </c>
      <c r="H164" t="s">
        <v>39</v>
      </c>
      <c r="I164" t="s">
        <v>147</v>
      </c>
      <c r="J164">
        <v>15</v>
      </c>
      <c r="K164" s="2">
        <v>783.86</v>
      </c>
      <c r="L164">
        <v>10</v>
      </c>
      <c r="M164" s="2">
        <v>10582.11</v>
      </c>
      <c r="N164" s="2">
        <v>7805.7</v>
      </c>
      <c r="O164" s="2">
        <v>2776.41</v>
      </c>
      <c r="P164" t="s">
        <v>41</v>
      </c>
      <c r="Q164" t="s">
        <v>61</v>
      </c>
    </row>
    <row r="165" spans="1:17" x14ac:dyDescent="0.3">
      <c r="A165" t="s">
        <v>391</v>
      </c>
      <c r="B165" s="1">
        <v>45707</v>
      </c>
      <c r="C165" t="s">
        <v>70</v>
      </c>
      <c r="D165" t="s">
        <v>75</v>
      </c>
      <c r="E165" t="s">
        <v>44</v>
      </c>
      <c r="F165" t="s">
        <v>37</v>
      </c>
      <c r="G165" t="s">
        <v>38</v>
      </c>
      <c r="H165" t="s">
        <v>72</v>
      </c>
      <c r="I165" t="s">
        <v>392</v>
      </c>
      <c r="J165">
        <v>8</v>
      </c>
      <c r="K165" s="2">
        <v>2974.43</v>
      </c>
      <c r="L165">
        <v>5</v>
      </c>
      <c r="M165" s="2">
        <v>22605.67</v>
      </c>
      <c r="N165" s="2">
        <v>15503.23</v>
      </c>
      <c r="O165" s="2">
        <v>7102.44</v>
      </c>
      <c r="P165" t="s">
        <v>41</v>
      </c>
      <c r="Q165" t="s">
        <v>28</v>
      </c>
    </row>
    <row r="166" spans="1:17" x14ac:dyDescent="0.3">
      <c r="A166" t="s">
        <v>393</v>
      </c>
      <c r="B166" s="1">
        <v>45857</v>
      </c>
      <c r="C166" t="s">
        <v>20</v>
      </c>
      <c r="D166" t="s">
        <v>21</v>
      </c>
      <c r="E166" t="s">
        <v>113</v>
      </c>
      <c r="F166" t="s">
        <v>23</v>
      </c>
      <c r="G166" t="s">
        <v>24</v>
      </c>
      <c r="H166" t="s">
        <v>171</v>
      </c>
      <c r="I166" t="s">
        <v>394</v>
      </c>
      <c r="J166">
        <v>10</v>
      </c>
      <c r="K166" s="2">
        <v>3632.11</v>
      </c>
      <c r="L166">
        <v>5</v>
      </c>
      <c r="M166" s="2">
        <v>34505.040000000001</v>
      </c>
      <c r="N166" s="2">
        <v>23315.02</v>
      </c>
      <c r="O166" s="2">
        <v>11190.02</v>
      </c>
      <c r="P166" t="s">
        <v>48</v>
      </c>
      <c r="Q166" t="s">
        <v>49</v>
      </c>
    </row>
    <row r="167" spans="1:17" x14ac:dyDescent="0.3">
      <c r="A167" t="s">
        <v>395</v>
      </c>
      <c r="B167" s="1">
        <v>45957</v>
      </c>
      <c r="C167" t="s">
        <v>70</v>
      </c>
      <c r="D167" t="s">
        <v>75</v>
      </c>
      <c r="E167" t="s">
        <v>22</v>
      </c>
      <c r="F167" t="s">
        <v>31</v>
      </c>
      <c r="G167" t="s">
        <v>24</v>
      </c>
      <c r="H167" t="s">
        <v>25</v>
      </c>
      <c r="I167" t="s">
        <v>166</v>
      </c>
      <c r="J167">
        <v>8</v>
      </c>
      <c r="K167" s="2">
        <v>4432.03</v>
      </c>
      <c r="L167">
        <v>15</v>
      </c>
      <c r="M167" s="2">
        <v>30137.8</v>
      </c>
      <c r="N167" s="2">
        <v>18551.03</v>
      </c>
      <c r="O167" s="2">
        <v>11586.77</v>
      </c>
      <c r="P167" t="s">
        <v>27</v>
      </c>
      <c r="Q167" t="s">
        <v>28</v>
      </c>
    </row>
    <row r="168" spans="1:17" x14ac:dyDescent="0.3">
      <c r="A168" t="s">
        <v>396</v>
      </c>
      <c r="B168" s="1">
        <v>45679</v>
      </c>
      <c r="C168" t="s">
        <v>86</v>
      </c>
      <c r="D168" t="s">
        <v>90</v>
      </c>
      <c r="E168" t="s">
        <v>120</v>
      </c>
      <c r="F168" t="s">
        <v>31</v>
      </c>
      <c r="G168" t="s">
        <v>38</v>
      </c>
      <c r="H168" t="s">
        <v>63</v>
      </c>
      <c r="I168" t="s">
        <v>397</v>
      </c>
      <c r="J168">
        <v>10</v>
      </c>
      <c r="K168" s="2">
        <v>1798.05</v>
      </c>
      <c r="L168">
        <v>5</v>
      </c>
      <c r="M168" s="2">
        <v>17081.47</v>
      </c>
      <c r="N168" s="2">
        <v>12706.99</v>
      </c>
      <c r="O168" s="2">
        <v>4374.4799999999996</v>
      </c>
      <c r="P168" t="s">
        <v>41</v>
      </c>
      <c r="Q168" t="s">
        <v>28</v>
      </c>
    </row>
    <row r="169" spans="1:17" x14ac:dyDescent="0.3">
      <c r="A169" t="s">
        <v>398</v>
      </c>
      <c r="B169" s="1">
        <v>45905</v>
      </c>
      <c r="C169" t="s">
        <v>20</v>
      </c>
      <c r="D169" t="s">
        <v>21</v>
      </c>
      <c r="E169" t="s">
        <v>120</v>
      </c>
      <c r="F169" t="s">
        <v>37</v>
      </c>
      <c r="G169" t="s">
        <v>45</v>
      </c>
      <c r="H169" t="s">
        <v>123</v>
      </c>
      <c r="I169" t="s">
        <v>399</v>
      </c>
      <c r="J169">
        <v>11</v>
      </c>
      <c r="K169" s="2">
        <v>2407.4</v>
      </c>
      <c r="L169">
        <v>15</v>
      </c>
      <c r="M169" s="2">
        <v>22509.19</v>
      </c>
      <c r="N169" s="2">
        <v>14251.78</v>
      </c>
      <c r="O169" s="2">
        <v>8257.41</v>
      </c>
      <c r="P169" t="s">
        <v>27</v>
      </c>
      <c r="Q169" t="s">
        <v>49</v>
      </c>
    </row>
    <row r="170" spans="1:17" x14ac:dyDescent="0.3">
      <c r="A170" t="s">
        <v>400</v>
      </c>
      <c r="B170" s="1">
        <v>45984</v>
      </c>
      <c r="C170" t="s">
        <v>70</v>
      </c>
      <c r="D170" t="s">
        <v>71</v>
      </c>
      <c r="E170" t="s">
        <v>120</v>
      </c>
      <c r="F170" t="s">
        <v>37</v>
      </c>
      <c r="G170" t="s">
        <v>38</v>
      </c>
      <c r="H170" t="s">
        <v>63</v>
      </c>
      <c r="I170" t="s">
        <v>401</v>
      </c>
      <c r="J170">
        <v>14</v>
      </c>
      <c r="K170" s="2">
        <v>4710.5</v>
      </c>
      <c r="L170">
        <v>0</v>
      </c>
      <c r="M170" s="2">
        <v>65947</v>
      </c>
      <c r="N170" s="2">
        <v>49804.44</v>
      </c>
      <c r="O170" s="2">
        <v>16142.56</v>
      </c>
      <c r="P170" t="s">
        <v>27</v>
      </c>
      <c r="Q170" t="s">
        <v>28</v>
      </c>
    </row>
    <row r="171" spans="1:17" x14ac:dyDescent="0.3">
      <c r="A171" t="s">
        <v>402</v>
      </c>
      <c r="B171" s="1">
        <v>45974</v>
      </c>
      <c r="C171" t="s">
        <v>86</v>
      </c>
      <c r="D171" t="s">
        <v>90</v>
      </c>
      <c r="E171" t="s">
        <v>51</v>
      </c>
      <c r="F171" t="s">
        <v>31</v>
      </c>
      <c r="G171" t="s">
        <v>45</v>
      </c>
      <c r="H171" t="s">
        <v>52</v>
      </c>
      <c r="I171" t="s">
        <v>403</v>
      </c>
      <c r="J171">
        <v>15</v>
      </c>
      <c r="K171" s="2">
        <v>701.13</v>
      </c>
      <c r="L171">
        <v>0</v>
      </c>
      <c r="M171" s="2">
        <v>10516.95</v>
      </c>
      <c r="N171" s="2">
        <v>8415.11</v>
      </c>
      <c r="O171" s="2">
        <v>2101.84</v>
      </c>
      <c r="P171" t="s">
        <v>27</v>
      </c>
      <c r="Q171" t="s">
        <v>42</v>
      </c>
    </row>
    <row r="172" spans="1:17" x14ac:dyDescent="0.3">
      <c r="A172" t="s">
        <v>404</v>
      </c>
      <c r="B172" s="1">
        <v>46102</v>
      </c>
      <c r="C172" t="s">
        <v>70</v>
      </c>
      <c r="D172" t="s">
        <v>71</v>
      </c>
      <c r="E172" t="s">
        <v>120</v>
      </c>
      <c r="F172" t="s">
        <v>37</v>
      </c>
      <c r="G172" t="s">
        <v>45</v>
      </c>
      <c r="H172" t="s">
        <v>159</v>
      </c>
      <c r="I172" t="s">
        <v>405</v>
      </c>
      <c r="J172">
        <v>13</v>
      </c>
      <c r="K172" s="2">
        <v>4368.72</v>
      </c>
      <c r="L172">
        <v>10</v>
      </c>
      <c r="M172" s="2">
        <v>51114.02</v>
      </c>
      <c r="N172" s="2">
        <v>37038.65</v>
      </c>
      <c r="O172" s="2">
        <v>14075.37</v>
      </c>
      <c r="P172" t="s">
        <v>41</v>
      </c>
      <c r="Q172" t="s">
        <v>61</v>
      </c>
    </row>
    <row r="173" spans="1:17" x14ac:dyDescent="0.3">
      <c r="A173" t="s">
        <v>406</v>
      </c>
      <c r="B173" s="1">
        <v>45883</v>
      </c>
      <c r="C173" t="s">
        <v>35</v>
      </c>
      <c r="D173" t="s">
        <v>59</v>
      </c>
      <c r="E173" t="s">
        <v>22</v>
      </c>
      <c r="F173" t="s">
        <v>37</v>
      </c>
      <c r="G173" t="s">
        <v>45</v>
      </c>
      <c r="H173" t="s">
        <v>46</v>
      </c>
      <c r="I173" t="s">
        <v>407</v>
      </c>
      <c r="J173">
        <v>11</v>
      </c>
      <c r="K173" s="2">
        <v>1008.16</v>
      </c>
      <c r="L173">
        <v>5</v>
      </c>
      <c r="M173" s="2">
        <v>10535.27</v>
      </c>
      <c r="N173" s="2">
        <v>7135.38</v>
      </c>
      <c r="O173" s="2">
        <v>3399.89</v>
      </c>
      <c r="P173" t="s">
        <v>41</v>
      </c>
      <c r="Q173" t="s">
        <v>61</v>
      </c>
    </row>
    <row r="174" spans="1:17" x14ac:dyDescent="0.3">
      <c r="A174" t="s">
        <v>408</v>
      </c>
      <c r="B174" s="1">
        <v>45964</v>
      </c>
      <c r="C174" t="s">
        <v>70</v>
      </c>
      <c r="D174" t="s">
        <v>71</v>
      </c>
      <c r="E174" t="s">
        <v>22</v>
      </c>
      <c r="F174" t="s">
        <v>37</v>
      </c>
      <c r="G174" t="s">
        <v>45</v>
      </c>
      <c r="H174" t="s">
        <v>46</v>
      </c>
      <c r="I174" t="s">
        <v>409</v>
      </c>
      <c r="J174">
        <v>11</v>
      </c>
      <c r="K174" s="2">
        <v>4769.01</v>
      </c>
      <c r="L174">
        <v>0</v>
      </c>
      <c r="M174" s="2">
        <v>52459.11</v>
      </c>
      <c r="N174" s="2">
        <v>29485.68</v>
      </c>
      <c r="O174" s="2">
        <v>22973.43</v>
      </c>
      <c r="P174" t="s">
        <v>48</v>
      </c>
      <c r="Q174" t="s">
        <v>28</v>
      </c>
    </row>
    <row r="175" spans="1:17" x14ac:dyDescent="0.3">
      <c r="A175" t="s">
        <v>410</v>
      </c>
      <c r="B175" s="1">
        <v>45732</v>
      </c>
      <c r="C175" t="s">
        <v>20</v>
      </c>
      <c r="D175" t="s">
        <v>55</v>
      </c>
      <c r="E175" t="s">
        <v>66</v>
      </c>
      <c r="F175" t="s">
        <v>23</v>
      </c>
      <c r="G175" t="s">
        <v>45</v>
      </c>
      <c r="H175" t="s">
        <v>67</v>
      </c>
      <c r="I175" t="s">
        <v>411</v>
      </c>
      <c r="J175">
        <v>1</v>
      </c>
      <c r="K175" s="2">
        <v>3581.86</v>
      </c>
      <c r="L175">
        <v>5</v>
      </c>
      <c r="M175" s="2">
        <v>3402.77</v>
      </c>
      <c r="N175" s="2">
        <v>2312.42</v>
      </c>
      <c r="O175" s="2">
        <v>1090.3499999999999</v>
      </c>
      <c r="P175" t="s">
        <v>41</v>
      </c>
      <c r="Q175" t="s">
        <v>61</v>
      </c>
    </row>
    <row r="176" spans="1:17" x14ac:dyDescent="0.3">
      <c r="A176" t="s">
        <v>412</v>
      </c>
      <c r="B176" s="1">
        <v>46189</v>
      </c>
      <c r="C176" t="s">
        <v>70</v>
      </c>
      <c r="D176" t="s">
        <v>75</v>
      </c>
      <c r="E176" t="s">
        <v>66</v>
      </c>
      <c r="F176" t="s">
        <v>23</v>
      </c>
      <c r="G176" t="s">
        <v>38</v>
      </c>
      <c r="H176" t="s">
        <v>72</v>
      </c>
      <c r="I176" t="s">
        <v>413</v>
      </c>
      <c r="J176">
        <v>3</v>
      </c>
      <c r="K176" s="2">
        <v>1700.02</v>
      </c>
      <c r="L176">
        <v>0</v>
      </c>
      <c r="M176" s="2">
        <v>5100.0600000000004</v>
      </c>
      <c r="N176" s="2">
        <v>3084.27</v>
      </c>
      <c r="O176" s="2">
        <v>2015.79</v>
      </c>
      <c r="P176" t="s">
        <v>48</v>
      </c>
      <c r="Q176" t="s">
        <v>42</v>
      </c>
    </row>
    <row r="177" spans="1:17" x14ac:dyDescent="0.3">
      <c r="A177" t="s">
        <v>414</v>
      </c>
      <c r="B177" s="1">
        <v>45679</v>
      </c>
      <c r="C177" t="s">
        <v>86</v>
      </c>
      <c r="D177" t="s">
        <v>87</v>
      </c>
      <c r="E177" t="s">
        <v>44</v>
      </c>
      <c r="F177" t="s">
        <v>23</v>
      </c>
      <c r="G177" t="s">
        <v>38</v>
      </c>
      <c r="H177" t="s">
        <v>39</v>
      </c>
      <c r="I177" t="s">
        <v>415</v>
      </c>
      <c r="J177">
        <v>2</v>
      </c>
      <c r="K177" s="2">
        <v>2857.75</v>
      </c>
      <c r="L177">
        <v>0</v>
      </c>
      <c r="M177" s="2">
        <v>5715.5</v>
      </c>
      <c r="N177" s="2">
        <v>4616.93</v>
      </c>
      <c r="O177" s="2">
        <v>1098.57</v>
      </c>
      <c r="P177" t="s">
        <v>27</v>
      </c>
      <c r="Q177" t="s">
        <v>49</v>
      </c>
    </row>
    <row r="178" spans="1:17" x14ac:dyDescent="0.3">
      <c r="A178" t="s">
        <v>416</v>
      </c>
      <c r="B178" s="1">
        <v>46183</v>
      </c>
      <c r="C178" t="s">
        <v>70</v>
      </c>
      <c r="D178" t="s">
        <v>71</v>
      </c>
      <c r="E178" t="s">
        <v>44</v>
      </c>
      <c r="F178" t="s">
        <v>23</v>
      </c>
      <c r="G178" t="s">
        <v>24</v>
      </c>
      <c r="H178" t="s">
        <v>134</v>
      </c>
      <c r="I178" t="s">
        <v>417</v>
      </c>
      <c r="J178">
        <v>4</v>
      </c>
      <c r="K178" s="2">
        <v>3752.84</v>
      </c>
      <c r="L178">
        <v>20</v>
      </c>
      <c r="M178" s="2">
        <v>12009.09</v>
      </c>
      <c r="N178" s="2">
        <v>9767.4699999999993</v>
      </c>
      <c r="O178" s="2">
        <v>2241.62</v>
      </c>
      <c r="P178" t="s">
        <v>48</v>
      </c>
      <c r="Q178" t="s">
        <v>42</v>
      </c>
    </row>
    <row r="179" spans="1:17" x14ac:dyDescent="0.3">
      <c r="A179" t="s">
        <v>418</v>
      </c>
      <c r="B179" s="1">
        <v>46189</v>
      </c>
      <c r="C179" t="s">
        <v>20</v>
      </c>
      <c r="D179" t="s">
        <v>21</v>
      </c>
      <c r="E179" t="s">
        <v>120</v>
      </c>
      <c r="F179" t="s">
        <v>23</v>
      </c>
      <c r="G179" t="s">
        <v>45</v>
      </c>
      <c r="H179" t="s">
        <v>52</v>
      </c>
      <c r="I179" t="s">
        <v>419</v>
      </c>
      <c r="J179">
        <v>13</v>
      </c>
      <c r="K179" s="2">
        <v>3206.6</v>
      </c>
      <c r="L179">
        <v>0</v>
      </c>
      <c r="M179" s="2">
        <v>41685.800000000003</v>
      </c>
      <c r="N179" s="2">
        <v>33263.35</v>
      </c>
      <c r="O179" s="2">
        <v>8422.4500000000007</v>
      </c>
      <c r="P179" t="s">
        <v>27</v>
      </c>
      <c r="Q179" t="s">
        <v>42</v>
      </c>
    </row>
    <row r="180" spans="1:17" x14ac:dyDescent="0.3">
      <c r="A180" t="s">
        <v>420</v>
      </c>
      <c r="B180" s="1">
        <v>46104</v>
      </c>
      <c r="C180" t="s">
        <v>35</v>
      </c>
      <c r="D180" t="s">
        <v>59</v>
      </c>
      <c r="E180" t="s">
        <v>66</v>
      </c>
      <c r="F180" t="s">
        <v>23</v>
      </c>
      <c r="G180" t="s">
        <v>38</v>
      </c>
      <c r="H180" t="s">
        <v>72</v>
      </c>
      <c r="I180" t="s">
        <v>421</v>
      </c>
      <c r="J180">
        <v>2</v>
      </c>
      <c r="K180" s="2">
        <v>2532.64</v>
      </c>
      <c r="L180">
        <v>20</v>
      </c>
      <c r="M180" s="2">
        <v>4052.22</v>
      </c>
      <c r="N180" s="2">
        <v>2984.22</v>
      </c>
      <c r="O180" s="2">
        <v>1068</v>
      </c>
      <c r="P180" t="s">
        <v>27</v>
      </c>
      <c r="Q180" t="s">
        <v>42</v>
      </c>
    </row>
    <row r="181" spans="1:17" x14ac:dyDescent="0.3">
      <c r="A181" t="s">
        <v>422</v>
      </c>
      <c r="B181" s="1">
        <v>45867</v>
      </c>
      <c r="C181" t="s">
        <v>70</v>
      </c>
      <c r="D181" t="s">
        <v>71</v>
      </c>
      <c r="E181" t="s">
        <v>170</v>
      </c>
      <c r="F181" t="s">
        <v>31</v>
      </c>
      <c r="G181" t="s">
        <v>24</v>
      </c>
      <c r="H181" t="s">
        <v>171</v>
      </c>
      <c r="I181" t="s">
        <v>423</v>
      </c>
      <c r="J181">
        <v>3</v>
      </c>
      <c r="K181" s="2">
        <v>3190.73</v>
      </c>
      <c r="L181">
        <v>0</v>
      </c>
      <c r="M181" s="2">
        <v>9572.19</v>
      </c>
      <c r="N181" s="2">
        <v>7610.5</v>
      </c>
      <c r="O181" s="2">
        <v>1961.69</v>
      </c>
      <c r="P181" t="s">
        <v>27</v>
      </c>
      <c r="Q181" t="s">
        <v>49</v>
      </c>
    </row>
    <row r="182" spans="1:17" x14ac:dyDescent="0.3">
      <c r="A182" t="s">
        <v>424</v>
      </c>
      <c r="B182" s="1">
        <v>46140</v>
      </c>
      <c r="C182" t="s">
        <v>20</v>
      </c>
      <c r="D182" t="s">
        <v>21</v>
      </c>
      <c r="E182" t="s">
        <v>22</v>
      </c>
      <c r="F182" t="s">
        <v>23</v>
      </c>
      <c r="G182" t="s">
        <v>38</v>
      </c>
      <c r="H182" t="s">
        <v>72</v>
      </c>
      <c r="I182" t="s">
        <v>425</v>
      </c>
      <c r="J182">
        <v>10</v>
      </c>
      <c r="K182" s="2">
        <v>329.33</v>
      </c>
      <c r="L182">
        <v>15</v>
      </c>
      <c r="M182" s="2">
        <v>2799.3</v>
      </c>
      <c r="N182" s="2">
        <v>1779.54</v>
      </c>
      <c r="O182" s="2">
        <v>1019.76</v>
      </c>
      <c r="P182" t="s">
        <v>41</v>
      </c>
      <c r="Q182" t="s">
        <v>61</v>
      </c>
    </row>
    <row r="183" spans="1:17" x14ac:dyDescent="0.3">
      <c r="A183" t="s">
        <v>426</v>
      </c>
      <c r="B183" s="1">
        <v>46164</v>
      </c>
      <c r="C183" t="s">
        <v>70</v>
      </c>
      <c r="D183" t="s">
        <v>75</v>
      </c>
      <c r="E183" t="s">
        <v>66</v>
      </c>
      <c r="F183" t="s">
        <v>23</v>
      </c>
      <c r="G183" t="s">
        <v>24</v>
      </c>
      <c r="H183" t="s">
        <v>25</v>
      </c>
      <c r="I183" t="s">
        <v>427</v>
      </c>
      <c r="J183">
        <v>4</v>
      </c>
      <c r="K183" s="2">
        <v>1750.94</v>
      </c>
      <c r="L183">
        <v>5</v>
      </c>
      <c r="M183" s="2">
        <v>6653.57</v>
      </c>
      <c r="N183" s="2">
        <v>5056.32</v>
      </c>
      <c r="O183" s="2">
        <v>1597.25</v>
      </c>
      <c r="P183" t="s">
        <v>48</v>
      </c>
      <c r="Q183" t="s">
        <v>61</v>
      </c>
    </row>
    <row r="184" spans="1:17" x14ac:dyDescent="0.3">
      <c r="A184" t="s">
        <v>428</v>
      </c>
      <c r="B184" s="1">
        <v>45873</v>
      </c>
      <c r="C184" t="s">
        <v>70</v>
      </c>
      <c r="D184" t="s">
        <v>75</v>
      </c>
      <c r="E184" t="s">
        <v>22</v>
      </c>
      <c r="F184" t="s">
        <v>23</v>
      </c>
      <c r="G184" t="s">
        <v>24</v>
      </c>
      <c r="H184" t="s">
        <v>56</v>
      </c>
      <c r="I184" t="s">
        <v>429</v>
      </c>
      <c r="J184">
        <v>8</v>
      </c>
      <c r="K184" s="2">
        <v>734.72</v>
      </c>
      <c r="L184">
        <v>0</v>
      </c>
      <c r="M184" s="2">
        <v>5877.76</v>
      </c>
      <c r="N184" s="2">
        <v>3309.27</v>
      </c>
      <c r="O184" s="2">
        <v>2568.4899999999998</v>
      </c>
      <c r="P184" t="s">
        <v>41</v>
      </c>
      <c r="Q184" t="s">
        <v>61</v>
      </c>
    </row>
    <row r="185" spans="1:17" x14ac:dyDescent="0.3">
      <c r="A185" t="s">
        <v>430</v>
      </c>
      <c r="B185" s="1">
        <v>45669</v>
      </c>
      <c r="C185" t="s">
        <v>86</v>
      </c>
      <c r="D185" t="s">
        <v>90</v>
      </c>
      <c r="E185" t="s">
        <v>113</v>
      </c>
      <c r="F185" t="s">
        <v>23</v>
      </c>
      <c r="G185" t="s">
        <v>24</v>
      </c>
      <c r="H185" t="s">
        <v>32</v>
      </c>
      <c r="I185" t="s">
        <v>431</v>
      </c>
      <c r="J185">
        <v>7</v>
      </c>
      <c r="K185" s="2">
        <v>1172.04</v>
      </c>
      <c r="L185">
        <v>15</v>
      </c>
      <c r="M185" s="2">
        <v>6973.64</v>
      </c>
      <c r="N185" s="2">
        <v>5535.22</v>
      </c>
      <c r="O185" s="2">
        <v>1438.42</v>
      </c>
      <c r="P185" t="s">
        <v>27</v>
      </c>
      <c r="Q185" t="s">
        <v>49</v>
      </c>
    </row>
    <row r="186" spans="1:17" x14ac:dyDescent="0.3">
      <c r="A186" t="s">
        <v>432</v>
      </c>
      <c r="B186" s="1">
        <v>46056</v>
      </c>
      <c r="C186" t="s">
        <v>70</v>
      </c>
      <c r="D186" t="s">
        <v>75</v>
      </c>
      <c r="E186" t="s">
        <v>113</v>
      </c>
      <c r="F186" t="s">
        <v>31</v>
      </c>
      <c r="G186" t="s">
        <v>24</v>
      </c>
      <c r="H186" t="s">
        <v>32</v>
      </c>
      <c r="I186" t="s">
        <v>433</v>
      </c>
      <c r="J186">
        <v>12</v>
      </c>
      <c r="K186" s="2">
        <v>1255.1500000000001</v>
      </c>
      <c r="L186">
        <v>10</v>
      </c>
      <c r="M186" s="2">
        <v>13555.62</v>
      </c>
      <c r="N186" s="2">
        <v>9810.74</v>
      </c>
      <c r="O186" s="2">
        <v>3744.88</v>
      </c>
      <c r="P186" t="s">
        <v>41</v>
      </c>
      <c r="Q186" t="s">
        <v>28</v>
      </c>
    </row>
    <row r="187" spans="1:17" x14ac:dyDescent="0.3">
      <c r="A187" t="s">
        <v>434</v>
      </c>
      <c r="B187" s="1">
        <v>45782</v>
      </c>
      <c r="C187" t="s">
        <v>20</v>
      </c>
      <c r="D187" t="s">
        <v>55</v>
      </c>
      <c r="E187" t="s">
        <v>44</v>
      </c>
      <c r="F187" t="s">
        <v>31</v>
      </c>
      <c r="G187" t="s">
        <v>24</v>
      </c>
      <c r="H187" t="s">
        <v>25</v>
      </c>
      <c r="I187" t="s">
        <v>435</v>
      </c>
      <c r="J187">
        <v>5</v>
      </c>
      <c r="K187" s="2">
        <v>3380.26</v>
      </c>
      <c r="L187">
        <v>15</v>
      </c>
      <c r="M187" s="2">
        <v>14366.11</v>
      </c>
      <c r="N187" s="2">
        <v>10163.69</v>
      </c>
      <c r="O187" s="2">
        <v>4202.42</v>
      </c>
      <c r="P187" t="s">
        <v>48</v>
      </c>
      <c r="Q187" t="s">
        <v>61</v>
      </c>
    </row>
    <row r="188" spans="1:17" x14ac:dyDescent="0.3">
      <c r="A188" t="s">
        <v>436</v>
      </c>
      <c r="B188" s="1">
        <v>45965</v>
      </c>
      <c r="C188" t="s">
        <v>70</v>
      </c>
      <c r="D188" t="s">
        <v>71</v>
      </c>
      <c r="E188" t="s">
        <v>66</v>
      </c>
      <c r="F188" t="s">
        <v>31</v>
      </c>
      <c r="G188" t="s">
        <v>38</v>
      </c>
      <c r="H188" t="s">
        <v>106</v>
      </c>
      <c r="I188" t="s">
        <v>437</v>
      </c>
      <c r="J188">
        <v>11</v>
      </c>
      <c r="K188" s="2">
        <v>2601.7800000000002</v>
      </c>
      <c r="L188">
        <v>20</v>
      </c>
      <c r="M188" s="2">
        <v>22895.66</v>
      </c>
      <c r="N188" s="2">
        <v>17546.7</v>
      </c>
      <c r="O188" s="2">
        <v>5348.96</v>
      </c>
      <c r="P188" t="s">
        <v>41</v>
      </c>
      <c r="Q188" t="s">
        <v>42</v>
      </c>
    </row>
    <row r="189" spans="1:17" x14ac:dyDescent="0.3">
      <c r="A189" t="s">
        <v>438</v>
      </c>
      <c r="B189" s="1">
        <v>46079</v>
      </c>
      <c r="C189" t="s">
        <v>86</v>
      </c>
      <c r="D189" t="s">
        <v>90</v>
      </c>
      <c r="E189" t="s">
        <v>120</v>
      </c>
      <c r="F189" t="s">
        <v>31</v>
      </c>
      <c r="G189" t="s">
        <v>45</v>
      </c>
      <c r="H189" t="s">
        <v>46</v>
      </c>
      <c r="I189" t="s">
        <v>439</v>
      </c>
      <c r="J189">
        <v>9</v>
      </c>
      <c r="K189" s="2">
        <v>1945.57</v>
      </c>
      <c r="L189">
        <v>5</v>
      </c>
      <c r="M189" s="2">
        <v>16634.62</v>
      </c>
      <c r="N189" s="2">
        <v>9855.2800000000007</v>
      </c>
      <c r="O189" s="2">
        <v>6779.34</v>
      </c>
      <c r="P189" t="s">
        <v>41</v>
      </c>
      <c r="Q189" t="s">
        <v>42</v>
      </c>
    </row>
    <row r="190" spans="1:17" x14ac:dyDescent="0.3">
      <c r="A190" t="s">
        <v>440</v>
      </c>
      <c r="B190" s="1">
        <v>45721</v>
      </c>
      <c r="C190" t="s">
        <v>86</v>
      </c>
      <c r="D190" t="s">
        <v>87</v>
      </c>
      <c r="E190" t="s">
        <v>66</v>
      </c>
      <c r="F190" t="s">
        <v>31</v>
      </c>
      <c r="G190" t="s">
        <v>24</v>
      </c>
      <c r="H190" t="s">
        <v>134</v>
      </c>
      <c r="I190" t="s">
        <v>309</v>
      </c>
      <c r="J190">
        <v>15</v>
      </c>
      <c r="K190" s="2">
        <v>1901.14</v>
      </c>
      <c r="L190">
        <v>0</v>
      </c>
      <c r="M190" s="2">
        <v>28517.1</v>
      </c>
      <c r="N190" s="2">
        <v>21888.53</v>
      </c>
      <c r="O190" s="2">
        <v>6628.57</v>
      </c>
      <c r="P190" t="s">
        <v>27</v>
      </c>
      <c r="Q190" t="s">
        <v>42</v>
      </c>
    </row>
    <row r="191" spans="1:17" x14ac:dyDescent="0.3">
      <c r="A191" t="s">
        <v>441</v>
      </c>
      <c r="B191" s="1">
        <v>45729</v>
      </c>
      <c r="C191" t="s">
        <v>86</v>
      </c>
      <c r="D191" t="s">
        <v>90</v>
      </c>
      <c r="E191" t="s">
        <v>113</v>
      </c>
      <c r="F191" t="s">
        <v>31</v>
      </c>
      <c r="G191" t="s">
        <v>45</v>
      </c>
      <c r="H191" t="s">
        <v>52</v>
      </c>
      <c r="I191" t="s">
        <v>442</v>
      </c>
      <c r="J191">
        <v>2</v>
      </c>
      <c r="K191" s="2">
        <v>3353.15</v>
      </c>
      <c r="L191">
        <v>5</v>
      </c>
      <c r="M191" s="2">
        <v>6370.98</v>
      </c>
      <c r="N191" s="2">
        <v>4289.5600000000004</v>
      </c>
      <c r="O191" s="2">
        <v>2081.42</v>
      </c>
      <c r="P191" t="s">
        <v>41</v>
      </c>
      <c r="Q191" t="s">
        <v>42</v>
      </c>
    </row>
    <row r="192" spans="1:17" x14ac:dyDescent="0.3">
      <c r="A192" t="s">
        <v>443</v>
      </c>
      <c r="B192" s="1">
        <v>46015</v>
      </c>
      <c r="C192" t="s">
        <v>70</v>
      </c>
      <c r="D192" t="s">
        <v>71</v>
      </c>
      <c r="E192" t="s">
        <v>44</v>
      </c>
      <c r="F192" t="s">
        <v>37</v>
      </c>
      <c r="G192" t="s">
        <v>24</v>
      </c>
      <c r="H192" t="s">
        <v>171</v>
      </c>
      <c r="I192" t="s">
        <v>444</v>
      </c>
      <c r="J192">
        <v>9</v>
      </c>
      <c r="K192" s="2">
        <v>3502.44</v>
      </c>
      <c r="L192">
        <v>5</v>
      </c>
      <c r="M192" s="2">
        <v>29945.86</v>
      </c>
      <c r="N192" s="2">
        <v>23448.57</v>
      </c>
      <c r="O192" s="2">
        <v>6497.29</v>
      </c>
      <c r="P192" t="s">
        <v>27</v>
      </c>
      <c r="Q192" t="s">
        <v>28</v>
      </c>
    </row>
    <row r="193" spans="1:17" x14ac:dyDescent="0.3">
      <c r="A193" t="s">
        <v>445</v>
      </c>
      <c r="B193" s="1">
        <v>46045</v>
      </c>
      <c r="C193" t="s">
        <v>70</v>
      </c>
      <c r="D193" t="s">
        <v>71</v>
      </c>
      <c r="E193" t="s">
        <v>120</v>
      </c>
      <c r="F193" t="s">
        <v>31</v>
      </c>
      <c r="G193" t="s">
        <v>38</v>
      </c>
      <c r="H193" t="s">
        <v>39</v>
      </c>
      <c r="I193" t="s">
        <v>446</v>
      </c>
      <c r="J193">
        <v>5</v>
      </c>
      <c r="K193" s="2">
        <v>1554.57</v>
      </c>
      <c r="L193">
        <v>10</v>
      </c>
      <c r="M193" s="2">
        <v>6995.56</v>
      </c>
      <c r="N193" s="2">
        <v>4472.9399999999996</v>
      </c>
      <c r="O193" s="2">
        <v>2522.62</v>
      </c>
      <c r="P193" t="s">
        <v>48</v>
      </c>
      <c r="Q193" t="s">
        <v>49</v>
      </c>
    </row>
    <row r="194" spans="1:17" x14ac:dyDescent="0.3">
      <c r="A194" t="s">
        <v>447</v>
      </c>
      <c r="B194" s="1">
        <v>45774</v>
      </c>
      <c r="C194" t="s">
        <v>35</v>
      </c>
      <c r="D194" t="s">
        <v>59</v>
      </c>
      <c r="E194" t="s">
        <v>22</v>
      </c>
      <c r="F194" t="s">
        <v>23</v>
      </c>
      <c r="G194" t="s">
        <v>38</v>
      </c>
      <c r="H194" t="s">
        <v>63</v>
      </c>
      <c r="I194" t="s">
        <v>448</v>
      </c>
      <c r="J194">
        <v>6</v>
      </c>
      <c r="K194" s="2">
        <v>3293.37</v>
      </c>
      <c r="L194">
        <v>10</v>
      </c>
      <c r="M194" s="2">
        <v>17784.2</v>
      </c>
      <c r="N194" s="2">
        <v>14264.3</v>
      </c>
      <c r="O194" s="2">
        <v>3519.9</v>
      </c>
      <c r="P194" t="s">
        <v>41</v>
      </c>
      <c r="Q194" t="s">
        <v>42</v>
      </c>
    </row>
    <row r="195" spans="1:17" x14ac:dyDescent="0.3">
      <c r="A195" t="s">
        <v>449</v>
      </c>
      <c r="B195" s="1">
        <v>45754</v>
      </c>
      <c r="C195" t="s">
        <v>86</v>
      </c>
      <c r="D195" t="s">
        <v>87</v>
      </c>
      <c r="E195" t="s">
        <v>113</v>
      </c>
      <c r="F195" t="s">
        <v>31</v>
      </c>
      <c r="G195" t="s">
        <v>38</v>
      </c>
      <c r="H195" t="s">
        <v>39</v>
      </c>
      <c r="I195" t="s">
        <v>450</v>
      </c>
      <c r="J195">
        <v>4</v>
      </c>
      <c r="K195" s="2">
        <v>1830.34</v>
      </c>
      <c r="L195">
        <v>0</v>
      </c>
      <c r="M195" s="2">
        <v>7321.36</v>
      </c>
      <c r="N195" s="2">
        <v>4256.67</v>
      </c>
      <c r="O195" s="2">
        <v>3064.69</v>
      </c>
      <c r="P195" t="s">
        <v>48</v>
      </c>
      <c r="Q195" t="s">
        <v>49</v>
      </c>
    </row>
    <row r="196" spans="1:17" x14ac:dyDescent="0.3">
      <c r="A196" t="s">
        <v>451</v>
      </c>
      <c r="B196" s="1">
        <v>46167</v>
      </c>
      <c r="C196" t="s">
        <v>86</v>
      </c>
      <c r="D196" t="s">
        <v>90</v>
      </c>
      <c r="E196" t="s">
        <v>22</v>
      </c>
      <c r="F196" t="s">
        <v>23</v>
      </c>
      <c r="G196" t="s">
        <v>45</v>
      </c>
      <c r="H196" t="s">
        <v>159</v>
      </c>
      <c r="I196" t="s">
        <v>452</v>
      </c>
      <c r="J196">
        <v>9</v>
      </c>
      <c r="K196" s="2">
        <v>4210.54</v>
      </c>
      <c r="L196">
        <v>20</v>
      </c>
      <c r="M196" s="2">
        <v>30315.89</v>
      </c>
      <c r="N196" s="2">
        <v>19710.48</v>
      </c>
      <c r="O196" s="2">
        <v>10605.41</v>
      </c>
      <c r="P196" t="s">
        <v>48</v>
      </c>
      <c r="Q196" t="s">
        <v>49</v>
      </c>
    </row>
    <row r="197" spans="1:17" x14ac:dyDescent="0.3">
      <c r="A197" t="s">
        <v>453</v>
      </c>
      <c r="B197" s="1">
        <v>46078</v>
      </c>
      <c r="C197" t="s">
        <v>35</v>
      </c>
      <c r="D197" t="s">
        <v>36</v>
      </c>
      <c r="E197" t="s">
        <v>51</v>
      </c>
      <c r="F197" t="s">
        <v>23</v>
      </c>
      <c r="G197" t="s">
        <v>45</v>
      </c>
      <c r="H197" t="s">
        <v>123</v>
      </c>
      <c r="I197" t="s">
        <v>454</v>
      </c>
      <c r="J197">
        <v>1</v>
      </c>
      <c r="K197" s="2">
        <v>3912.03</v>
      </c>
      <c r="L197">
        <v>5</v>
      </c>
      <c r="M197" s="2">
        <v>3716.43</v>
      </c>
      <c r="N197" s="2">
        <v>2314.9699999999998</v>
      </c>
      <c r="O197" s="2">
        <v>1401.46</v>
      </c>
      <c r="P197" t="s">
        <v>48</v>
      </c>
      <c r="Q197" t="s">
        <v>61</v>
      </c>
    </row>
    <row r="198" spans="1:17" x14ac:dyDescent="0.3">
      <c r="A198" t="s">
        <v>455</v>
      </c>
      <c r="B198" s="1">
        <v>45852</v>
      </c>
      <c r="C198" t="s">
        <v>20</v>
      </c>
      <c r="D198" t="s">
        <v>21</v>
      </c>
      <c r="E198" t="s">
        <v>51</v>
      </c>
      <c r="F198" t="s">
        <v>37</v>
      </c>
      <c r="G198" t="s">
        <v>38</v>
      </c>
      <c r="H198" t="s">
        <v>72</v>
      </c>
      <c r="I198" t="s">
        <v>456</v>
      </c>
      <c r="J198">
        <v>12</v>
      </c>
      <c r="K198" s="2">
        <v>2971.41</v>
      </c>
      <c r="L198">
        <v>0</v>
      </c>
      <c r="M198" s="2">
        <v>35656.92</v>
      </c>
      <c r="N198" s="2">
        <v>22444.37</v>
      </c>
      <c r="O198" s="2">
        <v>13212.55</v>
      </c>
      <c r="P198" t="s">
        <v>41</v>
      </c>
      <c r="Q198" t="s">
        <v>42</v>
      </c>
    </row>
    <row r="199" spans="1:17" x14ac:dyDescent="0.3">
      <c r="A199" t="s">
        <v>457</v>
      </c>
      <c r="B199" s="1">
        <v>46181</v>
      </c>
      <c r="C199" t="s">
        <v>35</v>
      </c>
      <c r="D199" t="s">
        <v>59</v>
      </c>
      <c r="E199" t="s">
        <v>66</v>
      </c>
      <c r="F199" t="s">
        <v>23</v>
      </c>
      <c r="G199" t="s">
        <v>24</v>
      </c>
      <c r="H199" t="s">
        <v>171</v>
      </c>
      <c r="I199" t="s">
        <v>458</v>
      </c>
      <c r="J199">
        <v>2</v>
      </c>
      <c r="K199" s="2">
        <v>2460.6999999999998</v>
      </c>
      <c r="L199">
        <v>0</v>
      </c>
      <c r="M199" s="2">
        <v>4921.3999999999996</v>
      </c>
      <c r="N199" s="2">
        <v>2841.63</v>
      </c>
      <c r="O199" s="2">
        <v>2079.77</v>
      </c>
      <c r="P199" t="s">
        <v>48</v>
      </c>
      <c r="Q199" t="s">
        <v>28</v>
      </c>
    </row>
    <row r="200" spans="1:17" x14ac:dyDescent="0.3">
      <c r="A200" t="s">
        <v>459</v>
      </c>
      <c r="B200" s="1">
        <v>45673</v>
      </c>
      <c r="C200" t="s">
        <v>70</v>
      </c>
      <c r="D200" t="s">
        <v>75</v>
      </c>
      <c r="E200" t="s">
        <v>170</v>
      </c>
      <c r="F200" t="s">
        <v>37</v>
      </c>
      <c r="G200" t="s">
        <v>45</v>
      </c>
      <c r="H200" t="s">
        <v>52</v>
      </c>
      <c r="I200" t="s">
        <v>460</v>
      </c>
      <c r="J200">
        <v>8</v>
      </c>
      <c r="K200" s="2">
        <v>719.28</v>
      </c>
      <c r="L200">
        <v>10</v>
      </c>
      <c r="M200" s="2">
        <v>5178.82</v>
      </c>
      <c r="N200" s="2">
        <v>4179.46</v>
      </c>
      <c r="O200" s="2">
        <v>999.36</v>
      </c>
      <c r="P200" t="s">
        <v>41</v>
      </c>
      <c r="Q200" t="s">
        <v>28</v>
      </c>
    </row>
    <row r="201" spans="1:17" x14ac:dyDescent="0.3">
      <c r="A201" t="s">
        <v>461</v>
      </c>
      <c r="B201" s="1">
        <v>45734</v>
      </c>
      <c r="C201" t="s">
        <v>70</v>
      </c>
      <c r="D201" t="s">
        <v>75</v>
      </c>
      <c r="E201" t="s">
        <v>22</v>
      </c>
      <c r="F201" t="s">
        <v>31</v>
      </c>
      <c r="G201" t="s">
        <v>38</v>
      </c>
      <c r="H201" t="s">
        <v>39</v>
      </c>
      <c r="I201" t="s">
        <v>462</v>
      </c>
      <c r="J201">
        <v>14</v>
      </c>
      <c r="K201" s="2">
        <v>1147.24</v>
      </c>
      <c r="L201">
        <v>20</v>
      </c>
      <c r="M201" s="2">
        <v>12849.09</v>
      </c>
      <c r="N201" s="2">
        <v>8181.27</v>
      </c>
      <c r="O201" s="2">
        <v>4667.82</v>
      </c>
      <c r="P201" t="s">
        <v>27</v>
      </c>
      <c r="Q201" t="s">
        <v>49</v>
      </c>
    </row>
    <row r="202" spans="1:17" x14ac:dyDescent="0.3">
      <c r="A202" t="s">
        <v>463</v>
      </c>
      <c r="B202" s="1">
        <v>45731</v>
      </c>
      <c r="C202" t="s">
        <v>35</v>
      </c>
      <c r="D202" t="s">
        <v>59</v>
      </c>
      <c r="E202" t="s">
        <v>170</v>
      </c>
      <c r="F202" t="s">
        <v>31</v>
      </c>
      <c r="G202" t="s">
        <v>45</v>
      </c>
      <c r="H202" t="s">
        <v>123</v>
      </c>
      <c r="I202" t="s">
        <v>464</v>
      </c>
      <c r="J202">
        <v>2</v>
      </c>
      <c r="K202" s="2">
        <v>4677.54</v>
      </c>
      <c r="L202">
        <v>20</v>
      </c>
      <c r="M202" s="2">
        <v>7484.06</v>
      </c>
      <c r="N202" s="2">
        <v>6051.01</v>
      </c>
      <c r="O202" s="2">
        <v>1433.05</v>
      </c>
      <c r="P202" t="s">
        <v>41</v>
      </c>
      <c r="Q202" t="s">
        <v>28</v>
      </c>
    </row>
    <row r="203" spans="1:17" x14ac:dyDescent="0.3">
      <c r="A203" t="s">
        <v>465</v>
      </c>
      <c r="B203" s="1">
        <v>45900</v>
      </c>
      <c r="C203" t="s">
        <v>70</v>
      </c>
      <c r="D203" t="s">
        <v>75</v>
      </c>
      <c r="E203" t="s">
        <v>66</v>
      </c>
      <c r="F203" t="s">
        <v>23</v>
      </c>
      <c r="G203" t="s">
        <v>38</v>
      </c>
      <c r="H203" t="s">
        <v>39</v>
      </c>
      <c r="I203" t="s">
        <v>466</v>
      </c>
      <c r="J203">
        <v>2</v>
      </c>
      <c r="K203" s="2">
        <v>4096.2700000000004</v>
      </c>
      <c r="L203">
        <v>0</v>
      </c>
      <c r="M203" s="2">
        <v>8192.5400000000009</v>
      </c>
      <c r="N203" s="2">
        <v>5314.88</v>
      </c>
      <c r="O203" s="2">
        <v>2877.66</v>
      </c>
      <c r="P203" t="s">
        <v>48</v>
      </c>
      <c r="Q203" t="s">
        <v>42</v>
      </c>
    </row>
    <row r="204" spans="1:17" x14ac:dyDescent="0.3">
      <c r="A204" t="s">
        <v>467</v>
      </c>
      <c r="B204" s="1">
        <v>45743</v>
      </c>
      <c r="C204" t="s">
        <v>70</v>
      </c>
      <c r="D204" t="s">
        <v>71</v>
      </c>
      <c r="E204" t="s">
        <v>30</v>
      </c>
      <c r="F204" t="s">
        <v>37</v>
      </c>
      <c r="G204" t="s">
        <v>38</v>
      </c>
      <c r="H204" t="s">
        <v>91</v>
      </c>
      <c r="I204" t="s">
        <v>468</v>
      </c>
      <c r="J204">
        <v>7</v>
      </c>
      <c r="K204" s="2">
        <v>4140.58</v>
      </c>
      <c r="L204">
        <v>5</v>
      </c>
      <c r="M204" s="2">
        <v>27534.86</v>
      </c>
      <c r="N204" s="2">
        <v>21619.43</v>
      </c>
      <c r="O204" s="2">
        <v>5915.43</v>
      </c>
      <c r="P204" t="s">
        <v>48</v>
      </c>
      <c r="Q204" t="s">
        <v>28</v>
      </c>
    </row>
    <row r="205" spans="1:17" x14ac:dyDescent="0.3">
      <c r="A205" t="s">
        <v>469</v>
      </c>
      <c r="B205" s="1">
        <v>46186</v>
      </c>
      <c r="C205" t="s">
        <v>86</v>
      </c>
      <c r="D205" t="s">
        <v>87</v>
      </c>
      <c r="E205" t="s">
        <v>51</v>
      </c>
      <c r="F205" t="s">
        <v>31</v>
      </c>
      <c r="G205" t="s">
        <v>24</v>
      </c>
      <c r="H205" t="s">
        <v>56</v>
      </c>
      <c r="I205" t="s">
        <v>470</v>
      </c>
      <c r="J205">
        <v>11</v>
      </c>
      <c r="K205" s="2">
        <v>2467.09</v>
      </c>
      <c r="L205">
        <v>15</v>
      </c>
      <c r="M205" s="2">
        <v>23067.29</v>
      </c>
      <c r="N205" s="2">
        <v>16859.759999999998</v>
      </c>
      <c r="O205" s="2">
        <v>6207.53</v>
      </c>
      <c r="P205" t="s">
        <v>27</v>
      </c>
      <c r="Q205" t="s">
        <v>42</v>
      </c>
    </row>
    <row r="206" spans="1:17" x14ac:dyDescent="0.3">
      <c r="A206" t="s">
        <v>471</v>
      </c>
      <c r="B206" s="1">
        <v>45941</v>
      </c>
      <c r="C206" t="s">
        <v>86</v>
      </c>
      <c r="D206" t="s">
        <v>90</v>
      </c>
      <c r="E206" t="s">
        <v>113</v>
      </c>
      <c r="F206" t="s">
        <v>37</v>
      </c>
      <c r="G206" t="s">
        <v>38</v>
      </c>
      <c r="H206" t="s">
        <v>39</v>
      </c>
      <c r="I206" t="s">
        <v>472</v>
      </c>
      <c r="J206">
        <v>9</v>
      </c>
      <c r="K206" s="2">
        <v>886.25</v>
      </c>
      <c r="L206">
        <v>10</v>
      </c>
      <c r="M206" s="2">
        <v>7178.62</v>
      </c>
      <c r="N206" s="2">
        <v>5751.04</v>
      </c>
      <c r="O206" s="2">
        <v>1427.58</v>
      </c>
      <c r="P206" t="s">
        <v>27</v>
      </c>
      <c r="Q206" t="s">
        <v>61</v>
      </c>
    </row>
    <row r="207" spans="1:17" x14ac:dyDescent="0.3">
      <c r="A207" t="s">
        <v>473</v>
      </c>
      <c r="B207" s="1">
        <v>45876</v>
      </c>
      <c r="C207" t="s">
        <v>86</v>
      </c>
      <c r="D207" t="s">
        <v>87</v>
      </c>
      <c r="E207" t="s">
        <v>170</v>
      </c>
      <c r="F207" t="s">
        <v>37</v>
      </c>
      <c r="G207" t="s">
        <v>24</v>
      </c>
      <c r="H207" t="s">
        <v>25</v>
      </c>
      <c r="I207" t="s">
        <v>474</v>
      </c>
      <c r="J207">
        <v>11</v>
      </c>
      <c r="K207" s="2">
        <v>793.85</v>
      </c>
      <c r="L207">
        <v>5</v>
      </c>
      <c r="M207" s="2">
        <v>8295.73</v>
      </c>
      <c r="N207" s="2">
        <v>5469.97</v>
      </c>
      <c r="O207" s="2">
        <v>2825.76</v>
      </c>
      <c r="P207" t="s">
        <v>27</v>
      </c>
      <c r="Q207" t="s">
        <v>49</v>
      </c>
    </row>
    <row r="208" spans="1:17" x14ac:dyDescent="0.3">
      <c r="A208" t="s">
        <v>475</v>
      </c>
      <c r="B208" s="1">
        <v>46051</v>
      </c>
      <c r="C208" t="s">
        <v>86</v>
      </c>
      <c r="D208" t="s">
        <v>90</v>
      </c>
      <c r="E208" t="s">
        <v>113</v>
      </c>
      <c r="F208" t="s">
        <v>31</v>
      </c>
      <c r="G208" t="s">
        <v>24</v>
      </c>
      <c r="H208" t="s">
        <v>171</v>
      </c>
      <c r="I208" t="s">
        <v>423</v>
      </c>
      <c r="J208">
        <v>1</v>
      </c>
      <c r="K208" s="2">
        <v>2441.11</v>
      </c>
      <c r="L208">
        <v>20</v>
      </c>
      <c r="M208" s="2">
        <v>1952.89</v>
      </c>
      <c r="N208" s="2">
        <v>1176.67</v>
      </c>
      <c r="O208" s="2">
        <v>776.22</v>
      </c>
      <c r="P208" t="s">
        <v>27</v>
      </c>
      <c r="Q208" t="s">
        <v>49</v>
      </c>
    </row>
    <row r="209" spans="1:17" x14ac:dyDescent="0.3">
      <c r="A209" t="s">
        <v>476</v>
      </c>
      <c r="B209" s="1">
        <v>45766</v>
      </c>
      <c r="C209" t="s">
        <v>20</v>
      </c>
      <c r="D209" t="s">
        <v>55</v>
      </c>
      <c r="E209" t="s">
        <v>30</v>
      </c>
      <c r="F209" t="s">
        <v>31</v>
      </c>
      <c r="G209" t="s">
        <v>38</v>
      </c>
      <c r="H209" t="s">
        <v>63</v>
      </c>
      <c r="I209" t="s">
        <v>477</v>
      </c>
      <c r="J209">
        <v>3</v>
      </c>
      <c r="K209" s="2">
        <v>1808.82</v>
      </c>
      <c r="L209">
        <v>10</v>
      </c>
      <c r="M209" s="2">
        <v>4883.8100000000004</v>
      </c>
      <c r="N209" s="2">
        <v>3114.4</v>
      </c>
      <c r="O209" s="2">
        <v>1769.41</v>
      </c>
      <c r="P209" t="s">
        <v>41</v>
      </c>
      <c r="Q209" t="s">
        <v>49</v>
      </c>
    </row>
    <row r="210" spans="1:17" x14ac:dyDescent="0.3">
      <c r="A210" t="s">
        <v>478</v>
      </c>
      <c r="B210" s="1">
        <v>46065</v>
      </c>
      <c r="C210" t="s">
        <v>86</v>
      </c>
      <c r="D210" t="s">
        <v>87</v>
      </c>
      <c r="E210" t="s">
        <v>30</v>
      </c>
      <c r="F210" t="s">
        <v>37</v>
      </c>
      <c r="G210" t="s">
        <v>45</v>
      </c>
      <c r="H210" t="s">
        <v>46</v>
      </c>
      <c r="I210" t="s">
        <v>479</v>
      </c>
      <c r="J210">
        <v>10</v>
      </c>
      <c r="K210" s="2">
        <v>4355.58</v>
      </c>
      <c r="L210">
        <v>20</v>
      </c>
      <c r="M210" s="2">
        <v>34844.639999999999</v>
      </c>
      <c r="N210" s="2">
        <v>26330.44</v>
      </c>
      <c r="O210" s="2">
        <v>8514.2000000000007</v>
      </c>
      <c r="P210" t="s">
        <v>48</v>
      </c>
      <c r="Q210" t="s">
        <v>42</v>
      </c>
    </row>
    <row r="211" spans="1:17" x14ac:dyDescent="0.3">
      <c r="A211" t="s">
        <v>480</v>
      </c>
      <c r="B211" s="1">
        <v>46187</v>
      </c>
      <c r="C211" t="s">
        <v>70</v>
      </c>
      <c r="D211" t="s">
        <v>71</v>
      </c>
      <c r="E211" t="s">
        <v>66</v>
      </c>
      <c r="F211" t="s">
        <v>37</v>
      </c>
      <c r="G211" t="s">
        <v>24</v>
      </c>
      <c r="H211" t="s">
        <v>25</v>
      </c>
      <c r="I211" t="s">
        <v>481</v>
      </c>
      <c r="J211">
        <v>2</v>
      </c>
      <c r="K211" s="2">
        <v>3047.51</v>
      </c>
      <c r="L211">
        <v>0</v>
      </c>
      <c r="M211" s="2">
        <v>6095.02</v>
      </c>
      <c r="N211" s="2">
        <v>4247.3</v>
      </c>
      <c r="O211" s="2">
        <v>1847.72</v>
      </c>
      <c r="P211" t="s">
        <v>27</v>
      </c>
      <c r="Q211" t="s">
        <v>61</v>
      </c>
    </row>
    <row r="212" spans="1:17" x14ac:dyDescent="0.3">
      <c r="A212" t="s">
        <v>482</v>
      </c>
      <c r="B212" s="1">
        <v>45950</v>
      </c>
      <c r="C212" t="s">
        <v>35</v>
      </c>
      <c r="D212" t="s">
        <v>36</v>
      </c>
      <c r="E212" t="s">
        <v>66</v>
      </c>
      <c r="F212" t="s">
        <v>31</v>
      </c>
      <c r="G212" t="s">
        <v>38</v>
      </c>
      <c r="H212" t="s">
        <v>106</v>
      </c>
      <c r="I212" t="s">
        <v>483</v>
      </c>
      <c r="J212">
        <v>2</v>
      </c>
      <c r="K212" s="2">
        <v>2564.14</v>
      </c>
      <c r="L212">
        <v>15</v>
      </c>
      <c r="M212" s="2">
        <v>4359.04</v>
      </c>
      <c r="N212" s="2">
        <v>3364.64</v>
      </c>
      <c r="O212" s="2">
        <v>994.4</v>
      </c>
      <c r="P212" t="s">
        <v>48</v>
      </c>
      <c r="Q212" t="s">
        <v>61</v>
      </c>
    </row>
    <row r="213" spans="1:17" x14ac:dyDescent="0.3">
      <c r="A213" t="s">
        <v>484</v>
      </c>
      <c r="B213" s="1">
        <v>45890</v>
      </c>
      <c r="C213" t="s">
        <v>86</v>
      </c>
      <c r="D213" t="s">
        <v>87</v>
      </c>
      <c r="E213" t="s">
        <v>51</v>
      </c>
      <c r="F213" t="s">
        <v>37</v>
      </c>
      <c r="G213" t="s">
        <v>24</v>
      </c>
      <c r="H213" t="s">
        <v>32</v>
      </c>
      <c r="I213" t="s">
        <v>485</v>
      </c>
      <c r="J213">
        <v>8</v>
      </c>
      <c r="K213" s="2">
        <v>252.74</v>
      </c>
      <c r="L213">
        <v>5</v>
      </c>
      <c r="M213" s="2">
        <v>1920.82</v>
      </c>
      <c r="N213" s="2">
        <v>1074.43</v>
      </c>
      <c r="O213" s="2">
        <v>846.39</v>
      </c>
      <c r="P213" t="s">
        <v>41</v>
      </c>
      <c r="Q213" t="s">
        <v>61</v>
      </c>
    </row>
    <row r="214" spans="1:17" x14ac:dyDescent="0.3">
      <c r="A214" t="s">
        <v>486</v>
      </c>
      <c r="B214" s="1">
        <v>45708</v>
      </c>
      <c r="C214" t="s">
        <v>35</v>
      </c>
      <c r="D214" t="s">
        <v>36</v>
      </c>
      <c r="E214" t="s">
        <v>170</v>
      </c>
      <c r="F214" t="s">
        <v>23</v>
      </c>
      <c r="G214" t="s">
        <v>24</v>
      </c>
      <c r="H214" t="s">
        <v>56</v>
      </c>
      <c r="I214" t="s">
        <v>487</v>
      </c>
      <c r="J214">
        <v>6</v>
      </c>
      <c r="K214" s="2">
        <v>4037.73</v>
      </c>
      <c r="L214">
        <v>0</v>
      </c>
      <c r="M214" s="2">
        <v>24226.38</v>
      </c>
      <c r="N214" s="2">
        <v>15552.81</v>
      </c>
      <c r="O214" s="2">
        <v>8673.57</v>
      </c>
      <c r="P214" t="s">
        <v>48</v>
      </c>
      <c r="Q214" t="s">
        <v>49</v>
      </c>
    </row>
    <row r="215" spans="1:17" x14ac:dyDescent="0.3">
      <c r="A215" t="s">
        <v>488</v>
      </c>
      <c r="B215" s="1">
        <v>45683</v>
      </c>
      <c r="C215" t="s">
        <v>70</v>
      </c>
      <c r="D215" t="s">
        <v>75</v>
      </c>
      <c r="E215" t="s">
        <v>120</v>
      </c>
      <c r="F215" t="s">
        <v>37</v>
      </c>
      <c r="G215" t="s">
        <v>45</v>
      </c>
      <c r="H215" t="s">
        <v>67</v>
      </c>
      <c r="I215" t="s">
        <v>489</v>
      </c>
      <c r="J215">
        <v>15</v>
      </c>
      <c r="K215" s="2">
        <v>3510.32</v>
      </c>
      <c r="L215">
        <v>0</v>
      </c>
      <c r="M215" s="2">
        <v>52654.8</v>
      </c>
      <c r="N215" s="2">
        <v>41850.080000000002</v>
      </c>
      <c r="O215" s="2">
        <v>10804.72</v>
      </c>
      <c r="P215" t="s">
        <v>41</v>
      </c>
      <c r="Q215" t="s">
        <v>42</v>
      </c>
    </row>
    <row r="216" spans="1:17" x14ac:dyDescent="0.3">
      <c r="A216" t="s">
        <v>490</v>
      </c>
      <c r="B216" s="1">
        <v>45953</v>
      </c>
      <c r="C216" t="s">
        <v>35</v>
      </c>
      <c r="D216" t="s">
        <v>59</v>
      </c>
      <c r="E216" t="s">
        <v>44</v>
      </c>
      <c r="F216" t="s">
        <v>23</v>
      </c>
      <c r="G216" t="s">
        <v>24</v>
      </c>
      <c r="H216" t="s">
        <v>56</v>
      </c>
      <c r="I216" t="s">
        <v>491</v>
      </c>
      <c r="J216">
        <v>6</v>
      </c>
      <c r="K216" s="2">
        <v>1106.6400000000001</v>
      </c>
      <c r="L216">
        <v>10</v>
      </c>
      <c r="M216" s="2">
        <v>5975.86</v>
      </c>
      <c r="N216" s="2">
        <v>3553.78</v>
      </c>
      <c r="O216" s="2">
        <v>2422.08</v>
      </c>
      <c r="P216" t="s">
        <v>41</v>
      </c>
      <c r="Q216" t="s">
        <v>28</v>
      </c>
    </row>
    <row r="217" spans="1:17" x14ac:dyDescent="0.3">
      <c r="A217" t="s">
        <v>492</v>
      </c>
      <c r="B217" s="1">
        <v>46101</v>
      </c>
      <c r="C217" t="s">
        <v>70</v>
      </c>
      <c r="D217" t="s">
        <v>71</v>
      </c>
      <c r="E217" t="s">
        <v>44</v>
      </c>
      <c r="F217" t="s">
        <v>23</v>
      </c>
      <c r="G217" t="s">
        <v>38</v>
      </c>
      <c r="H217" t="s">
        <v>91</v>
      </c>
      <c r="I217" t="s">
        <v>493</v>
      </c>
      <c r="J217">
        <v>12</v>
      </c>
      <c r="K217" s="2">
        <v>3825.39</v>
      </c>
      <c r="L217">
        <v>10</v>
      </c>
      <c r="M217" s="2">
        <v>41314.21</v>
      </c>
      <c r="N217" s="2">
        <v>31659</v>
      </c>
      <c r="O217" s="2">
        <v>9655.2099999999991</v>
      </c>
      <c r="P217" t="s">
        <v>48</v>
      </c>
      <c r="Q217" t="s">
        <v>42</v>
      </c>
    </row>
    <row r="218" spans="1:17" x14ac:dyDescent="0.3">
      <c r="A218" t="s">
        <v>494</v>
      </c>
      <c r="B218" s="1">
        <v>45764</v>
      </c>
      <c r="C218" t="s">
        <v>70</v>
      </c>
      <c r="D218" t="s">
        <v>71</v>
      </c>
      <c r="E218" t="s">
        <v>44</v>
      </c>
      <c r="F218" t="s">
        <v>23</v>
      </c>
      <c r="G218" t="s">
        <v>24</v>
      </c>
      <c r="H218" t="s">
        <v>134</v>
      </c>
      <c r="I218" t="s">
        <v>495</v>
      </c>
      <c r="J218">
        <v>7</v>
      </c>
      <c r="K218" s="2">
        <v>3785.13</v>
      </c>
      <c r="L218">
        <v>10</v>
      </c>
      <c r="M218" s="2">
        <v>23846.32</v>
      </c>
      <c r="N218" s="2">
        <v>15275.52</v>
      </c>
      <c r="O218" s="2">
        <v>8570.7999999999993</v>
      </c>
      <c r="P218" t="s">
        <v>48</v>
      </c>
      <c r="Q218" t="s">
        <v>42</v>
      </c>
    </row>
    <row r="219" spans="1:17" x14ac:dyDescent="0.3">
      <c r="A219" t="s">
        <v>496</v>
      </c>
      <c r="B219" s="1">
        <v>46174</v>
      </c>
      <c r="C219" t="s">
        <v>35</v>
      </c>
      <c r="D219" t="s">
        <v>36</v>
      </c>
      <c r="E219" t="s">
        <v>170</v>
      </c>
      <c r="F219" t="s">
        <v>23</v>
      </c>
      <c r="G219" t="s">
        <v>38</v>
      </c>
      <c r="H219" t="s">
        <v>106</v>
      </c>
      <c r="I219" t="s">
        <v>497</v>
      </c>
      <c r="J219">
        <v>4</v>
      </c>
      <c r="K219" s="2">
        <v>2398.25</v>
      </c>
      <c r="L219">
        <v>5</v>
      </c>
      <c r="M219" s="2">
        <v>9113.35</v>
      </c>
      <c r="N219" s="2">
        <v>6270.77</v>
      </c>
      <c r="O219" s="2">
        <v>2842.58</v>
      </c>
      <c r="P219" t="s">
        <v>48</v>
      </c>
      <c r="Q219" t="s">
        <v>28</v>
      </c>
    </row>
    <row r="220" spans="1:17" x14ac:dyDescent="0.3">
      <c r="A220" t="s">
        <v>498</v>
      </c>
      <c r="B220" s="1">
        <v>45930</v>
      </c>
      <c r="C220" t="s">
        <v>70</v>
      </c>
      <c r="D220" t="s">
        <v>71</v>
      </c>
      <c r="E220" t="s">
        <v>44</v>
      </c>
      <c r="F220" t="s">
        <v>31</v>
      </c>
      <c r="G220" t="s">
        <v>24</v>
      </c>
      <c r="H220" t="s">
        <v>134</v>
      </c>
      <c r="I220" t="s">
        <v>499</v>
      </c>
      <c r="J220">
        <v>11</v>
      </c>
      <c r="K220" s="2">
        <v>1268.25</v>
      </c>
      <c r="L220">
        <v>20</v>
      </c>
      <c r="M220" s="2">
        <v>11160.6</v>
      </c>
      <c r="N220" s="2">
        <v>7472.02</v>
      </c>
      <c r="O220" s="2">
        <v>3688.58</v>
      </c>
      <c r="P220" t="s">
        <v>27</v>
      </c>
      <c r="Q220" t="s">
        <v>42</v>
      </c>
    </row>
    <row r="221" spans="1:17" x14ac:dyDescent="0.3">
      <c r="A221" t="s">
        <v>500</v>
      </c>
      <c r="B221" s="1">
        <v>46126</v>
      </c>
      <c r="C221" t="s">
        <v>20</v>
      </c>
      <c r="D221" t="s">
        <v>21</v>
      </c>
      <c r="E221" t="s">
        <v>120</v>
      </c>
      <c r="F221" t="s">
        <v>23</v>
      </c>
      <c r="G221" t="s">
        <v>24</v>
      </c>
      <c r="H221" t="s">
        <v>171</v>
      </c>
      <c r="I221" t="s">
        <v>501</v>
      </c>
      <c r="J221">
        <v>6</v>
      </c>
      <c r="K221" s="2">
        <v>2677.73</v>
      </c>
      <c r="L221">
        <v>0</v>
      </c>
      <c r="M221" s="2">
        <v>16066.38</v>
      </c>
      <c r="N221" s="2">
        <v>9067.89</v>
      </c>
      <c r="O221" s="2">
        <v>6998.49</v>
      </c>
      <c r="P221" t="s">
        <v>48</v>
      </c>
      <c r="Q221" t="s">
        <v>42</v>
      </c>
    </row>
    <row r="222" spans="1:17" x14ac:dyDescent="0.3">
      <c r="A222" t="s">
        <v>502</v>
      </c>
      <c r="B222" s="1">
        <v>45987</v>
      </c>
      <c r="C222" t="s">
        <v>35</v>
      </c>
      <c r="D222" t="s">
        <v>36</v>
      </c>
      <c r="E222" t="s">
        <v>51</v>
      </c>
      <c r="F222" t="s">
        <v>31</v>
      </c>
      <c r="G222" t="s">
        <v>45</v>
      </c>
      <c r="H222" t="s">
        <v>52</v>
      </c>
      <c r="I222" t="s">
        <v>503</v>
      </c>
      <c r="J222">
        <v>11</v>
      </c>
      <c r="K222" s="2">
        <v>365.84</v>
      </c>
      <c r="L222">
        <v>20</v>
      </c>
      <c r="M222" s="2">
        <v>3219.39</v>
      </c>
      <c r="N222" s="2">
        <v>2296.04</v>
      </c>
      <c r="O222" s="2">
        <v>923.35</v>
      </c>
      <c r="P222" t="s">
        <v>48</v>
      </c>
      <c r="Q222" t="s">
        <v>42</v>
      </c>
    </row>
    <row r="223" spans="1:17" x14ac:dyDescent="0.3">
      <c r="A223" t="s">
        <v>504</v>
      </c>
      <c r="B223" s="1">
        <v>45927</v>
      </c>
      <c r="C223" t="s">
        <v>86</v>
      </c>
      <c r="D223" t="s">
        <v>87</v>
      </c>
      <c r="E223" t="s">
        <v>51</v>
      </c>
      <c r="F223" t="s">
        <v>23</v>
      </c>
      <c r="G223" t="s">
        <v>38</v>
      </c>
      <c r="H223" t="s">
        <v>106</v>
      </c>
      <c r="I223" t="s">
        <v>505</v>
      </c>
      <c r="J223">
        <v>15</v>
      </c>
      <c r="K223" s="2">
        <v>1423.92</v>
      </c>
      <c r="L223">
        <v>10</v>
      </c>
      <c r="M223" s="2">
        <v>19222.919999999998</v>
      </c>
      <c r="N223" s="2">
        <v>10575.93</v>
      </c>
      <c r="O223" s="2">
        <v>8646.99</v>
      </c>
      <c r="P223" t="s">
        <v>48</v>
      </c>
      <c r="Q223" t="s">
        <v>28</v>
      </c>
    </row>
    <row r="224" spans="1:17" x14ac:dyDescent="0.3">
      <c r="A224" t="s">
        <v>506</v>
      </c>
      <c r="B224" s="1">
        <v>46023</v>
      </c>
      <c r="C224" t="s">
        <v>20</v>
      </c>
      <c r="D224" t="s">
        <v>55</v>
      </c>
      <c r="E224" t="s">
        <v>51</v>
      </c>
      <c r="F224" t="s">
        <v>23</v>
      </c>
      <c r="G224" t="s">
        <v>24</v>
      </c>
      <c r="H224" t="s">
        <v>25</v>
      </c>
      <c r="I224" t="s">
        <v>507</v>
      </c>
      <c r="J224">
        <v>9</v>
      </c>
      <c r="K224" s="2">
        <v>1899.33</v>
      </c>
      <c r="L224">
        <v>5</v>
      </c>
      <c r="M224" s="2">
        <v>16239.27</v>
      </c>
      <c r="N224" s="2">
        <v>11676.5</v>
      </c>
      <c r="O224" s="2">
        <v>4562.7700000000004</v>
      </c>
      <c r="P224" t="s">
        <v>41</v>
      </c>
      <c r="Q224" t="s">
        <v>49</v>
      </c>
    </row>
    <row r="225" spans="1:17" x14ac:dyDescent="0.3">
      <c r="A225" t="s">
        <v>508</v>
      </c>
      <c r="B225" s="1">
        <v>46156</v>
      </c>
      <c r="C225" t="s">
        <v>86</v>
      </c>
      <c r="D225" t="s">
        <v>90</v>
      </c>
      <c r="E225" t="s">
        <v>170</v>
      </c>
      <c r="F225" t="s">
        <v>37</v>
      </c>
      <c r="G225" t="s">
        <v>45</v>
      </c>
      <c r="H225" t="s">
        <v>159</v>
      </c>
      <c r="I225" t="s">
        <v>509</v>
      </c>
      <c r="J225">
        <v>15</v>
      </c>
      <c r="K225" s="2">
        <v>2738.04</v>
      </c>
      <c r="L225">
        <v>5</v>
      </c>
      <c r="M225" s="2">
        <v>39017.07</v>
      </c>
      <c r="N225" s="2">
        <v>22713.1</v>
      </c>
      <c r="O225" s="2">
        <v>16303.97</v>
      </c>
      <c r="P225" t="s">
        <v>27</v>
      </c>
      <c r="Q225" t="s">
        <v>28</v>
      </c>
    </row>
    <row r="226" spans="1:17" x14ac:dyDescent="0.3">
      <c r="A226" t="s">
        <v>510</v>
      </c>
      <c r="B226" s="1">
        <v>46176</v>
      </c>
      <c r="C226" t="s">
        <v>35</v>
      </c>
      <c r="D226" t="s">
        <v>36</v>
      </c>
      <c r="E226" t="s">
        <v>120</v>
      </c>
      <c r="F226" t="s">
        <v>23</v>
      </c>
      <c r="G226" t="s">
        <v>45</v>
      </c>
      <c r="H226" t="s">
        <v>123</v>
      </c>
      <c r="I226" t="s">
        <v>511</v>
      </c>
      <c r="J226">
        <v>4</v>
      </c>
      <c r="K226" s="2">
        <v>1193.52</v>
      </c>
      <c r="L226">
        <v>15</v>
      </c>
      <c r="M226" s="2">
        <v>4057.97</v>
      </c>
      <c r="N226" s="2">
        <v>2896.41</v>
      </c>
      <c r="O226" s="2">
        <v>1161.56</v>
      </c>
      <c r="P226" t="s">
        <v>48</v>
      </c>
      <c r="Q226" t="s">
        <v>49</v>
      </c>
    </row>
    <row r="227" spans="1:17" x14ac:dyDescent="0.3">
      <c r="A227" t="s">
        <v>512</v>
      </c>
      <c r="B227" s="1">
        <v>45759</v>
      </c>
      <c r="C227" t="s">
        <v>70</v>
      </c>
      <c r="D227" t="s">
        <v>71</v>
      </c>
      <c r="E227" t="s">
        <v>51</v>
      </c>
      <c r="F227" t="s">
        <v>31</v>
      </c>
      <c r="G227" t="s">
        <v>45</v>
      </c>
      <c r="H227" t="s">
        <v>46</v>
      </c>
      <c r="I227" t="s">
        <v>513</v>
      </c>
      <c r="J227">
        <v>3</v>
      </c>
      <c r="K227" s="2">
        <v>639.99</v>
      </c>
      <c r="L227">
        <v>15</v>
      </c>
      <c r="M227" s="2">
        <v>1631.97</v>
      </c>
      <c r="N227" s="2">
        <v>1236.79</v>
      </c>
      <c r="O227" s="2">
        <v>395.18</v>
      </c>
      <c r="P227" t="s">
        <v>48</v>
      </c>
      <c r="Q227" t="s">
        <v>61</v>
      </c>
    </row>
    <row r="228" spans="1:17" x14ac:dyDescent="0.3">
      <c r="A228" t="s">
        <v>514</v>
      </c>
      <c r="B228" s="1">
        <v>46063</v>
      </c>
      <c r="C228" t="s">
        <v>86</v>
      </c>
      <c r="D228" t="s">
        <v>90</v>
      </c>
      <c r="E228" t="s">
        <v>44</v>
      </c>
      <c r="F228" t="s">
        <v>31</v>
      </c>
      <c r="G228" t="s">
        <v>45</v>
      </c>
      <c r="H228" t="s">
        <v>159</v>
      </c>
      <c r="I228" t="s">
        <v>515</v>
      </c>
      <c r="J228">
        <v>2</v>
      </c>
      <c r="K228" s="2">
        <v>1645.6</v>
      </c>
      <c r="L228">
        <v>0</v>
      </c>
      <c r="M228" s="2">
        <v>3291.2</v>
      </c>
      <c r="N228" s="2">
        <v>2224.36</v>
      </c>
      <c r="O228" s="2">
        <v>1066.8399999999999</v>
      </c>
      <c r="P228" t="s">
        <v>41</v>
      </c>
      <c r="Q228" t="s">
        <v>49</v>
      </c>
    </row>
    <row r="229" spans="1:17" x14ac:dyDescent="0.3">
      <c r="A229" t="s">
        <v>516</v>
      </c>
      <c r="B229" s="1">
        <v>45971</v>
      </c>
      <c r="C229" t="s">
        <v>86</v>
      </c>
      <c r="D229" t="s">
        <v>90</v>
      </c>
      <c r="E229" t="s">
        <v>170</v>
      </c>
      <c r="F229" t="s">
        <v>23</v>
      </c>
      <c r="G229" t="s">
        <v>45</v>
      </c>
      <c r="H229" t="s">
        <v>123</v>
      </c>
      <c r="I229" t="s">
        <v>517</v>
      </c>
      <c r="J229">
        <v>7</v>
      </c>
      <c r="K229" s="2">
        <v>2361.7199999999998</v>
      </c>
      <c r="L229">
        <v>0</v>
      </c>
      <c r="M229" s="2">
        <v>16532.04</v>
      </c>
      <c r="N229" s="2">
        <v>11722.4</v>
      </c>
      <c r="O229" s="2">
        <v>4809.6400000000003</v>
      </c>
      <c r="P229" t="s">
        <v>48</v>
      </c>
      <c r="Q229" t="s">
        <v>61</v>
      </c>
    </row>
    <row r="230" spans="1:17" x14ac:dyDescent="0.3">
      <c r="A230" t="s">
        <v>518</v>
      </c>
      <c r="B230" s="1">
        <v>46134</v>
      </c>
      <c r="C230" t="s">
        <v>70</v>
      </c>
      <c r="D230" t="s">
        <v>71</v>
      </c>
      <c r="E230" t="s">
        <v>120</v>
      </c>
      <c r="F230" t="s">
        <v>31</v>
      </c>
      <c r="G230" t="s">
        <v>45</v>
      </c>
      <c r="H230" t="s">
        <v>67</v>
      </c>
      <c r="I230" t="s">
        <v>519</v>
      </c>
      <c r="J230">
        <v>7</v>
      </c>
      <c r="K230" s="2">
        <v>1793.09</v>
      </c>
      <c r="L230">
        <v>0</v>
      </c>
      <c r="M230" s="2">
        <v>12551.63</v>
      </c>
      <c r="N230" s="2">
        <v>8814.6</v>
      </c>
      <c r="O230" s="2">
        <v>3737.03</v>
      </c>
      <c r="P230" t="s">
        <v>27</v>
      </c>
      <c r="Q230" t="s">
        <v>61</v>
      </c>
    </row>
    <row r="231" spans="1:17" x14ac:dyDescent="0.3">
      <c r="A231" t="s">
        <v>520</v>
      </c>
      <c r="B231" s="1">
        <v>46003</v>
      </c>
      <c r="C231" t="s">
        <v>35</v>
      </c>
      <c r="D231" t="s">
        <v>59</v>
      </c>
      <c r="E231" t="s">
        <v>22</v>
      </c>
      <c r="F231" t="s">
        <v>37</v>
      </c>
      <c r="G231" t="s">
        <v>24</v>
      </c>
      <c r="H231" t="s">
        <v>171</v>
      </c>
      <c r="I231" t="s">
        <v>521</v>
      </c>
      <c r="J231">
        <v>13</v>
      </c>
      <c r="K231" s="2">
        <v>982.96</v>
      </c>
      <c r="L231">
        <v>20</v>
      </c>
      <c r="M231" s="2">
        <v>10222.780000000001</v>
      </c>
      <c r="N231" s="2">
        <v>6456.66</v>
      </c>
      <c r="O231" s="2">
        <v>3766.12</v>
      </c>
      <c r="P231" t="s">
        <v>41</v>
      </c>
      <c r="Q231" t="s">
        <v>61</v>
      </c>
    </row>
    <row r="232" spans="1:17" x14ac:dyDescent="0.3">
      <c r="A232" t="s">
        <v>522</v>
      </c>
      <c r="B232" s="1">
        <v>46073</v>
      </c>
      <c r="C232" t="s">
        <v>20</v>
      </c>
      <c r="D232" t="s">
        <v>55</v>
      </c>
      <c r="E232" t="s">
        <v>51</v>
      </c>
      <c r="F232" t="s">
        <v>23</v>
      </c>
      <c r="G232" t="s">
        <v>45</v>
      </c>
      <c r="H232" t="s">
        <v>52</v>
      </c>
      <c r="I232" t="s">
        <v>523</v>
      </c>
      <c r="J232">
        <v>14</v>
      </c>
      <c r="K232" s="2">
        <v>3698.29</v>
      </c>
      <c r="L232">
        <v>0</v>
      </c>
      <c r="M232" s="2">
        <v>51776.06</v>
      </c>
      <c r="N232" s="2">
        <v>32161.93</v>
      </c>
      <c r="O232" s="2">
        <v>19614.13</v>
      </c>
      <c r="P232" t="s">
        <v>41</v>
      </c>
      <c r="Q232" t="s">
        <v>28</v>
      </c>
    </row>
    <row r="233" spans="1:17" x14ac:dyDescent="0.3">
      <c r="A233" t="s">
        <v>524</v>
      </c>
      <c r="B233" s="1">
        <v>46165</v>
      </c>
      <c r="C233" t="s">
        <v>35</v>
      </c>
      <c r="D233" t="s">
        <v>59</v>
      </c>
      <c r="E233" t="s">
        <v>66</v>
      </c>
      <c r="F233" t="s">
        <v>37</v>
      </c>
      <c r="G233" t="s">
        <v>38</v>
      </c>
      <c r="H233" t="s">
        <v>106</v>
      </c>
      <c r="I233" t="s">
        <v>525</v>
      </c>
      <c r="J233">
        <v>15</v>
      </c>
      <c r="K233" s="2">
        <v>3868.82</v>
      </c>
      <c r="L233">
        <v>20</v>
      </c>
      <c r="M233" s="2">
        <v>46425.84</v>
      </c>
      <c r="N233" s="2">
        <v>27933.96</v>
      </c>
      <c r="O233" s="2">
        <v>18491.88</v>
      </c>
      <c r="P233" t="s">
        <v>48</v>
      </c>
      <c r="Q233" t="s">
        <v>61</v>
      </c>
    </row>
    <row r="234" spans="1:17" x14ac:dyDescent="0.3">
      <c r="A234" t="s">
        <v>526</v>
      </c>
      <c r="B234" s="1">
        <v>46033</v>
      </c>
      <c r="C234" t="s">
        <v>20</v>
      </c>
      <c r="D234" t="s">
        <v>21</v>
      </c>
      <c r="E234" t="s">
        <v>120</v>
      </c>
      <c r="F234" t="s">
        <v>37</v>
      </c>
      <c r="G234" t="s">
        <v>45</v>
      </c>
      <c r="H234" t="s">
        <v>123</v>
      </c>
      <c r="I234" t="s">
        <v>527</v>
      </c>
      <c r="J234">
        <v>4</v>
      </c>
      <c r="K234" s="2">
        <v>4887.3100000000004</v>
      </c>
      <c r="L234">
        <v>20</v>
      </c>
      <c r="M234" s="2">
        <v>15639.39</v>
      </c>
      <c r="N234" s="2">
        <v>11716.53</v>
      </c>
      <c r="O234" s="2">
        <v>3922.86</v>
      </c>
      <c r="P234" t="s">
        <v>48</v>
      </c>
      <c r="Q234" t="s">
        <v>61</v>
      </c>
    </row>
    <row r="235" spans="1:17" x14ac:dyDescent="0.3">
      <c r="A235" t="s">
        <v>528</v>
      </c>
      <c r="B235" s="1">
        <v>45892</v>
      </c>
      <c r="C235" t="s">
        <v>20</v>
      </c>
      <c r="D235" t="s">
        <v>21</v>
      </c>
      <c r="E235" t="s">
        <v>113</v>
      </c>
      <c r="F235" t="s">
        <v>31</v>
      </c>
      <c r="G235" t="s">
        <v>45</v>
      </c>
      <c r="H235" t="s">
        <v>159</v>
      </c>
      <c r="I235" t="s">
        <v>529</v>
      </c>
      <c r="J235">
        <v>11</v>
      </c>
      <c r="K235" s="2">
        <v>1954.88</v>
      </c>
      <c r="L235">
        <v>15</v>
      </c>
      <c r="M235" s="2">
        <v>18278.13</v>
      </c>
      <c r="N235" s="2">
        <v>13154.45</v>
      </c>
      <c r="O235" s="2">
        <v>5123.68</v>
      </c>
      <c r="P235" t="s">
        <v>48</v>
      </c>
      <c r="Q235" t="s">
        <v>61</v>
      </c>
    </row>
    <row r="236" spans="1:17" x14ac:dyDescent="0.3">
      <c r="A236" t="s">
        <v>530</v>
      </c>
      <c r="B236" s="1">
        <v>45867</v>
      </c>
      <c r="C236" t="s">
        <v>35</v>
      </c>
      <c r="D236" t="s">
        <v>36</v>
      </c>
      <c r="E236" t="s">
        <v>66</v>
      </c>
      <c r="F236" t="s">
        <v>23</v>
      </c>
      <c r="G236" t="s">
        <v>45</v>
      </c>
      <c r="H236" t="s">
        <v>52</v>
      </c>
      <c r="I236" t="s">
        <v>531</v>
      </c>
      <c r="J236">
        <v>5</v>
      </c>
      <c r="K236" s="2">
        <v>3322.7</v>
      </c>
      <c r="L236">
        <v>10</v>
      </c>
      <c r="M236" s="2">
        <v>14952.15</v>
      </c>
      <c r="N236" s="2">
        <v>8508.66</v>
      </c>
      <c r="O236" s="2">
        <v>6443.49</v>
      </c>
      <c r="P236" t="s">
        <v>48</v>
      </c>
      <c r="Q236" t="s">
        <v>49</v>
      </c>
    </row>
    <row r="237" spans="1:17" x14ac:dyDescent="0.3">
      <c r="A237" t="s">
        <v>532</v>
      </c>
      <c r="B237" s="1">
        <v>45908</v>
      </c>
      <c r="C237" t="s">
        <v>86</v>
      </c>
      <c r="D237" t="s">
        <v>87</v>
      </c>
      <c r="E237" t="s">
        <v>66</v>
      </c>
      <c r="F237" t="s">
        <v>31</v>
      </c>
      <c r="G237" t="s">
        <v>24</v>
      </c>
      <c r="H237" t="s">
        <v>134</v>
      </c>
      <c r="I237" t="s">
        <v>533</v>
      </c>
      <c r="J237">
        <v>6</v>
      </c>
      <c r="K237" s="2">
        <v>1615.87</v>
      </c>
      <c r="L237">
        <v>15</v>
      </c>
      <c r="M237" s="2">
        <v>8240.94</v>
      </c>
      <c r="N237" s="2">
        <v>6587.44</v>
      </c>
      <c r="O237" s="2">
        <v>1653.5</v>
      </c>
      <c r="P237" t="s">
        <v>41</v>
      </c>
      <c r="Q237" t="s">
        <v>61</v>
      </c>
    </row>
    <row r="238" spans="1:17" x14ac:dyDescent="0.3">
      <c r="A238" t="s">
        <v>534</v>
      </c>
      <c r="B238" s="1">
        <v>45937</v>
      </c>
      <c r="C238" t="s">
        <v>70</v>
      </c>
      <c r="D238" t="s">
        <v>71</v>
      </c>
      <c r="E238" t="s">
        <v>51</v>
      </c>
      <c r="F238" t="s">
        <v>37</v>
      </c>
      <c r="G238" t="s">
        <v>45</v>
      </c>
      <c r="H238" t="s">
        <v>67</v>
      </c>
      <c r="I238" t="s">
        <v>535</v>
      </c>
      <c r="J238">
        <v>15</v>
      </c>
      <c r="K238" s="2">
        <v>999.13</v>
      </c>
      <c r="L238">
        <v>0</v>
      </c>
      <c r="M238" s="2">
        <v>14986.95</v>
      </c>
      <c r="N238" s="2">
        <v>11987.02</v>
      </c>
      <c r="O238" s="2">
        <v>2999.93</v>
      </c>
      <c r="P238" t="s">
        <v>27</v>
      </c>
      <c r="Q238" t="s">
        <v>49</v>
      </c>
    </row>
    <row r="239" spans="1:17" x14ac:dyDescent="0.3">
      <c r="A239" t="s">
        <v>536</v>
      </c>
      <c r="B239" s="1">
        <v>45672</v>
      </c>
      <c r="C239" t="s">
        <v>70</v>
      </c>
      <c r="D239" t="s">
        <v>71</v>
      </c>
      <c r="E239" t="s">
        <v>113</v>
      </c>
      <c r="F239" t="s">
        <v>23</v>
      </c>
      <c r="G239" t="s">
        <v>24</v>
      </c>
      <c r="H239" t="s">
        <v>171</v>
      </c>
      <c r="I239" t="s">
        <v>537</v>
      </c>
      <c r="J239">
        <v>11</v>
      </c>
      <c r="K239" s="2">
        <v>2749.41</v>
      </c>
      <c r="L239">
        <v>20</v>
      </c>
      <c r="M239" s="2">
        <v>24194.81</v>
      </c>
      <c r="N239" s="2">
        <v>14447.7</v>
      </c>
      <c r="O239" s="2">
        <v>9747.11</v>
      </c>
      <c r="P239" t="s">
        <v>48</v>
      </c>
      <c r="Q239" t="s">
        <v>49</v>
      </c>
    </row>
    <row r="240" spans="1:17" x14ac:dyDescent="0.3">
      <c r="A240" t="s">
        <v>538</v>
      </c>
      <c r="B240" s="1">
        <v>45853</v>
      </c>
      <c r="C240" t="s">
        <v>20</v>
      </c>
      <c r="D240" t="s">
        <v>21</v>
      </c>
      <c r="E240" t="s">
        <v>44</v>
      </c>
      <c r="F240" t="s">
        <v>23</v>
      </c>
      <c r="G240" t="s">
        <v>24</v>
      </c>
      <c r="H240" t="s">
        <v>25</v>
      </c>
      <c r="I240" t="s">
        <v>539</v>
      </c>
      <c r="J240">
        <v>11</v>
      </c>
      <c r="K240" s="2">
        <v>4362.0600000000004</v>
      </c>
      <c r="L240">
        <v>5</v>
      </c>
      <c r="M240" s="2">
        <v>45583.53</v>
      </c>
      <c r="N240" s="2">
        <v>34684.980000000003</v>
      </c>
      <c r="O240" s="2">
        <v>10898.55</v>
      </c>
      <c r="P240" t="s">
        <v>48</v>
      </c>
      <c r="Q240" t="s">
        <v>49</v>
      </c>
    </row>
    <row r="241" spans="1:17" x14ac:dyDescent="0.3">
      <c r="A241" t="s">
        <v>540</v>
      </c>
      <c r="B241" s="1">
        <v>46086</v>
      </c>
      <c r="C241" t="s">
        <v>86</v>
      </c>
      <c r="D241" t="s">
        <v>90</v>
      </c>
      <c r="E241" t="s">
        <v>66</v>
      </c>
      <c r="F241" t="s">
        <v>23</v>
      </c>
      <c r="G241" t="s">
        <v>45</v>
      </c>
      <c r="H241" t="s">
        <v>159</v>
      </c>
      <c r="I241" t="s">
        <v>541</v>
      </c>
      <c r="J241">
        <v>6</v>
      </c>
      <c r="K241" s="2">
        <v>1311.11</v>
      </c>
      <c r="L241">
        <v>15</v>
      </c>
      <c r="M241" s="2">
        <v>6686.66</v>
      </c>
      <c r="N241" s="2">
        <v>5044.9799999999996</v>
      </c>
      <c r="O241" s="2">
        <v>1641.68</v>
      </c>
      <c r="P241" t="s">
        <v>41</v>
      </c>
      <c r="Q241" t="s">
        <v>49</v>
      </c>
    </row>
    <row r="242" spans="1:17" x14ac:dyDescent="0.3">
      <c r="A242" t="s">
        <v>542</v>
      </c>
      <c r="B242" s="1">
        <v>46142</v>
      </c>
      <c r="C242" t="s">
        <v>86</v>
      </c>
      <c r="D242" t="s">
        <v>90</v>
      </c>
      <c r="E242" t="s">
        <v>66</v>
      </c>
      <c r="F242" t="s">
        <v>31</v>
      </c>
      <c r="G242" t="s">
        <v>24</v>
      </c>
      <c r="H242" t="s">
        <v>25</v>
      </c>
      <c r="I242" t="s">
        <v>543</v>
      </c>
      <c r="J242">
        <v>15</v>
      </c>
      <c r="K242" s="2">
        <v>712.93</v>
      </c>
      <c r="L242">
        <v>20</v>
      </c>
      <c r="M242" s="2">
        <v>8555.16</v>
      </c>
      <c r="N242" s="2">
        <v>6895.97</v>
      </c>
      <c r="O242" s="2">
        <v>1659.19</v>
      </c>
      <c r="P242" t="s">
        <v>41</v>
      </c>
      <c r="Q242" t="s">
        <v>28</v>
      </c>
    </row>
    <row r="243" spans="1:17" x14ac:dyDescent="0.3">
      <c r="A243" t="s">
        <v>544</v>
      </c>
      <c r="B243" s="1">
        <v>46095</v>
      </c>
      <c r="C243" t="s">
        <v>20</v>
      </c>
      <c r="D243" t="s">
        <v>21</v>
      </c>
      <c r="E243" t="s">
        <v>30</v>
      </c>
      <c r="F243" t="s">
        <v>37</v>
      </c>
      <c r="G243" t="s">
        <v>24</v>
      </c>
      <c r="H243" t="s">
        <v>56</v>
      </c>
      <c r="I243" t="s">
        <v>545</v>
      </c>
      <c r="J243">
        <v>8</v>
      </c>
      <c r="K243" s="2">
        <v>1632.6</v>
      </c>
      <c r="L243">
        <v>5</v>
      </c>
      <c r="M243" s="2">
        <v>12407.76</v>
      </c>
      <c r="N243" s="2">
        <v>6845.68</v>
      </c>
      <c r="O243" s="2">
        <v>5562.08</v>
      </c>
      <c r="P243" t="s">
        <v>27</v>
      </c>
      <c r="Q243" t="s">
        <v>42</v>
      </c>
    </row>
    <row r="244" spans="1:17" x14ac:dyDescent="0.3">
      <c r="A244" t="s">
        <v>546</v>
      </c>
      <c r="B244" s="1">
        <v>45881</v>
      </c>
      <c r="C244" t="s">
        <v>70</v>
      </c>
      <c r="D244" t="s">
        <v>75</v>
      </c>
      <c r="E244" t="s">
        <v>51</v>
      </c>
      <c r="F244" t="s">
        <v>37</v>
      </c>
      <c r="G244" t="s">
        <v>24</v>
      </c>
      <c r="H244" t="s">
        <v>56</v>
      </c>
      <c r="I244" t="s">
        <v>547</v>
      </c>
      <c r="J244">
        <v>1</v>
      </c>
      <c r="K244" s="2">
        <v>2590.8000000000002</v>
      </c>
      <c r="L244">
        <v>5</v>
      </c>
      <c r="M244" s="2">
        <v>2461.2600000000002</v>
      </c>
      <c r="N244" s="2">
        <v>1461.18</v>
      </c>
      <c r="O244" s="2">
        <v>1000.08</v>
      </c>
      <c r="P244" t="s">
        <v>48</v>
      </c>
      <c r="Q244" t="s">
        <v>28</v>
      </c>
    </row>
    <row r="245" spans="1:17" x14ac:dyDescent="0.3">
      <c r="A245" t="s">
        <v>548</v>
      </c>
      <c r="B245" s="1">
        <v>45838</v>
      </c>
      <c r="C245" t="s">
        <v>20</v>
      </c>
      <c r="D245" t="s">
        <v>55</v>
      </c>
      <c r="E245" t="s">
        <v>120</v>
      </c>
      <c r="F245" t="s">
        <v>31</v>
      </c>
      <c r="G245" t="s">
        <v>38</v>
      </c>
      <c r="H245" t="s">
        <v>39</v>
      </c>
      <c r="I245" t="s">
        <v>549</v>
      </c>
      <c r="J245">
        <v>5</v>
      </c>
      <c r="K245" s="2">
        <v>828.27</v>
      </c>
      <c r="L245">
        <v>5</v>
      </c>
      <c r="M245" s="2">
        <v>3934.28</v>
      </c>
      <c r="N245" s="2">
        <v>2925.07</v>
      </c>
      <c r="O245" s="2">
        <v>1009.21</v>
      </c>
      <c r="P245" t="s">
        <v>27</v>
      </c>
      <c r="Q245" t="s">
        <v>61</v>
      </c>
    </row>
    <row r="246" spans="1:17" x14ac:dyDescent="0.3">
      <c r="A246" t="s">
        <v>550</v>
      </c>
      <c r="B246" s="1">
        <v>45821</v>
      </c>
      <c r="C246" t="s">
        <v>86</v>
      </c>
      <c r="D246" t="s">
        <v>90</v>
      </c>
      <c r="E246" t="s">
        <v>113</v>
      </c>
      <c r="F246" t="s">
        <v>23</v>
      </c>
      <c r="G246" t="s">
        <v>38</v>
      </c>
      <c r="H246" t="s">
        <v>63</v>
      </c>
      <c r="I246" t="s">
        <v>551</v>
      </c>
      <c r="J246">
        <v>11</v>
      </c>
      <c r="K246" s="2">
        <v>2093.09</v>
      </c>
      <c r="L246">
        <v>5</v>
      </c>
      <c r="M246" s="2">
        <v>21872.79</v>
      </c>
      <c r="N246" s="2">
        <v>14456.57</v>
      </c>
      <c r="O246" s="2">
        <v>7416.22</v>
      </c>
      <c r="P246" t="s">
        <v>48</v>
      </c>
      <c r="Q246" t="s">
        <v>28</v>
      </c>
    </row>
    <row r="247" spans="1:17" x14ac:dyDescent="0.3">
      <c r="A247" t="s">
        <v>552</v>
      </c>
      <c r="B247" s="1">
        <v>45855</v>
      </c>
      <c r="C247" t="s">
        <v>86</v>
      </c>
      <c r="D247" t="s">
        <v>90</v>
      </c>
      <c r="E247" t="s">
        <v>113</v>
      </c>
      <c r="F247" t="s">
        <v>37</v>
      </c>
      <c r="G247" t="s">
        <v>24</v>
      </c>
      <c r="H247" t="s">
        <v>134</v>
      </c>
      <c r="I247" t="s">
        <v>553</v>
      </c>
      <c r="J247">
        <v>5</v>
      </c>
      <c r="K247" s="2">
        <v>255.09</v>
      </c>
      <c r="L247">
        <v>10</v>
      </c>
      <c r="M247" s="2">
        <v>1147.9000000000001</v>
      </c>
      <c r="N247" s="2">
        <v>656.65</v>
      </c>
      <c r="O247" s="2">
        <v>491.25</v>
      </c>
      <c r="P247" t="s">
        <v>41</v>
      </c>
      <c r="Q247" t="s">
        <v>28</v>
      </c>
    </row>
    <row r="248" spans="1:17" x14ac:dyDescent="0.3">
      <c r="A248" t="s">
        <v>554</v>
      </c>
      <c r="B248" s="1">
        <v>46170</v>
      </c>
      <c r="C248" t="s">
        <v>35</v>
      </c>
      <c r="D248" t="s">
        <v>59</v>
      </c>
      <c r="E248" t="s">
        <v>66</v>
      </c>
      <c r="F248" t="s">
        <v>37</v>
      </c>
      <c r="G248" t="s">
        <v>24</v>
      </c>
      <c r="H248" t="s">
        <v>171</v>
      </c>
      <c r="I248" t="s">
        <v>555</v>
      </c>
      <c r="J248">
        <v>12</v>
      </c>
      <c r="K248" s="2">
        <v>3321.86</v>
      </c>
      <c r="L248">
        <v>10</v>
      </c>
      <c r="M248" s="2">
        <v>35876.089999999997</v>
      </c>
      <c r="N248" s="2">
        <v>24153.65</v>
      </c>
      <c r="O248" s="2">
        <v>11722.44</v>
      </c>
      <c r="P248" t="s">
        <v>41</v>
      </c>
      <c r="Q248" t="s">
        <v>61</v>
      </c>
    </row>
    <row r="249" spans="1:17" x14ac:dyDescent="0.3">
      <c r="A249" t="s">
        <v>556</v>
      </c>
      <c r="B249" s="1">
        <v>45748</v>
      </c>
      <c r="C249" t="s">
        <v>35</v>
      </c>
      <c r="D249" t="s">
        <v>36</v>
      </c>
      <c r="E249" t="s">
        <v>51</v>
      </c>
      <c r="F249" t="s">
        <v>37</v>
      </c>
      <c r="G249" t="s">
        <v>45</v>
      </c>
      <c r="H249" t="s">
        <v>67</v>
      </c>
      <c r="I249" t="s">
        <v>557</v>
      </c>
      <c r="J249">
        <v>1</v>
      </c>
      <c r="K249" s="2">
        <v>1558.26</v>
      </c>
      <c r="L249">
        <v>10</v>
      </c>
      <c r="M249" s="2">
        <v>1402.43</v>
      </c>
      <c r="N249" s="2">
        <v>1071.29</v>
      </c>
      <c r="O249" s="2">
        <v>331.14</v>
      </c>
      <c r="P249" t="s">
        <v>27</v>
      </c>
      <c r="Q249" t="s">
        <v>42</v>
      </c>
    </row>
    <row r="250" spans="1:17" x14ac:dyDescent="0.3">
      <c r="A250" t="s">
        <v>558</v>
      </c>
      <c r="B250" s="1">
        <v>45713</v>
      </c>
      <c r="C250" t="s">
        <v>70</v>
      </c>
      <c r="D250" t="s">
        <v>71</v>
      </c>
      <c r="E250" t="s">
        <v>30</v>
      </c>
      <c r="F250" t="s">
        <v>23</v>
      </c>
      <c r="G250" t="s">
        <v>24</v>
      </c>
      <c r="H250" t="s">
        <v>134</v>
      </c>
      <c r="I250" t="s">
        <v>559</v>
      </c>
      <c r="J250">
        <v>3</v>
      </c>
      <c r="K250" s="2">
        <v>1582.16</v>
      </c>
      <c r="L250">
        <v>5</v>
      </c>
      <c r="M250" s="2">
        <v>4509.16</v>
      </c>
      <c r="N250" s="2">
        <v>2949.09</v>
      </c>
      <c r="O250" s="2">
        <v>1560.07</v>
      </c>
      <c r="P250" t="s">
        <v>41</v>
      </c>
      <c r="Q250" t="s">
        <v>42</v>
      </c>
    </row>
    <row r="251" spans="1:17" x14ac:dyDescent="0.3">
      <c r="A251" t="s">
        <v>560</v>
      </c>
      <c r="B251" s="1">
        <v>45808</v>
      </c>
      <c r="C251" t="s">
        <v>20</v>
      </c>
      <c r="D251" t="s">
        <v>55</v>
      </c>
      <c r="E251" t="s">
        <v>51</v>
      </c>
      <c r="F251" t="s">
        <v>23</v>
      </c>
      <c r="G251" t="s">
        <v>38</v>
      </c>
      <c r="H251" t="s">
        <v>106</v>
      </c>
      <c r="I251" t="s">
        <v>561</v>
      </c>
      <c r="J251">
        <v>11</v>
      </c>
      <c r="K251" s="2">
        <v>916.19</v>
      </c>
      <c r="L251">
        <v>20</v>
      </c>
      <c r="M251" s="2">
        <v>8062.47</v>
      </c>
      <c r="N251" s="2">
        <v>4575.34</v>
      </c>
      <c r="O251" s="2">
        <v>3487.13</v>
      </c>
      <c r="P251" t="s">
        <v>27</v>
      </c>
      <c r="Q251" t="s">
        <v>49</v>
      </c>
    </row>
    <row r="252" spans="1:17" x14ac:dyDescent="0.3">
      <c r="A252" t="s">
        <v>562</v>
      </c>
      <c r="B252" s="1">
        <v>45877</v>
      </c>
      <c r="C252" t="s">
        <v>86</v>
      </c>
      <c r="D252" t="s">
        <v>90</v>
      </c>
      <c r="E252" t="s">
        <v>170</v>
      </c>
      <c r="F252" t="s">
        <v>23</v>
      </c>
      <c r="G252" t="s">
        <v>24</v>
      </c>
      <c r="H252" t="s">
        <v>56</v>
      </c>
      <c r="I252" t="s">
        <v>563</v>
      </c>
      <c r="J252">
        <v>15</v>
      </c>
      <c r="K252" s="2">
        <v>1756.39</v>
      </c>
      <c r="L252">
        <v>20</v>
      </c>
      <c r="M252" s="2">
        <v>21076.68</v>
      </c>
      <c r="N252" s="2">
        <v>15047.08</v>
      </c>
      <c r="O252" s="2">
        <v>6029.6</v>
      </c>
      <c r="P252" t="s">
        <v>48</v>
      </c>
      <c r="Q252" t="s">
        <v>49</v>
      </c>
    </row>
    <row r="253" spans="1:17" x14ac:dyDescent="0.3">
      <c r="A253" t="s">
        <v>564</v>
      </c>
      <c r="B253" s="1">
        <v>46156</v>
      </c>
      <c r="C253" t="s">
        <v>20</v>
      </c>
      <c r="D253" t="s">
        <v>55</v>
      </c>
      <c r="E253" t="s">
        <v>113</v>
      </c>
      <c r="F253" t="s">
        <v>23</v>
      </c>
      <c r="G253" t="s">
        <v>24</v>
      </c>
      <c r="H253" t="s">
        <v>134</v>
      </c>
      <c r="I253" t="s">
        <v>565</v>
      </c>
      <c r="J253">
        <v>3</v>
      </c>
      <c r="K253" s="2">
        <v>3448.05</v>
      </c>
      <c r="L253">
        <v>15</v>
      </c>
      <c r="M253" s="2">
        <v>8792.5300000000007</v>
      </c>
      <c r="N253" s="2">
        <v>7025.48</v>
      </c>
      <c r="O253" s="2">
        <v>1767.05</v>
      </c>
      <c r="P253" t="s">
        <v>41</v>
      </c>
      <c r="Q253" t="s">
        <v>49</v>
      </c>
    </row>
    <row r="254" spans="1:17" x14ac:dyDescent="0.3">
      <c r="A254" t="s">
        <v>566</v>
      </c>
      <c r="B254" s="1">
        <v>45716</v>
      </c>
      <c r="C254" t="s">
        <v>70</v>
      </c>
      <c r="D254" t="s">
        <v>75</v>
      </c>
      <c r="E254" t="s">
        <v>51</v>
      </c>
      <c r="F254" t="s">
        <v>31</v>
      </c>
      <c r="G254" t="s">
        <v>24</v>
      </c>
      <c r="H254" t="s">
        <v>134</v>
      </c>
      <c r="I254" t="s">
        <v>567</v>
      </c>
      <c r="J254">
        <v>13</v>
      </c>
      <c r="K254" s="2">
        <v>4042.83</v>
      </c>
      <c r="L254">
        <v>5</v>
      </c>
      <c r="M254" s="2">
        <v>49928.95</v>
      </c>
      <c r="N254" s="2">
        <v>35009.53</v>
      </c>
      <c r="O254" s="2">
        <v>14919.42</v>
      </c>
      <c r="P254" t="s">
        <v>41</v>
      </c>
      <c r="Q254" t="s">
        <v>61</v>
      </c>
    </row>
    <row r="255" spans="1:17" x14ac:dyDescent="0.3">
      <c r="A255" t="s">
        <v>568</v>
      </c>
      <c r="B255" s="1">
        <v>45895</v>
      </c>
      <c r="C255" t="s">
        <v>86</v>
      </c>
      <c r="D255" t="s">
        <v>87</v>
      </c>
      <c r="E255" t="s">
        <v>22</v>
      </c>
      <c r="F255" t="s">
        <v>31</v>
      </c>
      <c r="G255" t="s">
        <v>45</v>
      </c>
      <c r="H255" t="s">
        <v>46</v>
      </c>
      <c r="I255" t="s">
        <v>569</v>
      </c>
      <c r="J255">
        <v>5</v>
      </c>
      <c r="K255" s="2">
        <v>4978.3</v>
      </c>
      <c r="L255">
        <v>5</v>
      </c>
      <c r="M255" s="2">
        <v>23646.92</v>
      </c>
      <c r="N255" s="2">
        <v>18809.23</v>
      </c>
      <c r="O255" s="2">
        <v>4837.6899999999996</v>
      </c>
      <c r="P255" t="s">
        <v>27</v>
      </c>
      <c r="Q255" t="s">
        <v>42</v>
      </c>
    </row>
    <row r="256" spans="1:17" x14ac:dyDescent="0.3">
      <c r="A256" t="s">
        <v>570</v>
      </c>
      <c r="B256" s="1">
        <v>45712</v>
      </c>
      <c r="C256" t="s">
        <v>86</v>
      </c>
      <c r="D256" t="s">
        <v>90</v>
      </c>
      <c r="E256" t="s">
        <v>22</v>
      </c>
      <c r="F256" t="s">
        <v>23</v>
      </c>
      <c r="G256" t="s">
        <v>24</v>
      </c>
      <c r="H256" t="s">
        <v>25</v>
      </c>
      <c r="I256" t="s">
        <v>571</v>
      </c>
      <c r="J256">
        <v>9</v>
      </c>
      <c r="K256" s="2">
        <v>4269.3</v>
      </c>
      <c r="L256">
        <v>0</v>
      </c>
      <c r="M256" s="2">
        <v>38423.699999999997</v>
      </c>
      <c r="N256" s="2">
        <v>23151.26</v>
      </c>
      <c r="O256" s="2">
        <v>15272.44</v>
      </c>
      <c r="P256" t="s">
        <v>41</v>
      </c>
      <c r="Q256" t="s">
        <v>61</v>
      </c>
    </row>
    <row r="257" spans="1:17" x14ac:dyDescent="0.3">
      <c r="A257" t="s">
        <v>572</v>
      </c>
      <c r="B257" s="1">
        <v>46031</v>
      </c>
      <c r="C257" t="s">
        <v>20</v>
      </c>
      <c r="D257" t="s">
        <v>55</v>
      </c>
      <c r="E257" t="s">
        <v>22</v>
      </c>
      <c r="F257" t="s">
        <v>23</v>
      </c>
      <c r="G257" t="s">
        <v>24</v>
      </c>
      <c r="H257" t="s">
        <v>171</v>
      </c>
      <c r="I257" t="s">
        <v>573</v>
      </c>
      <c r="J257">
        <v>7</v>
      </c>
      <c r="K257" s="2">
        <v>2350.75</v>
      </c>
      <c r="L257">
        <v>15</v>
      </c>
      <c r="M257" s="2">
        <v>13986.96</v>
      </c>
      <c r="N257" s="2">
        <v>8060.99</v>
      </c>
      <c r="O257" s="2">
        <v>5925.97</v>
      </c>
      <c r="P257" t="s">
        <v>41</v>
      </c>
      <c r="Q257" t="s">
        <v>49</v>
      </c>
    </row>
    <row r="258" spans="1:17" x14ac:dyDescent="0.3">
      <c r="A258" t="s">
        <v>574</v>
      </c>
      <c r="B258" s="1">
        <v>45757</v>
      </c>
      <c r="C258" t="s">
        <v>35</v>
      </c>
      <c r="D258" t="s">
        <v>36</v>
      </c>
      <c r="E258" t="s">
        <v>51</v>
      </c>
      <c r="F258" t="s">
        <v>37</v>
      </c>
      <c r="G258" t="s">
        <v>38</v>
      </c>
      <c r="H258" t="s">
        <v>39</v>
      </c>
      <c r="I258" t="s">
        <v>575</v>
      </c>
      <c r="J258">
        <v>3</v>
      </c>
      <c r="K258" s="2">
        <v>4293.8999999999996</v>
      </c>
      <c r="L258">
        <v>0</v>
      </c>
      <c r="M258" s="2">
        <v>12881.7</v>
      </c>
      <c r="N258" s="2">
        <v>10189.49</v>
      </c>
      <c r="O258" s="2">
        <v>2692.21</v>
      </c>
      <c r="P258" t="s">
        <v>48</v>
      </c>
      <c r="Q258" t="s">
        <v>28</v>
      </c>
    </row>
    <row r="259" spans="1:17" x14ac:dyDescent="0.3">
      <c r="A259" t="s">
        <v>576</v>
      </c>
      <c r="B259" s="1">
        <v>46197</v>
      </c>
      <c r="C259" t="s">
        <v>86</v>
      </c>
      <c r="D259" t="s">
        <v>90</v>
      </c>
      <c r="E259" t="s">
        <v>120</v>
      </c>
      <c r="F259" t="s">
        <v>37</v>
      </c>
      <c r="G259" t="s">
        <v>45</v>
      </c>
      <c r="H259" t="s">
        <v>46</v>
      </c>
      <c r="I259" t="s">
        <v>577</v>
      </c>
      <c r="J259">
        <v>14</v>
      </c>
      <c r="K259" s="2">
        <v>4101.22</v>
      </c>
      <c r="L259">
        <v>20</v>
      </c>
      <c r="M259" s="2">
        <v>45933.66</v>
      </c>
      <c r="N259" s="2">
        <v>36696.51</v>
      </c>
      <c r="O259" s="2">
        <v>9237.15</v>
      </c>
      <c r="P259" t="s">
        <v>41</v>
      </c>
      <c r="Q259" t="s">
        <v>61</v>
      </c>
    </row>
    <row r="260" spans="1:17" x14ac:dyDescent="0.3">
      <c r="A260" t="s">
        <v>578</v>
      </c>
      <c r="B260" s="1">
        <v>46035</v>
      </c>
      <c r="C260" t="s">
        <v>20</v>
      </c>
      <c r="D260" t="s">
        <v>55</v>
      </c>
      <c r="E260" t="s">
        <v>44</v>
      </c>
      <c r="F260" t="s">
        <v>31</v>
      </c>
      <c r="G260" t="s">
        <v>38</v>
      </c>
      <c r="H260" t="s">
        <v>39</v>
      </c>
      <c r="I260" t="s">
        <v>579</v>
      </c>
      <c r="J260">
        <v>2</v>
      </c>
      <c r="K260" s="2">
        <v>2138.1</v>
      </c>
      <c r="L260">
        <v>0</v>
      </c>
      <c r="M260" s="2">
        <v>4276.2</v>
      </c>
      <c r="N260" s="2">
        <v>2356.13</v>
      </c>
      <c r="O260" s="2">
        <v>1920.07</v>
      </c>
      <c r="P260" t="s">
        <v>41</v>
      </c>
      <c r="Q260" t="s">
        <v>42</v>
      </c>
    </row>
    <row r="261" spans="1:17" x14ac:dyDescent="0.3">
      <c r="A261" t="s">
        <v>580</v>
      </c>
      <c r="B261" s="1">
        <v>45720</v>
      </c>
      <c r="C261" t="s">
        <v>86</v>
      </c>
      <c r="D261" t="s">
        <v>90</v>
      </c>
      <c r="E261" t="s">
        <v>113</v>
      </c>
      <c r="F261" t="s">
        <v>31</v>
      </c>
      <c r="G261" t="s">
        <v>38</v>
      </c>
      <c r="H261" t="s">
        <v>72</v>
      </c>
      <c r="I261" t="s">
        <v>205</v>
      </c>
      <c r="J261">
        <v>2</v>
      </c>
      <c r="K261" s="2">
        <v>2993.46</v>
      </c>
      <c r="L261">
        <v>5</v>
      </c>
      <c r="M261" s="2">
        <v>5687.57</v>
      </c>
      <c r="N261" s="2">
        <v>3934.58</v>
      </c>
      <c r="O261" s="2">
        <v>1752.99</v>
      </c>
      <c r="P261" t="s">
        <v>41</v>
      </c>
      <c r="Q261" t="s">
        <v>61</v>
      </c>
    </row>
    <row r="262" spans="1:17" x14ac:dyDescent="0.3">
      <c r="A262" t="s">
        <v>581</v>
      </c>
      <c r="B262" s="1">
        <v>45887</v>
      </c>
      <c r="C262" t="s">
        <v>35</v>
      </c>
      <c r="D262" t="s">
        <v>36</v>
      </c>
      <c r="E262" t="s">
        <v>22</v>
      </c>
      <c r="F262" t="s">
        <v>37</v>
      </c>
      <c r="G262" t="s">
        <v>24</v>
      </c>
      <c r="H262" t="s">
        <v>134</v>
      </c>
      <c r="I262" t="s">
        <v>582</v>
      </c>
      <c r="J262">
        <v>3</v>
      </c>
      <c r="K262" s="2">
        <v>4162.84</v>
      </c>
      <c r="L262">
        <v>15</v>
      </c>
      <c r="M262" s="2">
        <v>10615.24</v>
      </c>
      <c r="N262" s="2">
        <v>5875.23</v>
      </c>
      <c r="O262" s="2">
        <v>4740.01</v>
      </c>
      <c r="P262" t="s">
        <v>48</v>
      </c>
      <c r="Q262" t="s">
        <v>61</v>
      </c>
    </row>
    <row r="263" spans="1:17" x14ac:dyDescent="0.3">
      <c r="A263" t="s">
        <v>583</v>
      </c>
      <c r="B263" s="1">
        <v>45945</v>
      </c>
      <c r="C263" t="s">
        <v>86</v>
      </c>
      <c r="D263" t="s">
        <v>90</v>
      </c>
      <c r="E263" t="s">
        <v>170</v>
      </c>
      <c r="F263" t="s">
        <v>23</v>
      </c>
      <c r="G263" t="s">
        <v>24</v>
      </c>
      <c r="H263" t="s">
        <v>25</v>
      </c>
      <c r="I263" t="s">
        <v>584</v>
      </c>
      <c r="J263">
        <v>10</v>
      </c>
      <c r="K263" s="2">
        <v>4517.17</v>
      </c>
      <c r="L263">
        <v>0</v>
      </c>
      <c r="M263" s="2">
        <v>45171.7</v>
      </c>
      <c r="N263" s="2">
        <v>26693.53</v>
      </c>
      <c r="O263" s="2">
        <v>18478.169999999998</v>
      </c>
      <c r="P263" t="s">
        <v>41</v>
      </c>
      <c r="Q263" t="s">
        <v>28</v>
      </c>
    </row>
    <row r="264" spans="1:17" x14ac:dyDescent="0.3">
      <c r="A264" t="s">
        <v>585</v>
      </c>
      <c r="B264" s="1">
        <v>45993</v>
      </c>
      <c r="C264" t="s">
        <v>70</v>
      </c>
      <c r="D264" t="s">
        <v>75</v>
      </c>
      <c r="E264" t="s">
        <v>113</v>
      </c>
      <c r="F264" t="s">
        <v>31</v>
      </c>
      <c r="G264" t="s">
        <v>24</v>
      </c>
      <c r="H264" t="s">
        <v>25</v>
      </c>
      <c r="I264" t="s">
        <v>586</v>
      </c>
      <c r="J264">
        <v>4</v>
      </c>
      <c r="K264" s="2">
        <v>2391.31</v>
      </c>
      <c r="L264">
        <v>5</v>
      </c>
      <c r="M264" s="2">
        <v>9086.98</v>
      </c>
      <c r="N264" s="2">
        <v>5402.06</v>
      </c>
      <c r="O264" s="2">
        <v>3684.92</v>
      </c>
      <c r="P264" t="s">
        <v>27</v>
      </c>
      <c r="Q264" t="s">
        <v>61</v>
      </c>
    </row>
    <row r="265" spans="1:17" x14ac:dyDescent="0.3">
      <c r="A265" t="s">
        <v>587</v>
      </c>
      <c r="B265" s="1">
        <v>46072</v>
      </c>
      <c r="C265" t="s">
        <v>35</v>
      </c>
      <c r="D265" t="s">
        <v>36</v>
      </c>
      <c r="E265" t="s">
        <v>44</v>
      </c>
      <c r="F265" t="s">
        <v>23</v>
      </c>
      <c r="G265" t="s">
        <v>45</v>
      </c>
      <c r="H265" t="s">
        <v>46</v>
      </c>
      <c r="I265" t="s">
        <v>588</v>
      </c>
      <c r="J265">
        <v>12</v>
      </c>
      <c r="K265" s="2">
        <v>2905.2</v>
      </c>
      <c r="L265">
        <v>20</v>
      </c>
      <c r="M265" s="2">
        <v>27889.919999999998</v>
      </c>
      <c r="N265" s="2">
        <v>15955.59</v>
      </c>
      <c r="O265" s="2">
        <v>11934.33</v>
      </c>
      <c r="P265" t="s">
        <v>41</v>
      </c>
      <c r="Q265" t="s">
        <v>49</v>
      </c>
    </row>
    <row r="266" spans="1:17" x14ac:dyDescent="0.3">
      <c r="A266" t="s">
        <v>589</v>
      </c>
      <c r="B266" s="1">
        <v>45951</v>
      </c>
      <c r="C266" t="s">
        <v>70</v>
      </c>
      <c r="D266" t="s">
        <v>71</v>
      </c>
      <c r="E266" t="s">
        <v>113</v>
      </c>
      <c r="F266" t="s">
        <v>31</v>
      </c>
      <c r="G266" t="s">
        <v>24</v>
      </c>
      <c r="H266" t="s">
        <v>32</v>
      </c>
      <c r="I266" t="s">
        <v>590</v>
      </c>
      <c r="J266">
        <v>7</v>
      </c>
      <c r="K266" s="2">
        <v>513.6</v>
      </c>
      <c r="L266">
        <v>15</v>
      </c>
      <c r="M266" s="2">
        <v>3055.92</v>
      </c>
      <c r="N266" s="2">
        <v>1692.31</v>
      </c>
      <c r="O266" s="2">
        <v>1363.61</v>
      </c>
      <c r="P266" t="s">
        <v>41</v>
      </c>
      <c r="Q266" t="s">
        <v>49</v>
      </c>
    </row>
    <row r="267" spans="1:17" x14ac:dyDescent="0.3">
      <c r="A267" t="s">
        <v>591</v>
      </c>
      <c r="B267" s="1">
        <v>45719</v>
      </c>
      <c r="C267" t="s">
        <v>86</v>
      </c>
      <c r="D267" t="s">
        <v>87</v>
      </c>
      <c r="E267" t="s">
        <v>22</v>
      </c>
      <c r="F267" t="s">
        <v>23</v>
      </c>
      <c r="G267" t="s">
        <v>45</v>
      </c>
      <c r="H267" t="s">
        <v>123</v>
      </c>
      <c r="I267" t="s">
        <v>592</v>
      </c>
      <c r="J267">
        <v>4</v>
      </c>
      <c r="K267" s="2">
        <v>1633.37</v>
      </c>
      <c r="L267">
        <v>10</v>
      </c>
      <c r="M267" s="2">
        <v>5880.13</v>
      </c>
      <c r="N267" s="2">
        <v>4276.92</v>
      </c>
      <c r="O267" s="2">
        <v>1603.21</v>
      </c>
      <c r="P267" t="s">
        <v>41</v>
      </c>
      <c r="Q267" t="s">
        <v>28</v>
      </c>
    </row>
    <row r="268" spans="1:17" x14ac:dyDescent="0.3">
      <c r="A268" t="s">
        <v>593</v>
      </c>
      <c r="B268" s="1">
        <v>46132</v>
      </c>
      <c r="C268" t="s">
        <v>86</v>
      </c>
      <c r="D268" t="s">
        <v>90</v>
      </c>
      <c r="E268" t="s">
        <v>113</v>
      </c>
      <c r="F268" t="s">
        <v>37</v>
      </c>
      <c r="G268" t="s">
        <v>45</v>
      </c>
      <c r="H268" t="s">
        <v>67</v>
      </c>
      <c r="I268" t="s">
        <v>594</v>
      </c>
      <c r="J268">
        <v>3</v>
      </c>
      <c r="K268" s="2">
        <v>2627.11</v>
      </c>
      <c r="L268">
        <v>5</v>
      </c>
      <c r="M268" s="2">
        <v>7487.26</v>
      </c>
      <c r="N268" s="2">
        <v>5184.57</v>
      </c>
      <c r="O268" s="2">
        <v>2302.69</v>
      </c>
      <c r="P268" t="s">
        <v>27</v>
      </c>
      <c r="Q268" t="s">
        <v>42</v>
      </c>
    </row>
    <row r="269" spans="1:17" x14ac:dyDescent="0.3">
      <c r="A269" t="s">
        <v>595</v>
      </c>
      <c r="B269" s="1">
        <v>45767</v>
      </c>
      <c r="C269" t="s">
        <v>20</v>
      </c>
      <c r="D269" t="s">
        <v>21</v>
      </c>
      <c r="E269" t="s">
        <v>120</v>
      </c>
      <c r="F269" t="s">
        <v>23</v>
      </c>
      <c r="G269" t="s">
        <v>24</v>
      </c>
      <c r="H269" t="s">
        <v>56</v>
      </c>
      <c r="I269" t="s">
        <v>596</v>
      </c>
      <c r="J269">
        <v>15</v>
      </c>
      <c r="K269" s="2">
        <v>3089.09</v>
      </c>
      <c r="L269">
        <v>5</v>
      </c>
      <c r="M269" s="2">
        <v>44019.53</v>
      </c>
      <c r="N269" s="2">
        <v>24950.04</v>
      </c>
      <c r="O269" s="2">
        <v>19069.490000000002</v>
      </c>
      <c r="P269" t="s">
        <v>27</v>
      </c>
      <c r="Q269" t="s">
        <v>49</v>
      </c>
    </row>
    <row r="270" spans="1:17" x14ac:dyDescent="0.3">
      <c r="A270" t="s">
        <v>597</v>
      </c>
      <c r="B270" s="1">
        <v>45797</v>
      </c>
      <c r="C270" t="s">
        <v>20</v>
      </c>
      <c r="D270" t="s">
        <v>55</v>
      </c>
      <c r="E270" t="s">
        <v>51</v>
      </c>
      <c r="F270" t="s">
        <v>23</v>
      </c>
      <c r="G270" t="s">
        <v>24</v>
      </c>
      <c r="H270" t="s">
        <v>56</v>
      </c>
      <c r="I270" t="s">
        <v>598</v>
      </c>
      <c r="J270">
        <v>7</v>
      </c>
      <c r="K270" s="2">
        <v>4116.8</v>
      </c>
      <c r="L270">
        <v>10</v>
      </c>
      <c r="M270" s="2">
        <v>25935.84</v>
      </c>
      <c r="N270" s="2">
        <v>17956.63</v>
      </c>
      <c r="O270" s="2">
        <v>7979.21</v>
      </c>
      <c r="P270" t="s">
        <v>48</v>
      </c>
      <c r="Q270" t="s">
        <v>42</v>
      </c>
    </row>
    <row r="271" spans="1:17" x14ac:dyDescent="0.3">
      <c r="A271" t="s">
        <v>599</v>
      </c>
      <c r="B271" s="1">
        <v>45711</v>
      </c>
      <c r="C271" t="s">
        <v>35</v>
      </c>
      <c r="D271" t="s">
        <v>59</v>
      </c>
      <c r="E271" t="s">
        <v>22</v>
      </c>
      <c r="F271" t="s">
        <v>31</v>
      </c>
      <c r="G271" t="s">
        <v>38</v>
      </c>
      <c r="H271" t="s">
        <v>72</v>
      </c>
      <c r="I271" t="s">
        <v>600</v>
      </c>
      <c r="J271">
        <v>11</v>
      </c>
      <c r="K271" s="2">
        <v>2425.1799999999998</v>
      </c>
      <c r="L271">
        <v>10</v>
      </c>
      <c r="M271" s="2">
        <v>24009.279999999999</v>
      </c>
      <c r="N271" s="2">
        <v>16234.45</v>
      </c>
      <c r="O271" s="2">
        <v>7774.83</v>
      </c>
      <c r="P271" t="s">
        <v>48</v>
      </c>
      <c r="Q271" t="s">
        <v>49</v>
      </c>
    </row>
    <row r="272" spans="1:17" x14ac:dyDescent="0.3">
      <c r="A272" t="s">
        <v>601</v>
      </c>
      <c r="B272" s="1">
        <v>46186</v>
      </c>
      <c r="C272" t="s">
        <v>20</v>
      </c>
      <c r="D272" t="s">
        <v>21</v>
      </c>
      <c r="E272" t="s">
        <v>66</v>
      </c>
      <c r="F272" t="s">
        <v>23</v>
      </c>
      <c r="G272" t="s">
        <v>38</v>
      </c>
      <c r="H272" t="s">
        <v>91</v>
      </c>
      <c r="I272" t="s">
        <v>602</v>
      </c>
      <c r="J272">
        <v>12</v>
      </c>
      <c r="K272" s="2">
        <v>2248.36</v>
      </c>
      <c r="L272">
        <v>15</v>
      </c>
      <c r="M272" s="2">
        <v>22933.27</v>
      </c>
      <c r="N272" s="2">
        <v>13787.64</v>
      </c>
      <c r="O272" s="2">
        <v>9145.6299999999992</v>
      </c>
      <c r="P272" t="s">
        <v>41</v>
      </c>
      <c r="Q272" t="s">
        <v>49</v>
      </c>
    </row>
    <row r="273" spans="1:17" x14ac:dyDescent="0.3">
      <c r="A273" t="s">
        <v>603</v>
      </c>
      <c r="B273" s="1">
        <v>45671</v>
      </c>
      <c r="C273" t="s">
        <v>70</v>
      </c>
      <c r="D273" t="s">
        <v>71</v>
      </c>
      <c r="E273" t="s">
        <v>30</v>
      </c>
      <c r="F273" t="s">
        <v>31</v>
      </c>
      <c r="G273" t="s">
        <v>24</v>
      </c>
      <c r="H273" t="s">
        <v>25</v>
      </c>
      <c r="I273" t="s">
        <v>604</v>
      </c>
      <c r="J273">
        <v>4</v>
      </c>
      <c r="K273" s="2">
        <v>2274.5100000000002</v>
      </c>
      <c r="L273">
        <v>0</v>
      </c>
      <c r="M273" s="2">
        <v>9098.0400000000009</v>
      </c>
      <c r="N273" s="2">
        <v>5505.42</v>
      </c>
      <c r="O273" s="2">
        <v>3592.62</v>
      </c>
      <c r="P273" t="s">
        <v>48</v>
      </c>
      <c r="Q273" t="s">
        <v>61</v>
      </c>
    </row>
    <row r="274" spans="1:17" x14ac:dyDescent="0.3">
      <c r="A274" t="s">
        <v>605</v>
      </c>
      <c r="B274" s="1">
        <v>46118</v>
      </c>
      <c r="C274" t="s">
        <v>86</v>
      </c>
      <c r="D274" t="s">
        <v>87</v>
      </c>
      <c r="E274" t="s">
        <v>44</v>
      </c>
      <c r="F274" t="s">
        <v>31</v>
      </c>
      <c r="G274" t="s">
        <v>45</v>
      </c>
      <c r="H274" t="s">
        <v>52</v>
      </c>
      <c r="I274" t="s">
        <v>606</v>
      </c>
      <c r="J274">
        <v>9</v>
      </c>
      <c r="K274" s="2">
        <v>1210.1600000000001</v>
      </c>
      <c r="L274">
        <v>10</v>
      </c>
      <c r="M274" s="2">
        <v>9802.2999999999993</v>
      </c>
      <c r="N274" s="2">
        <v>6135.7</v>
      </c>
      <c r="O274" s="2">
        <v>3666.6</v>
      </c>
      <c r="P274" t="s">
        <v>41</v>
      </c>
      <c r="Q274" t="s">
        <v>28</v>
      </c>
    </row>
    <row r="275" spans="1:17" x14ac:dyDescent="0.3">
      <c r="A275" t="s">
        <v>607</v>
      </c>
      <c r="B275" s="1">
        <v>45683</v>
      </c>
      <c r="C275" t="s">
        <v>70</v>
      </c>
      <c r="D275" t="s">
        <v>71</v>
      </c>
      <c r="E275" t="s">
        <v>44</v>
      </c>
      <c r="F275" t="s">
        <v>23</v>
      </c>
      <c r="G275" t="s">
        <v>24</v>
      </c>
      <c r="H275" t="s">
        <v>56</v>
      </c>
      <c r="I275" t="s">
        <v>608</v>
      </c>
      <c r="J275">
        <v>11</v>
      </c>
      <c r="K275" s="2">
        <v>2047.56</v>
      </c>
      <c r="L275">
        <v>20</v>
      </c>
      <c r="M275" s="2">
        <v>18018.53</v>
      </c>
      <c r="N275" s="2">
        <v>10680.47</v>
      </c>
      <c r="O275" s="2">
        <v>7338.06</v>
      </c>
      <c r="P275" t="s">
        <v>41</v>
      </c>
      <c r="Q275" t="s">
        <v>61</v>
      </c>
    </row>
    <row r="276" spans="1:17" x14ac:dyDescent="0.3">
      <c r="A276" t="s">
        <v>609</v>
      </c>
      <c r="B276" s="1">
        <v>45897</v>
      </c>
      <c r="C276" t="s">
        <v>86</v>
      </c>
      <c r="D276" t="s">
        <v>90</v>
      </c>
      <c r="E276" t="s">
        <v>170</v>
      </c>
      <c r="F276" t="s">
        <v>37</v>
      </c>
      <c r="G276" t="s">
        <v>24</v>
      </c>
      <c r="H276" t="s">
        <v>25</v>
      </c>
      <c r="I276" t="s">
        <v>610</v>
      </c>
      <c r="J276">
        <v>4</v>
      </c>
      <c r="K276" s="2">
        <v>2705.1</v>
      </c>
      <c r="L276">
        <v>5</v>
      </c>
      <c r="M276" s="2">
        <v>10279.379999999999</v>
      </c>
      <c r="N276" s="2">
        <v>7536.1</v>
      </c>
      <c r="O276" s="2">
        <v>2743.28</v>
      </c>
      <c r="P276" t="s">
        <v>27</v>
      </c>
      <c r="Q276" t="s">
        <v>28</v>
      </c>
    </row>
    <row r="277" spans="1:17" x14ac:dyDescent="0.3">
      <c r="A277" t="s">
        <v>611</v>
      </c>
      <c r="B277" s="1">
        <v>45992</v>
      </c>
      <c r="C277" t="s">
        <v>70</v>
      </c>
      <c r="D277" t="s">
        <v>71</v>
      </c>
      <c r="E277" t="s">
        <v>30</v>
      </c>
      <c r="F277" t="s">
        <v>37</v>
      </c>
      <c r="G277" t="s">
        <v>38</v>
      </c>
      <c r="H277" t="s">
        <v>91</v>
      </c>
      <c r="I277" t="s">
        <v>612</v>
      </c>
      <c r="J277">
        <v>3</v>
      </c>
      <c r="K277" s="2">
        <v>1963.72</v>
      </c>
      <c r="L277">
        <v>0</v>
      </c>
      <c r="M277" s="2">
        <v>5891.16</v>
      </c>
      <c r="N277" s="2">
        <v>4550.1400000000003</v>
      </c>
      <c r="O277" s="2">
        <v>1341.02</v>
      </c>
      <c r="P277" t="s">
        <v>48</v>
      </c>
      <c r="Q277" t="s">
        <v>28</v>
      </c>
    </row>
    <row r="278" spans="1:17" x14ac:dyDescent="0.3">
      <c r="A278" t="s">
        <v>613</v>
      </c>
      <c r="B278" s="1">
        <v>46203</v>
      </c>
      <c r="C278" t="s">
        <v>70</v>
      </c>
      <c r="D278" t="s">
        <v>75</v>
      </c>
      <c r="E278" t="s">
        <v>51</v>
      </c>
      <c r="F278" t="s">
        <v>31</v>
      </c>
      <c r="G278" t="s">
        <v>38</v>
      </c>
      <c r="H278" t="s">
        <v>106</v>
      </c>
      <c r="I278" t="s">
        <v>614</v>
      </c>
      <c r="J278">
        <v>13</v>
      </c>
      <c r="K278" s="2">
        <v>2166.14</v>
      </c>
      <c r="L278">
        <v>5</v>
      </c>
      <c r="M278" s="2">
        <v>26751.83</v>
      </c>
      <c r="N278" s="2">
        <v>18442.25</v>
      </c>
      <c r="O278" s="2">
        <v>8309.58</v>
      </c>
      <c r="P278" t="s">
        <v>41</v>
      </c>
      <c r="Q278" t="s">
        <v>49</v>
      </c>
    </row>
    <row r="279" spans="1:17" x14ac:dyDescent="0.3">
      <c r="A279" t="s">
        <v>615</v>
      </c>
      <c r="B279" s="1">
        <v>46125</v>
      </c>
      <c r="C279" t="s">
        <v>20</v>
      </c>
      <c r="D279" t="s">
        <v>55</v>
      </c>
      <c r="E279" t="s">
        <v>22</v>
      </c>
      <c r="F279" t="s">
        <v>23</v>
      </c>
      <c r="G279" t="s">
        <v>45</v>
      </c>
      <c r="H279" t="s">
        <v>159</v>
      </c>
      <c r="I279" t="s">
        <v>616</v>
      </c>
      <c r="J279">
        <v>5</v>
      </c>
      <c r="K279" s="2">
        <v>4066.74</v>
      </c>
      <c r="L279">
        <v>0</v>
      </c>
      <c r="M279" s="2">
        <v>20333.7</v>
      </c>
      <c r="N279" s="2">
        <v>15723.69</v>
      </c>
      <c r="O279" s="2">
        <v>4610.01</v>
      </c>
      <c r="P279" t="s">
        <v>48</v>
      </c>
      <c r="Q279" t="s">
        <v>42</v>
      </c>
    </row>
    <row r="280" spans="1:17" x14ac:dyDescent="0.3">
      <c r="A280" t="s">
        <v>617</v>
      </c>
      <c r="B280" s="1">
        <v>46069</v>
      </c>
      <c r="C280" t="s">
        <v>20</v>
      </c>
      <c r="D280" t="s">
        <v>21</v>
      </c>
      <c r="E280" t="s">
        <v>30</v>
      </c>
      <c r="F280" t="s">
        <v>23</v>
      </c>
      <c r="G280" t="s">
        <v>45</v>
      </c>
      <c r="H280" t="s">
        <v>46</v>
      </c>
      <c r="I280" t="s">
        <v>47</v>
      </c>
      <c r="J280">
        <v>9</v>
      </c>
      <c r="K280" s="2">
        <v>1380.47</v>
      </c>
      <c r="L280">
        <v>20</v>
      </c>
      <c r="M280" s="2">
        <v>9939.3799999999992</v>
      </c>
      <c r="N280" s="2">
        <v>7189.76</v>
      </c>
      <c r="O280" s="2">
        <v>2749.62</v>
      </c>
      <c r="P280" t="s">
        <v>41</v>
      </c>
      <c r="Q280" t="s">
        <v>49</v>
      </c>
    </row>
    <row r="281" spans="1:17" x14ac:dyDescent="0.3">
      <c r="A281" t="s">
        <v>618</v>
      </c>
      <c r="B281" s="1">
        <v>45863</v>
      </c>
      <c r="C281" t="s">
        <v>35</v>
      </c>
      <c r="D281" t="s">
        <v>59</v>
      </c>
      <c r="E281" t="s">
        <v>120</v>
      </c>
      <c r="F281" t="s">
        <v>37</v>
      </c>
      <c r="G281" t="s">
        <v>24</v>
      </c>
      <c r="H281" t="s">
        <v>171</v>
      </c>
      <c r="I281" t="s">
        <v>619</v>
      </c>
      <c r="J281">
        <v>12</v>
      </c>
      <c r="K281" s="2">
        <v>2666.75</v>
      </c>
      <c r="L281">
        <v>0</v>
      </c>
      <c r="M281" s="2">
        <v>32001</v>
      </c>
      <c r="N281" s="2">
        <v>18304.560000000001</v>
      </c>
      <c r="O281" s="2">
        <v>13696.44</v>
      </c>
      <c r="P281" t="s">
        <v>41</v>
      </c>
      <c r="Q281" t="s">
        <v>28</v>
      </c>
    </row>
    <row r="282" spans="1:17" x14ac:dyDescent="0.3">
      <c r="A282" t="s">
        <v>620</v>
      </c>
      <c r="B282" s="1">
        <v>45992</v>
      </c>
      <c r="C282" t="s">
        <v>35</v>
      </c>
      <c r="D282" t="s">
        <v>36</v>
      </c>
      <c r="E282" t="s">
        <v>120</v>
      </c>
      <c r="F282" t="s">
        <v>37</v>
      </c>
      <c r="G282" t="s">
        <v>24</v>
      </c>
      <c r="H282" t="s">
        <v>134</v>
      </c>
      <c r="I282" t="s">
        <v>621</v>
      </c>
      <c r="J282">
        <v>9</v>
      </c>
      <c r="K282" s="2">
        <v>966.57</v>
      </c>
      <c r="L282">
        <v>20</v>
      </c>
      <c r="M282" s="2">
        <v>6959.3</v>
      </c>
      <c r="N282" s="2">
        <v>5404.11</v>
      </c>
      <c r="O282" s="2">
        <v>1555.19</v>
      </c>
      <c r="P282" t="s">
        <v>41</v>
      </c>
      <c r="Q282" t="s">
        <v>49</v>
      </c>
    </row>
    <row r="283" spans="1:17" x14ac:dyDescent="0.3">
      <c r="A283" t="s">
        <v>622</v>
      </c>
      <c r="B283" s="1">
        <v>45980</v>
      </c>
      <c r="C283" t="s">
        <v>70</v>
      </c>
      <c r="D283" t="s">
        <v>75</v>
      </c>
      <c r="E283" t="s">
        <v>51</v>
      </c>
      <c r="F283" t="s">
        <v>37</v>
      </c>
      <c r="G283" t="s">
        <v>45</v>
      </c>
      <c r="H283" t="s">
        <v>123</v>
      </c>
      <c r="I283" t="s">
        <v>623</v>
      </c>
      <c r="J283">
        <v>3</v>
      </c>
      <c r="K283" s="2">
        <v>2138.96</v>
      </c>
      <c r="L283">
        <v>20</v>
      </c>
      <c r="M283" s="2">
        <v>5133.5</v>
      </c>
      <c r="N283" s="2">
        <v>3109.09</v>
      </c>
      <c r="O283" s="2">
        <v>2024.41</v>
      </c>
      <c r="P283" t="s">
        <v>48</v>
      </c>
      <c r="Q283" t="s">
        <v>42</v>
      </c>
    </row>
    <row r="284" spans="1:17" x14ac:dyDescent="0.3">
      <c r="A284" t="s">
        <v>624</v>
      </c>
      <c r="B284" s="1">
        <v>46178</v>
      </c>
      <c r="C284" t="s">
        <v>35</v>
      </c>
      <c r="D284" t="s">
        <v>36</v>
      </c>
      <c r="E284" t="s">
        <v>51</v>
      </c>
      <c r="F284" t="s">
        <v>37</v>
      </c>
      <c r="G284" t="s">
        <v>38</v>
      </c>
      <c r="H284" t="s">
        <v>91</v>
      </c>
      <c r="I284" t="s">
        <v>625</v>
      </c>
      <c r="J284">
        <v>8</v>
      </c>
      <c r="K284" s="2">
        <v>860.4</v>
      </c>
      <c r="L284">
        <v>15</v>
      </c>
      <c r="M284" s="2">
        <v>5850.72</v>
      </c>
      <c r="N284" s="2">
        <v>3526.73</v>
      </c>
      <c r="O284" s="2">
        <v>2323.9899999999998</v>
      </c>
      <c r="P284" t="s">
        <v>27</v>
      </c>
      <c r="Q284" t="s">
        <v>61</v>
      </c>
    </row>
    <row r="285" spans="1:17" x14ac:dyDescent="0.3">
      <c r="A285" t="s">
        <v>626</v>
      </c>
      <c r="B285" s="1">
        <v>45788</v>
      </c>
      <c r="C285" t="s">
        <v>20</v>
      </c>
      <c r="D285" t="s">
        <v>21</v>
      </c>
      <c r="E285" t="s">
        <v>51</v>
      </c>
      <c r="F285" t="s">
        <v>31</v>
      </c>
      <c r="G285" t="s">
        <v>24</v>
      </c>
      <c r="H285" t="s">
        <v>56</v>
      </c>
      <c r="I285" t="s">
        <v>627</v>
      </c>
      <c r="J285">
        <v>1</v>
      </c>
      <c r="K285" s="2">
        <v>4070.83</v>
      </c>
      <c r="L285">
        <v>20</v>
      </c>
      <c r="M285" s="2">
        <v>3256.66</v>
      </c>
      <c r="N285" s="2">
        <v>2384.9699999999998</v>
      </c>
      <c r="O285" s="2">
        <v>871.69</v>
      </c>
      <c r="P285" t="s">
        <v>41</v>
      </c>
      <c r="Q285" t="s">
        <v>49</v>
      </c>
    </row>
    <row r="286" spans="1:17" x14ac:dyDescent="0.3">
      <c r="A286" t="s">
        <v>628</v>
      </c>
      <c r="B286" s="1">
        <v>46121</v>
      </c>
      <c r="C286" t="s">
        <v>86</v>
      </c>
      <c r="D286" t="s">
        <v>90</v>
      </c>
      <c r="E286" t="s">
        <v>22</v>
      </c>
      <c r="F286" t="s">
        <v>37</v>
      </c>
      <c r="G286" t="s">
        <v>45</v>
      </c>
      <c r="H286" t="s">
        <v>159</v>
      </c>
      <c r="I286" t="s">
        <v>629</v>
      </c>
      <c r="J286">
        <v>11</v>
      </c>
      <c r="K286" s="2">
        <v>1611.85</v>
      </c>
      <c r="L286">
        <v>20</v>
      </c>
      <c r="M286" s="2">
        <v>14184.28</v>
      </c>
      <c r="N286" s="2">
        <v>10965.29</v>
      </c>
      <c r="O286" s="2">
        <v>3218.99</v>
      </c>
      <c r="P286" t="s">
        <v>41</v>
      </c>
      <c r="Q286" t="s">
        <v>49</v>
      </c>
    </row>
    <row r="287" spans="1:17" x14ac:dyDescent="0.3">
      <c r="A287" t="s">
        <v>630</v>
      </c>
      <c r="B287" s="1">
        <v>45903</v>
      </c>
      <c r="C287" t="s">
        <v>20</v>
      </c>
      <c r="D287" t="s">
        <v>55</v>
      </c>
      <c r="E287" t="s">
        <v>22</v>
      </c>
      <c r="F287" t="s">
        <v>31</v>
      </c>
      <c r="G287" t="s">
        <v>38</v>
      </c>
      <c r="H287" t="s">
        <v>106</v>
      </c>
      <c r="I287" t="s">
        <v>631</v>
      </c>
      <c r="J287">
        <v>1</v>
      </c>
      <c r="K287" s="2">
        <v>4154.8</v>
      </c>
      <c r="L287">
        <v>15</v>
      </c>
      <c r="M287" s="2">
        <v>3531.58</v>
      </c>
      <c r="N287" s="2">
        <v>2295.3200000000002</v>
      </c>
      <c r="O287" s="2">
        <v>1236.26</v>
      </c>
      <c r="P287" t="s">
        <v>27</v>
      </c>
      <c r="Q287" t="s">
        <v>61</v>
      </c>
    </row>
    <row r="288" spans="1:17" x14ac:dyDescent="0.3">
      <c r="A288" t="s">
        <v>632</v>
      </c>
      <c r="B288" s="1">
        <v>45814</v>
      </c>
      <c r="C288" t="s">
        <v>86</v>
      </c>
      <c r="D288" t="s">
        <v>87</v>
      </c>
      <c r="E288" t="s">
        <v>170</v>
      </c>
      <c r="F288" t="s">
        <v>23</v>
      </c>
      <c r="G288" t="s">
        <v>38</v>
      </c>
      <c r="H288" t="s">
        <v>106</v>
      </c>
      <c r="I288" t="s">
        <v>633</v>
      </c>
      <c r="J288">
        <v>9</v>
      </c>
      <c r="K288" s="2">
        <v>2099.2800000000002</v>
      </c>
      <c r="L288">
        <v>15</v>
      </c>
      <c r="M288" s="2">
        <v>16059.49</v>
      </c>
      <c r="N288" s="2">
        <v>10992.34</v>
      </c>
      <c r="O288" s="2">
        <v>5067.1499999999996</v>
      </c>
      <c r="P288" t="s">
        <v>48</v>
      </c>
      <c r="Q288" t="s">
        <v>61</v>
      </c>
    </row>
    <row r="289" spans="1:17" x14ac:dyDescent="0.3">
      <c r="A289" t="s">
        <v>634</v>
      </c>
      <c r="B289" s="1">
        <v>45785</v>
      </c>
      <c r="C289" t="s">
        <v>35</v>
      </c>
      <c r="D289" t="s">
        <v>59</v>
      </c>
      <c r="E289" t="s">
        <v>44</v>
      </c>
      <c r="F289" t="s">
        <v>37</v>
      </c>
      <c r="G289" t="s">
        <v>45</v>
      </c>
      <c r="H289" t="s">
        <v>123</v>
      </c>
      <c r="I289" t="s">
        <v>635</v>
      </c>
      <c r="J289">
        <v>13</v>
      </c>
      <c r="K289" s="2">
        <v>1690.61</v>
      </c>
      <c r="L289">
        <v>0</v>
      </c>
      <c r="M289" s="2">
        <v>21977.93</v>
      </c>
      <c r="N289" s="2">
        <v>13599.48</v>
      </c>
      <c r="O289" s="2">
        <v>8378.4500000000007</v>
      </c>
      <c r="P289" t="s">
        <v>27</v>
      </c>
      <c r="Q289" t="s">
        <v>42</v>
      </c>
    </row>
    <row r="290" spans="1:17" x14ac:dyDescent="0.3">
      <c r="A290" t="s">
        <v>636</v>
      </c>
      <c r="B290" s="1">
        <v>45779</v>
      </c>
      <c r="C290" t="s">
        <v>20</v>
      </c>
      <c r="D290" t="s">
        <v>55</v>
      </c>
      <c r="E290" t="s">
        <v>66</v>
      </c>
      <c r="F290" t="s">
        <v>37</v>
      </c>
      <c r="G290" t="s">
        <v>45</v>
      </c>
      <c r="H290" t="s">
        <v>123</v>
      </c>
      <c r="I290" t="s">
        <v>592</v>
      </c>
      <c r="J290">
        <v>6</v>
      </c>
      <c r="K290" s="2">
        <v>4684.8900000000003</v>
      </c>
      <c r="L290">
        <v>15</v>
      </c>
      <c r="M290" s="2">
        <v>23892.94</v>
      </c>
      <c r="N290" s="2">
        <v>16658.330000000002</v>
      </c>
      <c r="O290" s="2">
        <v>7234.61</v>
      </c>
      <c r="P290" t="s">
        <v>27</v>
      </c>
      <c r="Q290" t="s">
        <v>49</v>
      </c>
    </row>
    <row r="291" spans="1:17" x14ac:dyDescent="0.3">
      <c r="A291" t="s">
        <v>637</v>
      </c>
      <c r="B291" s="1">
        <v>45993</v>
      </c>
      <c r="C291" t="s">
        <v>70</v>
      </c>
      <c r="D291" t="s">
        <v>75</v>
      </c>
      <c r="E291" t="s">
        <v>170</v>
      </c>
      <c r="F291" t="s">
        <v>37</v>
      </c>
      <c r="G291" t="s">
        <v>45</v>
      </c>
      <c r="H291" t="s">
        <v>159</v>
      </c>
      <c r="I291" t="s">
        <v>638</v>
      </c>
      <c r="J291">
        <v>8</v>
      </c>
      <c r="K291" s="2">
        <v>4070.82</v>
      </c>
      <c r="L291">
        <v>15</v>
      </c>
      <c r="M291" s="2">
        <v>27681.58</v>
      </c>
      <c r="N291" s="2">
        <v>16628.669999999998</v>
      </c>
      <c r="O291" s="2">
        <v>11052.91</v>
      </c>
      <c r="P291" t="s">
        <v>41</v>
      </c>
      <c r="Q291" t="s">
        <v>28</v>
      </c>
    </row>
    <row r="292" spans="1:17" x14ac:dyDescent="0.3">
      <c r="A292" t="s">
        <v>639</v>
      </c>
      <c r="B292" s="1">
        <v>45925</v>
      </c>
      <c r="C292" t="s">
        <v>86</v>
      </c>
      <c r="D292" t="s">
        <v>90</v>
      </c>
      <c r="E292" t="s">
        <v>66</v>
      </c>
      <c r="F292" t="s">
        <v>23</v>
      </c>
      <c r="G292" t="s">
        <v>24</v>
      </c>
      <c r="H292" t="s">
        <v>56</v>
      </c>
      <c r="I292" t="s">
        <v>640</v>
      </c>
      <c r="J292">
        <v>14</v>
      </c>
      <c r="K292" s="2">
        <v>3511</v>
      </c>
      <c r="L292">
        <v>5</v>
      </c>
      <c r="M292" s="2">
        <v>46696.3</v>
      </c>
      <c r="N292" s="2">
        <v>25742.67</v>
      </c>
      <c r="O292" s="2">
        <v>20953.63</v>
      </c>
      <c r="P292" t="s">
        <v>48</v>
      </c>
      <c r="Q292" t="s">
        <v>28</v>
      </c>
    </row>
    <row r="293" spans="1:17" x14ac:dyDescent="0.3">
      <c r="A293" t="s">
        <v>641</v>
      </c>
      <c r="B293" s="1">
        <v>45848</v>
      </c>
      <c r="C293" t="s">
        <v>86</v>
      </c>
      <c r="D293" t="s">
        <v>90</v>
      </c>
      <c r="E293" t="s">
        <v>44</v>
      </c>
      <c r="F293" t="s">
        <v>23</v>
      </c>
      <c r="G293" t="s">
        <v>38</v>
      </c>
      <c r="H293" t="s">
        <v>72</v>
      </c>
      <c r="I293" t="s">
        <v>642</v>
      </c>
      <c r="J293">
        <v>14</v>
      </c>
      <c r="K293" s="2">
        <v>3455.07</v>
      </c>
      <c r="L293">
        <v>5</v>
      </c>
      <c r="M293" s="2">
        <v>45952.43</v>
      </c>
      <c r="N293" s="2">
        <v>31248.44</v>
      </c>
      <c r="O293" s="2">
        <v>14703.99</v>
      </c>
      <c r="P293" t="s">
        <v>27</v>
      </c>
      <c r="Q293" t="s">
        <v>28</v>
      </c>
    </row>
    <row r="294" spans="1:17" x14ac:dyDescent="0.3">
      <c r="A294" t="s">
        <v>643</v>
      </c>
      <c r="B294" s="1">
        <v>46075</v>
      </c>
      <c r="C294" t="s">
        <v>20</v>
      </c>
      <c r="D294" t="s">
        <v>55</v>
      </c>
      <c r="E294" t="s">
        <v>22</v>
      </c>
      <c r="F294" t="s">
        <v>31</v>
      </c>
      <c r="G294" t="s">
        <v>45</v>
      </c>
      <c r="H294" t="s">
        <v>67</v>
      </c>
      <c r="I294" t="s">
        <v>644</v>
      </c>
      <c r="J294">
        <v>14</v>
      </c>
      <c r="K294" s="2">
        <v>979.64</v>
      </c>
      <c r="L294">
        <v>0</v>
      </c>
      <c r="M294" s="2">
        <v>13714.96</v>
      </c>
      <c r="N294" s="2">
        <v>8854.76</v>
      </c>
      <c r="O294" s="2">
        <v>4860.2</v>
      </c>
      <c r="P294" t="s">
        <v>27</v>
      </c>
      <c r="Q294" t="s">
        <v>61</v>
      </c>
    </row>
    <row r="295" spans="1:17" x14ac:dyDescent="0.3">
      <c r="A295" t="s">
        <v>645</v>
      </c>
      <c r="B295" s="1">
        <v>45725</v>
      </c>
      <c r="C295" t="s">
        <v>35</v>
      </c>
      <c r="D295" t="s">
        <v>59</v>
      </c>
      <c r="E295" t="s">
        <v>120</v>
      </c>
      <c r="F295" t="s">
        <v>23</v>
      </c>
      <c r="G295" t="s">
        <v>45</v>
      </c>
      <c r="H295" t="s">
        <v>52</v>
      </c>
      <c r="I295" t="s">
        <v>646</v>
      </c>
      <c r="J295">
        <v>14</v>
      </c>
      <c r="K295" s="2">
        <v>4285.1499999999996</v>
      </c>
      <c r="L295">
        <v>20</v>
      </c>
      <c r="M295" s="2">
        <v>47993.68</v>
      </c>
      <c r="N295" s="2">
        <v>31301.13</v>
      </c>
      <c r="O295" s="2">
        <v>16692.55</v>
      </c>
      <c r="P295" t="s">
        <v>48</v>
      </c>
      <c r="Q295" t="s">
        <v>61</v>
      </c>
    </row>
    <row r="296" spans="1:17" x14ac:dyDescent="0.3">
      <c r="A296" t="s">
        <v>647</v>
      </c>
      <c r="B296" s="1">
        <v>45842</v>
      </c>
      <c r="C296" t="s">
        <v>20</v>
      </c>
      <c r="D296" t="s">
        <v>21</v>
      </c>
      <c r="E296" t="s">
        <v>170</v>
      </c>
      <c r="F296" t="s">
        <v>37</v>
      </c>
      <c r="G296" t="s">
        <v>24</v>
      </c>
      <c r="H296" t="s">
        <v>32</v>
      </c>
      <c r="I296" t="s">
        <v>648</v>
      </c>
      <c r="J296">
        <v>2</v>
      </c>
      <c r="K296" s="2">
        <v>3045.13</v>
      </c>
      <c r="L296">
        <v>20</v>
      </c>
      <c r="M296" s="2">
        <v>4872.21</v>
      </c>
      <c r="N296" s="2">
        <v>3283.23</v>
      </c>
      <c r="O296" s="2">
        <v>1588.98</v>
      </c>
      <c r="P296" t="s">
        <v>48</v>
      </c>
      <c r="Q296" t="s">
        <v>42</v>
      </c>
    </row>
    <row r="297" spans="1:17" x14ac:dyDescent="0.3">
      <c r="A297" t="s">
        <v>649</v>
      </c>
      <c r="B297" s="1">
        <v>45998</v>
      </c>
      <c r="C297" t="s">
        <v>20</v>
      </c>
      <c r="D297" t="s">
        <v>55</v>
      </c>
      <c r="E297" t="s">
        <v>30</v>
      </c>
      <c r="F297" t="s">
        <v>31</v>
      </c>
      <c r="G297" t="s">
        <v>24</v>
      </c>
      <c r="H297" t="s">
        <v>171</v>
      </c>
      <c r="I297" t="s">
        <v>650</v>
      </c>
      <c r="J297">
        <v>8</v>
      </c>
      <c r="K297" s="2">
        <v>1646.49</v>
      </c>
      <c r="L297">
        <v>5</v>
      </c>
      <c r="M297" s="2">
        <v>12513.32</v>
      </c>
      <c r="N297" s="2">
        <v>7118.17</v>
      </c>
      <c r="O297" s="2">
        <v>5395.15</v>
      </c>
      <c r="P297" t="s">
        <v>48</v>
      </c>
      <c r="Q297" t="s">
        <v>49</v>
      </c>
    </row>
    <row r="298" spans="1:17" x14ac:dyDescent="0.3">
      <c r="A298" t="s">
        <v>651</v>
      </c>
      <c r="B298" s="1">
        <v>46160</v>
      </c>
      <c r="C298" t="s">
        <v>86</v>
      </c>
      <c r="D298" t="s">
        <v>90</v>
      </c>
      <c r="E298" t="s">
        <v>30</v>
      </c>
      <c r="F298" t="s">
        <v>37</v>
      </c>
      <c r="G298" t="s">
        <v>24</v>
      </c>
      <c r="H298" t="s">
        <v>134</v>
      </c>
      <c r="I298" t="s">
        <v>652</v>
      </c>
      <c r="J298">
        <v>13</v>
      </c>
      <c r="K298" s="2">
        <v>2509.36</v>
      </c>
      <c r="L298">
        <v>5</v>
      </c>
      <c r="M298" s="2">
        <v>30990.6</v>
      </c>
      <c r="N298" s="2">
        <v>21844.41</v>
      </c>
      <c r="O298" s="2">
        <v>9146.19</v>
      </c>
      <c r="P298" t="s">
        <v>48</v>
      </c>
      <c r="Q298" t="s">
        <v>49</v>
      </c>
    </row>
    <row r="299" spans="1:17" x14ac:dyDescent="0.3">
      <c r="A299" t="s">
        <v>653</v>
      </c>
      <c r="B299" s="1">
        <v>45917</v>
      </c>
      <c r="C299" t="s">
        <v>20</v>
      </c>
      <c r="D299" t="s">
        <v>21</v>
      </c>
      <c r="E299" t="s">
        <v>51</v>
      </c>
      <c r="F299" t="s">
        <v>31</v>
      </c>
      <c r="G299" t="s">
        <v>38</v>
      </c>
      <c r="H299" t="s">
        <v>63</v>
      </c>
      <c r="I299" t="s">
        <v>654</v>
      </c>
      <c r="J299">
        <v>4</v>
      </c>
      <c r="K299" s="2">
        <v>1123.51</v>
      </c>
      <c r="L299">
        <v>5</v>
      </c>
      <c r="M299" s="2">
        <v>4269.34</v>
      </c>
      <c r="N299" s="2">
        <v>3042.54</v>
      </c>
      <c r="O299" s="2">
        <v>1226.8</v>
      </c>
      <c r="P299" t="s">
        <v>27</v>
      </c>
      <c r="Q299" t="s">
        <v>49</v>
      </c>
    </row>
    <row r="300" spans="1:17" x14ac:dyDescent="0.3">
      <c r="A300" t="s">
        <v>655</v>
      </c>
      <c r="B300" s="1">
        <v>45948</v>
      </c>
      <c r="C300" t="s">
        <v>70</v>
      </c>
      <c r="D300" t="s">
        <v>75</v>
      </c>
      <c r="E300" t="s">
        <v>113</v>
      </c>
      <c r="F300" t="s">
        <v>37</v>
      </c>
      <c r="G300" t="s">
        <v>24</v>
      </c>
      <c r="H300" t="s">
        <v>56</v>
      </c>
      <c r="I300" t="s">
        <v>656</v>
      </c>
      <c r="J300">
        <v>11</v>
      </c>
      <c r="K300" s="2">
        <v>2489.8000000000002</v>
      </c>
      <c r="L300">
        <v>20</v>
      </c>
      <c r="M300" s="2">
        <v>21910.240000000002</v>
      </c>
      <c r="N300" s="2">
        <v>16141.62</v>
      </c>
      <c r="O300" s="2">
        <v>5768.62</v>
      </c>
      <c r="P300" t="s">
        <v>27</v>
      </c>
      <c r="Q300" t="s">
        <v>61</v>
      </c>
    </row>
    <row r="301" spans="1:17" x14ac:dyDescent="0.3">
      <c r="A301" t="s">
        <v>657</v>
      </c>
      <c r="B301" s="1">
        <v>45812</v>
      </c>
      <c r="C301" t="s">
        <v>70</v>
      </c>
      <c r="D301" t="s">
        <v>71</v>
      </c>
      <c r="E301" t="s">
        <v>44</v>
      </c>
      <c r="F301" t="s">
        <v>37</v>
      </c>
      <c r="G301" t="s">
        <v>45</v>
      </c>
      <c r="H301" t="s">
        <v>52</v>
      </c>
      <c r="I301" t="s">
        <v>658</v>
      </c>
      <c r="J301">
        <v>3</v>
      </c>
      <c r="K301" s="2">
        <v>1500.34</v>
      </c>
      <c r="L301">
        <v>15</v>
      </c>
      <c r="M301" s="2">
        <v>3825.87</v>
      </c>
      <c r="N301" s="2">
        <v>2694.22</v>
      </c>
      <c r="O301" s="2">
        <v>1131.6500000000001</v>
      </c>
      <c r="P301" t="s">
        <v>27</v>
      </c>
      <c r="Q301" t="s">
        <v>42</v>
      </c>
    </row>
    <row r="302" spans="1:17" x14ac:dyDescent="0.3">
      <c r="A302" t="s">
        <v>659</v>
      </c>
      <c r="B302" s="1">
        <v>46009</v>
      </c>
      <c r="C302" t="s">
        <v>20</v>
      </c>
      <c r="D302" t="s">
        <v>55</v>
      </c>
      <c r="E302" t="s">
        <v>51</v>
      </c>
      <c r="F302" t="s">
        <v>31</v>
      </c>
      <c r="G302" t="s">
        <v>45</v>
      </c>
      <c r="H302" t="s">
        <v>159</v>
      </c>
      <c r="I302" t="s">
        <v>660</v>
      </c>
      <c r="J302">
        <v>8</v>
      </c>
      <c r="K302" s="2">
        <v>2709.67</v>
      </c>
      <c r="L302">
        <v>20</v>
      </c>
      <c r="M302" s="2">
        <v>17341.89</v>
      </c>
      <c r="N302" s="2">
        <v>9917.4599999999991</v>
      </c>
      <c r="O302" s="2">
        <v>7424.43</v>
      </c>
      <c r="P302" t="s">
        <v>27</v>
      </c>
      <c r="Q302" t="s">
        <v>28</v>
      </c>
    </row>
    <row r="303" spans="1:17" x14ac:dyDescent="0.3">
      <c r="A303" t="s">
        <v>661</v>
      </c>
      <c r="B303" s="1">
        <v>46108</v>
      </c>
      <c r="C303" t="s">
        <v>86</v>
      </c>
      <c r="D303" t="s">
        <v>87</v>
      </c>
      <c r="E303" t="s">
        <v>66</v>
      </c>
      <c r="F303" t="s">
        <v>23</v>
      </c>
      <c r="G303" t="s">
        <v>38</v>
      </c>
      <c r="H303" t="s">
        <v>39</v>
      </c>
      <c r="I303" t="s">
        <v>662</v>
      </c>
      <c r="J303">
        <v>12</v>
      </c>
      <c r="K303" s="2">
        <v>2637.51</v>
      </c>
      <c r="L303">
        <v>10</v>
      </c>
      <c r="M303" s="2">
        <v>28485.11</v>
      </c>
      <c r="N303" s="2">
        <v>16751.68</v>
      </c>
      <c r="O303" s="2">
        <v>11733.43</v>
      </c>
      <c r="P303" t="s">
        <v>27</v>
      </c>
      <c r="Q303" t="s">
        <v>28</v>
      </c>
    </row>
    <row r="304" spans="1:17" x14ac:dyDescent="0.3">
      <c r="A304" t="s">
        <v>663</v>
      </c>
      <c r="B304" s="1">
        <v>45965</v>
      </c>
      <c r="C304" t="s">
        <v>70</v>
      </c>
      <c r="D304" t="s">
        <v>71</v>
      </c>
      <c r="E304" t="s">
        <v>113</v>
      </c>
      <c r="F304" t="s">
        <v>23</v>
      </c>
      <c r="G304" t="s">
        <v>38</v>
      </c>
      <c r="H304" t="s">
        <v>72</v>
      </c>
      <c r="I304" t="s">
        <v>664</v>
      </c>
      <c r="J304">
        <v>10</v>
      </c>
      <c r="K304" s="2">
        <v>279.14</v>
      </c>
      <c r="L304">
        <v>20</v>
      </c>
      <c r="M304" s="2">
        <v>2233.12</v>
      </c>
      <c r="N304" s="2">
        <v>1782.7</v>
      </c>
      <c r="O304" s="2">
        <v>450.42</v>
      </c>
      <c r="P304" t="s">
        <v>48</v>
      </c>
      <c r="Q304" t="s">
        <v>42</v>
      </c>
    </row>
    <row r="305" spans="1:17" x14ac:dyDescent="0.3">
      <c r="A305" t="s">
        <v>665</v>
      </c>
      <c r="B305" s="1">
        <v>46173</v>
      </c>
      <c r="C305" t="s">
        <v>35</v>
      </c>
      <c r="D305" t="s">
        <v>59</v>
      </c>
      <c r="E305" t="s">
        <v>113</v>
      </c>
      <c r="F305" t="s">
        <v>37</v>
      </c>
      <c r="G305" t="s">
        <v>24</v>
      </c>
      <c r="H305" t="s">
        <v>134</v>
      </c>
      <c r="I305" t="s">
        <v>666</v>
      </c>
      <c r="J305">
        <v>4</v>
      </c>
      <c r="K305" s="2">
        <v>1041.0899999999999</v>
      </c>
      <c r="L305">
        <v>15</v>
      </c>
      <c r="M305" s="2">
        <v>3539.71</v>
      </c>
      <c r="N305" s="2">
        <v>2563.71</v>
      </c>
      <c r="O305" s="2">
        <v>976</v>
      </c>
      <c r="P305" t="s">
        <v>41</v>
      </c>
      <c r="Q305" t="s">
        <v>28</v>
      </c>
    </row>
    <row r="306" spans="1:17" x14ac:dyDescent="0.3">
      <c r="A306" t="s">
        <v>667</v>
      </c>
      <c r="B306" s="1">
        <v>46178</v>
      </c>
      <c r="C306" t="s">
        <v>20</v>
      </c>
      <c r="D306" t="s">
        <v>55</v>
      </c>
      <c r="E306" t="s">
        <v>44</v>
      </c>
      <c r="F306" t="s">
        <v>23</v>
      </c>
      <c r="G306" t="s">
        <v>24</v>
      </c>
      <c r="H306" t="s">
        <v>171</v>
      </c>
      <c r="I306" t="s">
        <v>668</v>
      </c>
      <c r="J306">
        <v>9</v>
      </c>
      <c r="K306" s="2">
        <v>1372.24</v>
      </c>
      <c r="L306">
        <v>0</v>
      </c>
      <c r="M306" s="2">
        <v>12350.16</v>
      </c>
      <c r="N306" s="2">
        <v>9918.41</v>
      </c>
      <c r="O306" s="2">
        <v>2431.75</v>
      </c>
      <c r="P306" t="s">
        <v>48</v>
      </c>
      <c r="Q306" t="s">
        <v>42</v>
      </c>
    </row>
    <row r="307" spans="1:17" x14ac:dyDescent="0.3">
      <c r="A307" t="s">
        <v>669</v>
      </c>
      <c r="B307" s="1">
        <v>45932</v>
      </c>
      <c r="C307" t="s">
        <v>86</v>
      </c>
      <c r="D307" t="s">
        <v>90</v>
      </c>
      <c r="E307" t="s">
        <v>120</v>
      </c>
      <c r="F307" t="s">
        <v>37</v>
      </c>
      <c r="G307" t="s">
        <v>45</v>
      </c>
      <c r="H307" t="s">
        <v>67</v>
      </c>
      <c r="I307" t="s">
        <v>670</v>
      </c>
      <c r="J307">
        <v>6</v>
      </c>
      <c r="K307" s="2">
        <v>2199.9299999999998</v>
      </c>
      <c r="L307">
        <v>10</v>
      </c>
      <c r="M307" s="2">
        <v>11879.62</v>
      </c>
      <c r="N307" s="2">
        <v>9018.18</v>
      </c>
      <c r="O307" s="2">
        <v>2861.44</v>
      </c>
      <c r="P307" t="s">
        <v>48</v>
      </c>
      <c r="Q307" t="s">
        <v>49</v>
      </c>
    </row>
    <row r="308" spans="1:17" x14ac:dyDescent="0.3">
      <c r="A308" t="s">
        <v>671</v>
      </c>
      <c r="B308" s="1">
        <v>45972</v>
      </c>
      <c r="C308" t="s">
        <v>86</v>
      </c>
      <c r="D308" t="s">
        <v>87</v>
      </c>
      <c r="E308" t="s">
        <v>66</v>
      </c>
      <c r="F308" t="s">
        <v>31</v>
      </c>
      <c r="G308" t="s">
        <v>24</v>
      </c>
      <c r="H308" t="s">
        <v>56</v>
      </c>
      <c r="I308" t="s">
        <v>672</v>
      </c>
      <c r="J308">
        <v>10</v>
      </c>
      <c r="K308" s="2">
        <v>4422.6499999999996</v>
      </c>
      <c r="L308">
        <v>5</v>
      </c>
      <c r="M308" s="2">
        <v>42015.17</v>
      </c>
      <c r="N308" s="2">
        <v>33074.94</v>
      </c>
      <c r="O308" s="2">
        <v>8940.23</v>
      </c>
      <c r="P308" t="s">
        <v>41</v>
      </c>
      <c r="Q308" t="s">
        <v>61</v>
      </c>
    </row>
    <row r="309" spans="1:17" x14ac:dyDescent="0.3">
      <c r="A309" t="s">
        <v>673</v>
      </c>
      <c r="B309" s="1">
        <v>45901</v>
      </c>
      <c r="C309" t="s">
        <v>35</v>
      </c>
      <c r="D309" t="s">
        <v>59</v>
      </c>
      <c r="E309" t="s">
        <v>30</v>
      </c>
      <c r="F309" t="s">
        <v>37</v>
      </c>
      <c r="G309" t="s">
        <v>38</v>
      </c>
      <c r="H309" t="s">
        <v>63</v>
      </c>
      <c r="I309" t="s">
        <v>674</v>
      </c>
      <c r="J309">
        <v>13</v>
      </c>
      <c r="K309" s="2">
        <v>4845.3900000000003</v>
      </c>
      <c r="L309">
        <v>0</v>
      </c>
      <c r="M309" s="2">
        <v>62990.07</v>
      </c>
      <c r="N309" s="2">
        <v>49793.14</v>
      </c>
      <c r="O309" s="2">
        <v>13196.93</v>
      </c>
      <c r="P309" t="s">
        <v>27</v>
      </c>
      <c r="Q309" t="s">
        <v>49</v>
      </c>
    </row>
    <row r="310" spans="1:17" x14ac:dyDescent="0.3">
      <c r="A310" t="s">
        <v>675</v>
      </c>
      <c r="B310" s="1">
        <v>45945</v>
      </c>
      <c r="C310" t="s">
        <v>35</v>
      </c>
      <c r="D310" t="s">
        <v>36</v>
      </c>
      <c r="E310" t="s">
        <v>66</v>
      </c>
      <c r="F310" t="s">
        <v>31</v>
      </c>
      <c r="G310" t="s">
        <v>45</v>
      </c>
      <c r="H310" t="s">
        <v>67</v>
      </c>
      <c r="I310" t="s">
        <v>676</v>
      </c>
      <c r="J310">
        <v>14</v>
      </c>
      <c r="K310" s="2">
        <v>2812.72</v>
      </c>
      <c r="L310">
        <v>0</v>
      </c>
      <c r="M310" s="2">
        <v>39378.080000000002</v>
      </c>
      <c r="N310" s="2">
        <v>24265.18</v>
      </c>
      <c r="O310" s="2">
        <v>15112.9</v>
      </c>
      <c r="P310" t="s">
        <v>48</v>
      </c>
      <c r="Q310" t="s">
        <v>42</v>
      </c>
    </row>
    <row r="311" spans="1:17" x14ac:dyDescent="0.3">
      <c r="A311" t="s">
        <v>677</v>
      </c>
      <c r="B311" s="1">
        <v>45830</v>
      </c>
      <c r="C311" t="s">
        <v>86</v>
      </c>
      <c r="D311" t="s">
        <v>90</v>
      </c>
      <c r="E311" t="s">
        <v>170</v>
      </c>
      <c r="F311" t="s">
        <v>23</v>
      </c>
      <c r="G311" t="s">
        <v>24</v>
      </c>
      <c r="H311" t="s">
        <v>25</v>
      </c>
      <c r="I311" t="s">
        <v>678</v>
      </c>
      <c r="J311">
        <v>7</v>
      </c>
      <c r="K311" s="2">
        <v>4555.4399999999996</v>
      </c>
      <c r="L311">
        <v>0</v>
      </c>
      <c r="M311" s="2">
        <v>31888.080000000002</v>
      </c>
      <c r="N311" s="2">
        <v>19811.8</v>
      </c>
      <c r="O311" s="2">
        <v>12076.28</v>
      </c>
      <c r="P311" t="s">
        <v>48</v>
      </c>
      <c r="Q311" t="s">
        <v>28</v>
      </c>
    </row>
    <row r="312" spans="1:17" x14ac:dyDescent="0.3">
      <c r="A312" t="s">
        <v>679</v>
      </c>
      <c r="B312" s="1">
        <v>45685</v>
      </c>
      <c r="C312" t="s">
        <v>70</v>
      </c>
      <c r="D312" t="s">
        <v>75</v>
      </c>
      <c r="E312" t="s">
        <v>66</v>
      </c>
      <c r="F312" t="s">
        <v>31</v>
      </c>
      <c r="G312" t="s">
        <v>24</v>
      </c>
      <c r="H312" t="s">
        <v>32</v>
      </c>
      <c r="I312" t="s">
        <v>680</v>
      </c>
      <c r="J312">
        <v>13</v>
      </c>
      <c r="K312" s="2">
        <v>509.69</v>
      </c>
      <c r="L312">
        <v>15</v>
      </c>
      <c r="M312" s="2">
        <v>5632.07</v>
      </c>
      <c r="N312" s="2">
        <v>4485.1899999999996</v>
      </c>
      <c r="O312" s="2">
        <v>1146.8800000000001</v>
      </c>
      <c r="P312" t="s">
        <v>41</v>
      </c>
      <c r="Q312" t="s">
        <v>42</v>
      </c>
    </row>
    <row r="313" spans="1:17" x14ac:dyDescent="0.3">
      <c r="A313" t="s">
        <v>681</v>
      </c>
      <c r="B313" s="1">
        <v>45778</v>
      </c>
      <c r="C313" t="s">
        <v>86</v>
      </c>
      <c r="D313" t="s">
        <v>87</v>
      </c>
      <c r="E313" t="s">
        <v>22</v>
      </c>
      <c r="F313" t="s">
        <v>37</v>
      </c>
      <c r="G313" t="s">
        <v>24</v>
      </c>
      <c r="H313" t="s">
        <v>134</v>
      </c>
      <c r="I313" t="s">
        <v>682</v>
      </c>
      <c r="J313">
        <v>9</v>
      </c>
      <c r="K313" s="2">
        <v>2361.2600000000002</v>
      </c>
      <c r="L313">
        <v>0</v>
      </c>
      <c r="M313" s="2">
        <v>21251.34</v>
      </c>
      <c r="N313" s="2">
        <v>15691.52</v>
      </c>
      <c r="O313" s="2">
        <v>5559.82</v>
      </c>
      <c r="P313" t="s">
        <v>48</v>
      </c>
      <c r="Q313" t="s">
        <v>49</v>
      </c>
    </row>
    <row r="314" spans="1:17" x14ac:dyDescent="0.3">
      <c r="A314" t="s">
        <v>683</v>
      </c>
      <c r="B314" s="1">
        <v>45753</v>
      </c>
      <c r="C314" t="s">
        <v>70</v>
      </c>
      <c r="D314" t="s">
        <v>71</v>
      </c>
      <c r="E314" t="s">
        <v>170</v>
      </c>
      <c r="F314" t="s">
        <v>31</v>
      </c>
      <c r="G314" t="s">
        <v>38</v>
      </c>
      <c r="H314" t="s">
        <v>39</v>
      </c>
      <c r="I314" t="s">
        <v>684</v>
      </c>
      <c r="J314">
        <v>1</v>
      </c>
      <c r="K314" s="2">
        <v>3769.8</v>
      </c>
      <c r="L314">
        <v>10</v>
      </c>
      <c r="M314" s="2">
        <v>3392.82</v>
      </c>
      <c r="N314" s="2">
        <v>2626.69</v>
      </c>
      <c r="O314" s="2">
        <v>766.13</v>
      </c>
      <c r="P314" t="s">
        <v>27</v>
      </c>
      <c r="Q314" t="s">
        <v>49</v>
      </c>
    </row>
    <row r="315" spans="1:17" x14ac:dyDescent="0.3">
      <c r="A315" t="s">
        <v>685</v>
      </c>
      <c r="B315" s="1">
        <v>45708</v>
      </c>
      <c r="C315" t="s">
        <v>70</v>
      </c>
      <c r="D315" t="s">
        <v>75</v>
      </c>
      <c r="E315" t="s">
        <v>113</v>
      </c>
      <c r="F315" t="s">
        <v>31</v>
      </c>
      <c r="G315" t="s">
        <v>24</v>
      </c>
      <c r="H315" t="s">
        <v>171</v>
      </c>
      <c r="I315" t="s">
        <v>686</v>
      </c>
      <c r="J315">
        <v>4</v>
      </c>
      <c r="K315" s="2">
        <v>1256.76</v>
      </c>
      <c r="L315">
        <v>0</v>
      </c>
      <c r="M315" s="2">
        <v>5027.04</v>
      </c>
      <c r="N315" s="2">
        <v>3027.3</v>
      </c>
      <c r="O315" s="2">
        <v>1999.74</v>
      </c>
      <c r="P315" t="s">
        <v>48</v>
      </c>
      <c r="Q315" t="s">
        <v>28</v>
      </c>
    </row>
    <row r="316" spans="1:17" x14ac:dyDescent="0.3">
      <c r="A316" t="s">
        <v>687</v>
      </c>
      <c r="B316" s="1">
        <v>45939</v>
      </c>
      <c r="C316" t="s">
        <v>20</v>
      </c>
      <c r="D316" t="s">
        <v>55</v>
      </c>
      <c r="E316" t="s">
        <v>170</v>
      </c>
      <c r="F316" t="s">
        <v>31</v>
      </c>
      <c r="G316" t="s">
        <v>24</v>
      </c>
      <c r="H316" t="s">
        <v>134</v>
      </c>
      <c r="I316" t="s">
        <v>688</v>
      </c>
      <c r="J316">
        <v>5</v>
      </c>
      <c r="K316" s="2">
        <v>2182.9899999999998</v>
      </c>
      <c r="L316">
        <v>0</v>
      </c>
      <c r="M316" s="2">
        <v>10914.95</v>
      </c>
      <c r="N316" s="2">
        <v>8297.2000000000007</v>
      </c>
      <c r="O316" s="2">
        <v>2617.75</v>
      </c>
      <c r="P316" t="s">
        <v>41</v>
      </c>
      <c r="Q316" t="s">
        <v>49</v>
      </c>
    </row>
    <row r="317" spans="1:17" x14ac:dyDescent="0.3">
      <c r="A317" t="s">
        <v>689</v>
      </c>
      <c r="B317" s="1">
        <v>45846</v>
      </c>
      <c r="C317" t="s">
        <v>86</v>
      </c>
      <c r="D317" t="s">
        <v>90</v>
      </c>
      <c r="E317" t="s">
        <v>66</v>
      </c>
      <c r="F317" t="s">
        <v>31</v>
      </c>
      <c r="G317" t="s">
        <v>24</v>
      </c>
      <c r="H317" t="s">
        <v>134</v>
      </c>
      <c r="I317" t="s">
        <v>690</v>
      </c>
      <c r="J317">
        <v>11</v>
      </c>
      <c r="K317" s="2">
        <v>2256.34</v>
      </c>
      <c r="L317">
        <v>0</v>
      </c>
      <c r="M317" s="2">
        <v>24819.74</v>
      </c>
      <c r="N317" s="2">
        <v>17937.02</v>
      </c>
      <c r="O317" s="2">
        <v>6882.72</v>
      </c>
      <c r="P317" t="s">
        <v>27</v>
      </c>
      <c r="Q317" t="s">
        <v>42</v>
      </c>
    </row>
    <row r="318" spans="1:17" x14ac:dyDescent="0.3">
      <c r="A318" t="s">
        <v>691</v>
      </c>
      <c r="B318" s="1">
        <v>45698</v>
      </c>
      <c r="C318" t="s">
        <v>20</v>
      </c>
      <c r="D318" t="s">
        <v>55</v>
      </c>
      <c r="E318" t="s">
        <v>22</v>
      </c>
      <c r="F318" t="s">
        <v>31</v>
      </c>
      <c r="G318" t="s">
        <v>38</v>
      </c>
      <c r="H318" t="s">
        <v>91</v>
      </c>
      <c r="I318" t="s">
        <v>692</v>
      </c>
      <c r="J318">
        <v>11</v>
      </c>
      <c r="K318" s="2">
        <v>2346.25</v>
      </c>
      <c r="L318">
        <v>5</v>
      </c>
      <c r="M318" s="2">
        <v>24518.31</v>
      </c>
      <c r="N318" s="2">
        <v>18423.62</v>
      </c>
      <c r="O318" s="2">
        <v>6094.69</v>
      </c>
      <c r="P318" t="s">
        <v>41</v>
      </c>
      <c r="Q318" t="s">
        <v>42</v>
      </c>
    </row>
    <row r="319" spans="1:17" x14ac:dyDescent="0.3">
      <c r="A319" t="s">
        <v>693</v>
      </c>
      <c r="B319" s="1">
        <v>46133</v>
      </c>
      <c r="C319" t="s">
        <v>86</v>
      </c>
      <c r="D319" t="s">
        <v>87</v>
      </c>
      <c r="E319" t="s">
        <v>170</v>
      </c>
      <c r="F319" t="s">
        <v>23</v>
      </c>
      <c r="G319" t="s">
        <v>24</v>
      </c>
      <c r="H319" t="s">
        <v>171</v>
      </c>
      <c r="I319" t="s">
        <v>694</v>
      </c>
      <c r="J319">
        <v>12</v>
      </c>
      <c r="K319" s="2">
        <v>4804.6099999999997</v>
      </c>
      <c r="L319">
        <v>0</v>
      </c>
      <c r="M319" s="2">
        <v>57655.32</v>
      </c>
      <c r="N319" s="2">
        <v>32216.57</v>
      </c>
      <c r="O319" s="2">
        <v>25438.75</v>
      </c>
      <c r="P319" t="s">
        <v>27</v>
      </c>
      <c r="Q319" t="s">
        <v>61</v>
      </c>
    </row>
    <row r="320" spans="1:17" x14ac:dyDescent="0.3">
      <c r="A320" t="s">
        <v>695</v>
      </c>
      <c r="B320" s="1">
        <v>45818</v>
      </c>
      <c r="C320" t="s">
        <v>70</v>
      </c>
      <c r="D320" t="s">
        <v>71</v>
      </c>
      <c r="E320" t="s">
        <v>120</v>
      </c>
      <c r="F320" t="s">
        <v>37</v>
      </c>
      <c r="G320" t="s">
        <v>38</v>
      </c>
      <c r="H320" t="s">
        <v>106</v>
      </c>
      <c r="I320" t="s">
        <v>696</v>
      </c>
      <c r="J320">
        <v>4</v>
      </c>
      <c r="K320" s="2">
        <v>3210.27</v>
      </c>
      <c r="L320">
        <v>5</v>
      </c>
      <c r="M320" s="2">
        <v>12199.03</v>
      </c>
      <c r="N320" s="2">
        <v>6951.94</v>
      </c>
      <c r="O320" s="2">
        <v>5247.09</v>
      </c>
      <c r="P320" t="s">
        <v>41</v>
      </c>
      <c r="Q320" t="s">
        <v>49</v>
      </c>
    </row>
    <row r="321" spans="1:17" x14ac:dyDescent="0.3">
      <c r="A321" t="s">
        <v>697</v>
      </c>
      <c r="B321" s="1">
        <v>45944</v>
      </c>
      <c r="C321" t="s">
        <v>70</v>
      </c>
      <c r="D321" t="s">
        <v>75</v>
      </c>
      <c r="E321" t="s">
        <v>30</v>
      </c>
      <c r="F321" t="s">
        <v>23</v>
      </c>
      <c r="G321" t="s">
        <v>38</v>
      </c>
      <c r="H321" t="s">
        <v>72</v>
      </c>
      <c r="I321" t="s">
        <v>698</v>
      </c>
      <c r="J321">
        <v>11</v>
      </c>
      <c r="K321" s="2">
        <v>1880.55</v>
      </c>
      <c r="L321">
        <v>10</v>
      </c>
      <c r="M321" s="2">
        <v>18617.439999999999</v>
      </c>
      <c r="N321" s="2">
        <v>10670.32</v>
      </c>
      <c r="O321" s="2">
        <v>7947.12</v>
      </c>
      <c r="P321" t="s">
        <v>48</v>
      </c>
      <c r="Q321" t="s">
        <v>49</v>
      </c>
    </row>
    <row r="322" spans="1:17" x14ac:dyDescent="0.3">
      <c r="A322" t="s">
        <v>699</v>
      </c>
      <c r="B322" s="1">
        <v>45861</v>
      </c>
      <c r="C322" t="s">
        <v>35</v>
      </c>
      <c r="D322" t="s">
        <v>36</v>
      </c>
      <c r="E322" t="s">
        <v>22</v>
      </c>
      <c r="F322" t="s">
        <v>23</v>
      </c>
      <c r="G322" t="s">
        <v>24</v>
      </c>
      <c r="H322" t="s">
        <v>56</v>
      </c>
      <c r="I322" t="s">
        <v>700</v>
      </c>
      <c r="J322">
        <v>8</v>
      </c>
      <c r="K322" s="2">
        <v>1955.59</v>
      </c>
      <c r="L322">
        <v>10</v>
      </c>
      <c r="M322" s="2">
        <v>14080.25</v>
      </c>
      <c r="N322" s="2">
        <v>8849.07</v>
      </c>
      <c r="O322" s="2">
        <v>5231.18</v>
      </c>
      <c r="P322" t="s">
        <v>27</v>
      </c>
      <c r="Q322" t="s">
        <v>49</v>
      </c>
    </row>
    <row r="323" spans="1:17" x14ac:dyDescent="0.3">
      <c r="A323" t="s">
        <v>701</v>
      </c>
      <c r="B323" s="1">
        <v>45790</v>
      </c>
      <c r="C323" t="s">
        <v>35</v>
      </c>
      <c r="D323" t="s">
        <v>36</v>
      </c>
      <c r="E323" t="s">
        <v>51</v>
      </c>
      <c r="F323" t="s">
        <v>37</v>
      </c>
      <c r="G323" t="s">
        <v>24</v>
      </c>
      <c r="H323" t="s">
        <v>134</v>
      </c>
      <c r="I323" t="s">
        <v>702</v>
      </c>
      <c r="J323">
        <v>6</v>
      </c>
      <c r="K323" s="2">
        <v>2200.34</v>
      </c>
      <c r="L323">
        <v>10</v>
      </c>
      <c r="M323" s="2">
        <v>11881.84</v>
      </c>
      <c r="N323" s="2">
        <v>8493.49</v>
      </c>
      <c r="O323" s="2">
        <v>3388.35</v>
      </c>
      <c r="P323" t="s">
        <v>48</v>
      </c>
      <c r="Q323" t="s">
        <v>42</v>
      </c>
    </row>
    <row r="324" spans="1:17" x14ac:dyDescent="0.3">
      <c r="A324" t="s">
        <v>703</v>
      </c>
      <c r="B324" s="1">
        <v>46110</v>
      </c>
      <c r="C324" t="s">
        <v>86</v>
      </c>
      <c r="D324" t="s">
        <v>87</v>
      </c>
      <c r="E324" t="s">
        <v>113</v>
      </c>
      <c r="F324" t="s">
        <v>31</v>
      </c>
      <c r="G324" t="s">
        <v>24</v>
      </c>
      <c r="H324" t="s">
        <v>32</v>
      </c>
      <c r="I324" t="s">
        <v>704</v>
      </c>
      <c r="J324">
        <v>9</v>
      </c>
      <c r="K324" s="2">
        <v>506.91</v>
      </c>
      <c r="L324">
        <v>5</v>
      </c>
      <c r="M324" s="2">
        <v>4334.08</v>
      </c>
      <c r="N324" s="2">
        <v>2561.4699999999998</v>
      </c>
      <c r="O324" s="2">
        <v>1772.61</v>
      </c>
      <c r="P324" t="s">
        <v>41</v>
      </c>
      <c r="Q324" t="s">
        <v>61</v>
      </c>
    </row>
    <row r="325" spans="1:17" x14ac:dyDescent="0.3">
      <c r="A325" t="s">
        <v>705</v>
      </c>
      <c r="B325" s="1">
        <v>45925</v>
      </c>
      <c r="C325" t="s">
        <v>86</v>
      </c>
      <c r="D325" t="s">
        <v>90</v>
      </c>
      <c r="E325" t="s">
        <v>170</v>
      </c>
      <c r="F325" t="s">
        <v>37</v>
      </c>
      <c r="G325" t="s">
        <v>45</v>
      </c>
      <c r="H325" t="s">
        <v>52</v>
      </c>
      <c r="I325" t="s">
        <v>706</v>
      </c>
      <c r="J325">
        <v>1</v>
      </c>
      <c r="K325" s="2">
        <v>3341.11</v>
      </c>
      <c r="L325">
        <v>10</v>
      </c>
      <c r="M325" s="2">
        <v>3007</v>
      </c>
      <c r="N325" s="2">
        <v>2026.94</v>
      </c>
      <c r="O325" s="2">
        <v>980.06</v>
      </c>
      <c r="P325" t="s">
        <v>48</v>
      </c>
      <c r="Q325" t="s">
        <v>28</v>
      </c>
    </row>
    <row r="326" spans="1:17" x14ac:dyDescent="0.3">
      <c r="A326" t="s">
        <v>707</v>
      </c>
      <c r="B326" s="1">
        <v>46080</v>
      </c>
      <c r="C326" t="s">
        <v>20</v>
      </c>
      <c r="D326" t="s">
        <v>55</v>
      </c>
      <c r="E326" t="s">
        <v>44</v>
      </c>
      <c r="F326" t="s">
        <v>31</v>
      </c>
      <c r="G326" t="s">
        <v>38</v>
      </c>
      <c r="H326" t="s">
        <v>91</v>
      </c>
      <c r="I326" t="s">
        <v>708</v>
      </c>
      <c r="J326">
        <v>7</v>
      </c>
      <c r="K326" s="2">
        <v>2679.48</v>
      </c>
      <c r="L326">
        <v>0</v>
      </c>
      <c r="M326" s="2">
        <v>18756.36</v>
      </c>
      <c r="N326" s="2">
        <v>13619.2</v>
      </c>
      <c r="O326" s="2">
        <v>5137.16</v>
      </c>
      <c r="P326" t="s">
        <v>48</v>
      </c>
      <c r="Q326" t="s">
        <v>61</v>
      </c>
    </row>
    <row r="327" spans="1:17" x14ac:dyDescent="0.3">
      <c r="A327" t="s">
        <v>709</v>
      </c>
      <c r="B327" s="1">
        <v>46036</v>
      </c>
      <c r="C327" t="s">
        <v>86</v>
      </c>
      <c r="D327" t="s">
        <v>87</v>
      </c>
      <c r="E327" t="s">
        <v>66</v>
      </c>
      <c r="F327" t="s">
        <v>31</v>
      </c>
      <c r="G327" t="s">
        <v>24</v>
      </c>
      <c r="H327" t="s">
        <v>56</v>
      </c>
      <c r="I327" t="s">
        <v>710</v>
      </c>
      <c r="J327">
        <v>13</v>
      </c>
      <c r="K327" s="2">
        <v>518.65</v>
      </c>
      <c r="L327">
        <v>15</v>
      </c>
      <c r="M327" s="2">
        <v>5731.08</v>
      </c>
      <c r="N327" s="2">
        <v>3157.28</v>
      </c>
      <c r="O327" s="2">
        <v>2573.8000000000002</v>
      </c>
      <c r="P327" t="s">
        <v>27</v>
      </c>
      <c r="Q327" t="s">
        <v>42</v>
      </c>
    </row>
    <row r="328" spans="1:17" x14ac:dyDescent="0.3">
      <c r="A328" t="s">
        <v>711</v>
      </c>
      <c r="B328" s="1">
        <v>45994</v>
      </c>
      <c r="C328" t="s">
        <v>86</v>
      </c>
      <c r="D328" t="s">
        <v>87</v>
      </c>
      <c r="E328" t="s">
        <v>66</v>
      </c>
      <c r="F328" t="s">
        <v>23</v>
      </c>
      <c r="G328" t="s">
        <v>45</v>
      </c>
      <c r="H328" t="s">
        <v>123</v>
      </c>
      <c r="I328" t="s">
        <v>712</v>
      </c>
      <c r="J328">
        <v>7</v>
      </c>
      <c r="K328" s="2">
        <v>3117.32</v>
      </c>
      <c r="L328">
        <v>10</v>
      </c>
      <c r="M328" s="2">
        <v>19639.12</v>
      </c>
      <c r="N328" s="2">
        <v>11905.04</v>
      </c>
      <c r="O328" s="2">
        <v>7734.08</v>
      </c>
      <c r="P328" t="s">
        <v>41</v>
      </c>
      <c r="Q328" t="s">
        <v>61</v>
      </c>
    </row>
    <row r="329" spans="1:17" x14ac:dyDescent="0.3">
      <c r="A329" t="s">
        <v>713</v>
      </c>
      <c r="B329" s="1">
        <v>45921</v>
      </c>
      <c r="C329" t="s">
        <v>20</v>
      </c>
      <c r="D329" t="s">
        <v>55</v>
      </c>
      <c r="E329" t="s">
        <v>44</v>
      </c>
      <c r="F329" t="s">
        <v>37</v>
      </c>
      <c r="G329" t="s">
        <v>45</v>
      </c>
      <c r="H329" t="s">
        <v>159</v>
      </c>
      <c r="I329" t="s">
        <v>714</v>
      </c>
      <c r="J329">
        <v>13</v>
      </c>
      <c r="K329" s="2">
        <v>611.36</v>
      </c>
      <c r="L329">
        <v>0</v>
      </c>
      <c r="M329" s="2">
        <v>7947.68</v>
      </c>
      <c r="N329" s="2">
        <v>4626.54</v>
      </c>
      <c r="O329" s="2">
        <v>3321.14</v>
      </c>
      <c r="P329" t="s">
        <v>41</v>
      </c>
      <c r="Q329" t="s">
        <v>42</v>
      </c>
    </row>
    <row r="330" spans="1:17" x14ac:dyDescent="0.3">
      <c r="A330" t="s">
        <v>715</v>
      </c>
      <c r="B330" s="1">
        <v>46051</v>
      </c>
      <c r="C330" t="s">
        <v>35</v>
      </c>
      <c r="D330" t="s">
        <v>59</v>
      </c>
      <c r="E330" t="s">
        <v>30</v>
      </c>
      <c r="F330" t="s">
        <v>31</v>
      </c>
      <c r="G330" t="s">
        <v>38</v>
      </c>
      <c r="H330" t="s">
        <v>72</v>
      </c>
      <c r="I330" t="s">
        <v>716</v>
      </c>
      <c r="J330">
        <v>14</v>
      </c>
      <c r="K330" s="2">
        <v>2272.67</v>
      </c>
      <c r="L330">
        <v>10</v>
      </c>
      <c r="M330" s="2">
        <v>28635.64</v>
      </c>
      <c r="N330" s="2">
        <v>21965.42</v>
      </c>
      <c r="O330" s="2">
        <v>6670.22</v>
      </c>
      <c r="P330" t="s">
        <v>48</v>
      </c>
      <c r="Q330" t="s">
        <v>49</v>
      </c>
    </row>
    <row r="331" spans="1:17" x14ac:dyDescent="0.3">
      <c r="A331" t="s">
        <v>717</v>
      </c>
      <c r="B331" s="1">
        <v>46136</v>
      </c>
      <c r="C331" t="s">
        <v>86</v>
      </c>
      <c r="D331" t="s">
        <v>90</v>
      </c>
      <c r="E331" t="s">
        <v>113</v>
      </c>
      <c r="F331" t="s">
        <v>31</v>
      </c>
      <c r="G331" t="s">
        <v>24</v>
      </c>
      <c r="H331" t="s">
        <v>171</v>
      </c>
      <c r="I331" t="s">
        <v>718</v>
      </c>
      <c r="J331">
        <v>8</v>
      </c>
      <c r="K331" s="2">
        <v>4497.66</v>
      </c>
      <c r="L331">
        <v>0</v>
      </c>
      <c r="M331" s="2">
        <v>35981.279999999999</v>
      </c>
      <c r="N331" s="2">
        <v>23262.62</v>
      </c>
      <c r="O331" s="2">
        <v>12718.66</v>
      </c>
      <c r="P331" t="s">
        <v>41</v>
      </c>
      <c r="Q331" t="s">
        <v>49</v>
      </c>
    </row>
    <row r="332" spans="1:17" x14ac:dyDescent="0.3">
      <c r="A332" t="s">
        <v>719</v>
      </c>
      <c r="B332" s="1">
        <v>45711</v>
      </c>
      <c r="C332" t="s">
        <v>86</v>
      </c>
      <c r="D332" t="s">
        <v>90</v>
      </c>
      <c r="E332" t="s">
        <v>30</v>
      </c>
      <c r="F332" t="s">
        <v>31</v>
      </c>
      <c r="G332" t="s">
        <v>24</v>
      </c>
      <c r="H332" t="s">
        <v>32</v>
      </c>
      <c r="I332" t="s">
        <v>720</v>
      </c>
      <c r="J332">
        <v>12</v>
      </c>
      <c r="K332" s="2">
        <v>612.05999999999995</v>
      </c>
      <c r="L332">
        <v>10</v>
      </c>
      <c r="M332" s="2">
        <v>6610.25</v>
      </c>
      <c r="N332" s="2">
        <v>4170.8</v>
      </c>
      <c r="O332" s="2">
        <v>2439.4499999999998</v>
      </c>
      <c r="P332" t="s">
        <v>41</v>
      </c>
      <c r="Q332" t="s">
        <v>49</v>
      </c>
    </row>
    <row r="333" spans="1:17" x14ac:dyDescent="0.3">
      <c r="A333" t="s">
        <v>721</v>
      </c>
      <c r="B333" s="1">
        <v>46011</v>
      </c>
      <c r="C333" t="s">
        <v>86</v>
      </c>
      <c r="D333" t="s">
        <v>87</v>
      </c>
      <c r="E333" t="s">
        <v>51</v>
      </c>
      <c r="F333" t="s">
        <v>23</v>
      </c>
      <c r="G333" t="s">
        <v>38</v>
      </c>
      <c r="H333" t="s">
        <v>91</v>
      </c>
      <c r="I333" t="s">
        <v>722</v>
      </c>
      <c r="J333">
        <v>5</v>
      </c>
      <c r="K333" s="2">
        <v>2646.56</v>
      </c>
      <c r="L333">
        <v>15</v>
      </c>
      <c r="M333" s="2">
        <v>11247.88</v>
      </c>
      <c r="N333" s="2">
        <v>7607.39</v>
      </c>
      <c r="O333" s="2">
        <v>3640.49</v>
      </c>
      <c r="P333" t="s">
        <v>48</v>
      </c>
      <c r="Q333" t="s">
        <v>42</v>
      </c>
    </row>
    <row r="334" spans="1:17" x14ac:dyDescent="0.3">
      <c r="A334" t="s">
        <v>723</v>
      </c>
      <c r="B334" s="1">
        <v>45963</v>
      </c>
      <c r="C334" t="s">
        <v>70</v>
      </c>
      <c r="D334" t="s">
        <v>71</v>
      </c>
      <c r="E334" t="s">
        <v>170</v>
      </c>
      <c r="F334" t="s">
        <v>31</v>
      </c>
      <c r="G334" t="s">
        <v>24</v>
      </c>
      <c r="H334" t="s">
        <v>25</v>
      </c>
      <c r="I334" t="s">
        <v>724</v>
      </c>
      <c r="J334">
        <v>1</v>
      </c>
      <c r="K334" s="2">
        <v>827.14</v>
      </c>
      <c r="L334">
        <v>15</v>
      </c>
      <c r="M334" s="2">
        <v>703.07</v>
      </c>
      <c r="N334" s="2">
        <v>479.41</v>
      </c>
      <c r="O334" s="2">
        <v>223.66</v>
      </c>
      <c r="P334" t="s">
        <v>27</v>
      </c>
      <c r="Q334" t="s">
        <v>49</v>
      </c>
    </row>
    <row r="335" spans="1:17" x14ac:dyDescent="0.3">
      <c r="A335" t="s">
        <v>725</v>
      </c>
      <c r="B335" s="1">
        <v>45874</v>
      </c>
      <c r="C335" t="s">
        <v>35</v>
      </c>
      <c r="D335" t="s">
        <v>59</v>
      </c>
      <c r="E335" t="s">
        <v>120</v>
      </c>
      <c r="F335" t="s">
        <v>23</v>
      </c>
      <c r="G335" t="s">
        <v>38</v>
      </c>
      <c r="H335" t="s">
        <v>72</v>
      </c>
      <c r="I335" t="s">
        <v>726</v>
      </c>
      <c r="J335">
        <v>15</v>
      </c>
      <c r="K335" s="2">
        <v>4997.2700000000004</v>
      </c>
      <c r="L335">
        <v>10</v>
      </c>
      <c r="M335" s="2">
        <v>67463.149999999994</v>
      </c>
      <c r="N335" s="2">
        <v>51266.77</v>
      </c>
      <c r="O335" s="2">
        <v>16196.38</v>
      </c>
      <c r="P335" t="s">
        <v>48</v>
      </c>
      <c r="Q335" t="s">
        <v>28</v>
      </c>
    </row>
    <row r="336" spans="1:17" x14ac:dyDescent="0.3">
      <c r="A336" t="s">
        <v>727</v>
      </c>
      <c r="B336" s="1">
        <v>46044</v>
      </c>
      <c r="C336" t="s">
        <v>86</v>
      </c>
      <c r="D336" t="s">
        <v>90</v>
      </c>
      <c r="E336" t="s">
        <v>170</v>
      </c>
      <c r="F336" t="s">
        <v>31</v>
      </c>
      <c r="G336" t="s">
        <v>24</v>
      </c>
      <c r="H336" t="s">
        <v>134</v>
      </c>
      <c r="I336" t="s">
        <v>728</v>
      </c>
      <c r="J336">
        <v>13</v>
      </c>
      <c r="K336" s="2">
        <v>4534.58</v>
      </c>
      <c r="L336">
        <v>20</v>
      </c>
      <c r="M336" s="2">
        <v>47159.63</v>
      </c>
      <c r="N336" s="2">
        <v>33910.910000000003</v>
      </c>
      <c r="O336" s="2">
        <v>13248.72</v>
      </c>
      <c r="P336" t="s">
        <v>41</v>
      </c>
      <c r="Q336" t="s">
        <v>61</v>
      </c>
    </row>
    <row r="337" spans="1:17" x14ac:dyDescent="0.3">
      <c r="A337" t="s">
        <v>729</v>
      </c>
      <c r="B337" s="1">
        <v>45855</v>
      </c>
      <c r="C337" t="s">
        <v>35</v>
      </c>
      <c r="D337" t="s">
        <v>36</v>
      </c>
      <c r="E337" t="s">
        <v>113</v>
      </c>
      <c r="F337" t="s">
        <v>23</v>
      </c>
      <c r="G337" t="s">
        <v>38</v>
      </c>
      <c r="H337" t="s">
        <v>39</v>
      </c>
      <c r="I337" t="s">
        <v>730</v>
      </c>
      <c r="J337">
        <v>10</v>
      </c>
      <c r="K337" s="2">
        <v>2194.5</v>
      </c>
      <c r="L337">
        <v>0</v>
      </c>
      <c r="M337" s="2">
        <v>21945</v>
      </c>
      <c r="N337" s="2">
        <v>12777.58</v>
      </c>
      <c r="O337" s="2">
        <v>9167.42</v>
      </c>
      <c r="P337" t="s">
        <v>48</v>
      </c>
      <c r="Q337" t="s">
        <v>61</v>
      </c>
    </row>
    <row r="338" spans="1:17" x14ac:dyDescent="0.3">
      <c r="A338" t="s">
        <v>731</v>
      </c>
      <c r="B338" s="1">
        <v>45851</v>
      </c>
      <c r="C338" t="s">
        <v>20</v>
      </c>
      <c r="D338" t="s">
        <v>55</v>
      </c>
      <c r="E338" t="s">
        <v>22</v>
      </c>
      <c r="F338" t="s">
        <v>37</v>
      </c>
      <c r="G338" t="s">
        <v>45</v>
      </c>
      <c r="H338" t="s">
        <v>52</v>
      </c>
      <c r="I338" t="s">
        <v>732</v>
      </c>
      <c r="J338">
        <v>7</v>
      </c>
      <c r="K338" s="2">
        <v>1219.53</v>
      </c>
      <c r="L338">
        <v>15</v>
      </c>
      <c r="M338" s="2">
        <v>7256.2</v>
      </c>
      <c r="N338" s="2">
        <v>5044.21</v>
      </c>
      <c r="O338" s="2">
        <v>2211.9899999999998</v>
      </c>
      <c r="P338" t="s">
        <v>41</v>
      </c>
      <c r="Q338" t="s">
        <v>28</v>
      </c>
    </row>
    <row r="339" spans="1:17" x14ac:dyDescent="0.3">
      <c r="A339" t="s">
        <v>733</v>
      </c>
      <c r="B339" s="1">
        <v>45899</v>
      </c>
      <c r="C339" t="s">
        <v>20</v>
      </c>
      <c r="D339" t="s">
        <v>55</v>
      </c>
      <c r="E339" t="s">
        <v>113</v>
      </c>
      <c r="F339" t="s">
        <v>23</v>
      </c>
      <c r="G339" t="s">
        <v>45</v>
      </c>
      <c r="H339" t="s">
        <v>52</v>
      </c>
      <c r="I339" t="s">
        <v>734</v>
      </c>
      <c r="J339">
        <v>7</v>
      </c>
      <c r="K339" s="2">
        <v>1694.57</v>
      </c>
      <c r="L339">
        <v>20</v>
      </c>
      <c r="M339" s="2">
        <v>9489.59</v>
      </c>
      <c r="N339" s="2">
        <v>6953.81</v>
      </c>
      <c r="O339" s="2">
        <v>2535.7800000000002</v>
      </c>
      <c r="P339" t="s">
        <v>41</v>
      </c>
      <c r="Q339" t="s">
        <v>61</v>
      </c>
    </row>
    <row r="340" spans="1:17" x14ac:dyDescent="0.3">
      <c r="A340" t="s">
        <v>735</v>
      </c>
      <c r="B340" s="1">
        <v>45698</v>
      </c>
      <c r="C340" t="s">
        <v>35</v>
      </c>
      <c r="D340" t="s">
        <v>36</v>
      </c>
      <c r="E340" t="s">
        <v>66</v>
      </c>
      <c r="F340" t="s">
        <v>23</v>
      </c>
      <c r="G340" t="s">
        <v>45</v>
      </c>
      <c r="H340" t="s">
        <v>123</v>
      </c>
      <c r="I340" t="s">
        <v>736</v>
      </c>
      <c r="J340">
        <v>1</v>
      </c>
      <c r="K340" s="2">
        <v>575.41999999999996</v>
      </c>
      <c r="L340">
        <v>5</v>
      </c>
      <c r="M340" s="2">
        <v>546.65</v>
      </c>
      <c r="N340" s="2">
        <v>387.81</v>
      </c>
      <c r="O340" s="2">
        <v>158.84</v>
      </c>
      <c r="P340" t="s">
        <v>41</v>
      </c>
      <c r="Q340" t="s">
        <v>28</v>
      </c>
    </row>
    <row r="341" spans="1:17" x14ac:dyDescent="0.3">
      <c r="A341" t="s">
        <v>737</v>
      </c>
      <c r="B341" s="1">
        <v>46181</v>
      </c>
      <c r="C341" t="s">
        <v>86</v>
      </c>
      <c r="D341" t="s">
        <v>90</v>
      </c>
      <c r="E341" t="s">
        <v>22</v>
      </c>
      <c r="F341" t="s">
        <v>23</v>
      </c>
      <c r="G341" t="s">
        <v>45</v>
      </c>
      <c r="H341" t="s">
        <v>67</v>
      </c>
      <c r="I341" t="s">
        <v>738</v>
      </c>
      <c r="J341">
        <v>4</v>
      </c>
      <c r="K341" s="2">
        <v>4915.4799999999996</v>
      </c>
      <c r="L341">
        <v>15</v>
      </c>
      <c r="M341" s="2">
        <v>16712.63</v>
      </c>
      <c r="N341" s="2">
        <v>13561.38</v>
      </c>
      <c r="O341" s="2">
        <v>3151.25</v>
      </c>
      <c r="P341" t="s">
        <v>41</v>
      </c>
      <c r="Q341" t="s">
        <v>61</v>
      </c>
    </row>
    <row r="342" spans="1:17" x14ac:dyDescent="0.3">
      <c r="A342" t="s">
        <v>739</v>
      </c>
      <c r="B342" s="1">
        <v>45778</v>
      </c>
      <c r="C342" t="s">
        <v>35</v>
      </c>
      <c r="D342" t="s">
        <v>36</v>
      </c>
      <c r="E342" t="s">
        <v>51</v>
      </c>
      <c r="F342" t="s">
        <v>37</v>
      </c>
      <c r="G342" t="s">
        <v>45</v>
      </c>
      <c r="H342" t="s">
        <v>123</v>
      </c>
      <c r="I342" t="s">
        <v>623</v>
      </c>
      <c r="J342">
        <v>14</v>
      </c>
      <c r="K342" s="2">
        <v>2559.54</v>
      </c>
      <c r="L342">
        <v>15</v>
      </c>
      <c r="M342" s="2">
        <v>30458.53</v>
      </c>
      <c r="N342" s="2">
        <v>20511.14</v>
      </c>
      <c r="O342" s="2">
        <v>9947.39</v>
      </c>
      <c r="P342" t="s">
        <v>48</v>
      </c>
      <c r="Q342" t="s">
        <v>61</v>
      </c>
    </row>
    <row r="343" spans="1:17" x14ac:dyDescent="0.3">
      <c r="A343" t="s">
        <v>740</v>
      </c>
      <c r="B343" s="1">
        <v>46020</v>
      </c>
      <c r="C343" t="s">
        <v>20</v>
      </c>
      <c r="D343" t="s">
        <v>55</v>
      </c>
      <c r="E343" t="s">
        <v>30</v>
      </c>
      <c r="F343" t="s">
        <v>37</v>
      </c>
      <c r="G343" t="s">
        <v>38</v>
      </c>
      <c r="H343" t="s">
        <v>63</v>
      </c>
      <c r="I343" t="s">
        <v>741</v>
      </c>
      <c r="J343">
        <v>6</v>
      </c>
      <c r="K343" s="2">
        <v>407.97</v>
      </c>
      <c r="L343">
        <v>15</v>
      </c>
      <c r="M343" s="2">
        <v>2080.65</v>
      </c>
      <c r="N343" s="2">
        <v>1487.75</v>
      </c>
      <c r="O343" s="2">
        <v>592.9</v>
      </c>
      <c r="P343" t="s">
        <v>27</v>
      </c>
      <c r="Q343" t="s">
        <v>28</v>
      </c>
    </row>
    <row r="344" spans="1:17" x14ac:dyDescent="0.3">
      <c r="A344" t="s">
        <v>742</v>
      </c>
      <c r="B344" s="1">
        <v>45814</v>
      </c>
      <c r="C344" t="s">
        <v>86</v>
      </c>
      <c r="D344" t="s">
        <v>90</v>
      </c>
      <c r="E344" t="s">
        <v>170</v>
      </c>
      <c r="F344" t="s">
        <v>37</v>
      </c>
      <c r="G344" t="s">
        <v>38</v>
      </c>
      <c r="H344" t="s">
        <v>72</v>
      </c>
      <c r="I344" t="s">
        <v>743</v>
      </c>
      <c r="J344">
        <v>2</v>
      </c>
      <c r="K344" s="2">
        <v>2319.0100000000002</v>
      </c>
      <c r="L344">
        <v>0</v>
      </c>
      <c r="M344" s="2">
        <v>4638.0200000000004</v>
      </c>
      <c r="N344" s="2">
        <v>2648.51</v>
      </c>
      <c r="O344" s="2">
        <v>1989.51</v>
      </c>
      <c r="P344" t="s">
        <v>41</v>
      </c>
      <c r="Q344" t="s">
        <v>42</v>
      </c>
    </row>
    <row r="345" spans="1:17" x14ac:dyDescent="0.3">
      <c r="A345" t="s">
        <v>744</v>
      </c>
      <c r="B345" s="1">
        <v>46106</v>
      </c>
      <c r="C345" t="s">
        <v>35</v>
      </c>
      <c r="D345" t="s">
        <v>59</v>
      </c>
      <c r="E345" t="s">
        <v>113</v>
      </c>
      <c r="F345" t="s">
        <v>37</v>
      </c>
      <c r="G345" t="s">
        <v>45</v>
      </c>
      <c r="H345" t="s">
        <v>46</v>
      </c>
      <c r="I345" t="s">
        <v>745</v>
      </c>
      <c r="J345">
        <v>7</v>
      </c>
      <c r="K345" s="2">
        <v>569.70000000000005</v>
      </c>
      <c r="L345">
        <v>0</v>
      </c>
      <c r="M345" s="2">
        <v>3987.9</v>
      </c>
      <c r="N345" s="2">
        <v>3146.55</v>
      </c>
      <c r="O345" s="2">
        <v>841.35</v>
      </c>
      <c r="P345" t="s">
        <v>48</v>
      </c>
      <c r="Q345" t="s">
        <v>42</v>
      </c>
    </row>
    <row r="346" spans="1:17" x14ac:dyDescent="0.3">
      <c r="A346" t="s">
        <v>746</v>
      </c>
      <c r="B346" s="1">
        <v>46132</v>
      </c>
      <c r="C346" t="s">
        <v>20</v>
      </c>
      <c r="D346" t="s">
        <v>55</v>
      </c>
      <c r="E346" t="s">
        <v>120</v>
      </c>
      <c r="F346" t="s">
        <v>23</v>
      </c>
      <c r="G346" t="s">
        <v>38</v>
      </c>
      <c r="H346" t="s">
        <v>106</v>
      </c>
      <c r="I346" t="s">
        <v>747</v>
      </c>
      <c r="J346">
        <v>5</v>
      </c>
      <c r="K346" s="2">
        <v>4426.95</v>
      </c>
      <c r="L346">
        <v>5</v>
      </c>
      <c r="M346" s="2">
        <v>21028.01</v>
      </c>
      <c r="N346" s="2">
        <v>11803.57</v>
      </c>
      <c r="O346" s="2">
        <v>9224.44</v>
      </c>
      <c r="P346" t="s">
        <v>48</v>
      </c>
      <c r="Q346" t="s">
        <v>28</v>
      </c>
    </row>
    <row r="347" spans="1:17" x14ac:dyDescent="0.3">
      <c r="A347" t="s">
        <v>748</v>
      </c>
      <c r="B347" s="1">
        <v>45731</v>
      </c>
      <c r="C347" t="s">
        <v>70</v>
      </c>
      <c r="D347" t="s">
        <v>75</v>
      </c>
      <c r="E347" t="s">
        <v>51</v>
      </c>
      <c r="F347" t="s">
        <v>23</v>
      </c>
      <c r="G347" t="s">
        <v>24</v>
      </c>
      <c r="H347" t="s">
        <v>32</v>
      </c>
      <c r="I347" t="s">
        <v>749</v>
      </c>
      <c r="J347">
        <v>12</v>
      </c>
      <c r="K347" s="2">
        <v>1203.9000000000001</v>
      </c>
      <c r="L347">
        <v>20</v>
      </c>
      <c r="M347" s="2">
        <v>11557.44</v>
      </c>
      <c r="N347" s="2">
        <v>9219.68</v>
      </c>
      <c r="O347" s="2">
        <v>2337.7600000000002</v>
      </c>
      <c r="P347" t="s">
        <v>41</v>
      </c>
      <c r="Q347" t="s">
        <v>49</v>
      </c>
    </row>
    <row r="348" spans="1:17" x14ac:dyDescent="0.3">
      <c r="A348" t="s">
        <v>750</v>
      </c>
      <c r="B348" s="1">
        <v>45772</v>
      </c>
      <c r="C348" t="s">
        <v>20</v>
      </c>
      <c r="D348" t="s">
        <v>21</v>
      </c>
      <c r="E348" t="s">
        <v>170</v>
      </c>
      <c r="F348" t="s">
        <v>37</v>
      </c>
      <c r="G348" t="s">
        <v>45</v>
      </c>
      <c r="H348" t="s">
        <v>123</v>
      </c>
      <c r="I348" t="s">
        <v>751</v>
      </c>
      <c r="J348">
        <v>14</v>
      </c>
      <c r="K348" s="2">
        <v>3765.9</v>
      </c>
      <c r="L348">
        <v>5</v>
      </c>
      <c r="M348" s="2">
        <v>50086.47</v>
      </c>
      <c r="N348" s="2">
        <v>28143.67</v>
      </c>
      <c r="O348" s="2">
        <v>21942.799999999999</v>
      </c>
      <c r="P348" t="s">
        <v>27</v>
      </c>
      <c r="Q348" t="s">
        <v>61</v>
      </c>
    </row>
    <row r="349" spans="1:17" x14ac:dyDescent="0.3">
      <c r="A349" t="s">
        <v>752</v>
      </c>
      <c r="B349" s="1">
        <v>45882</v>
      </c>
      <c r="C349" t="s">
        <v>20</v>
      </c>
      <c r="D349" t="s">
        <v>55</v>
      </c>
      <c r="E349" t="s">
        <v>120</v>
      </c>
      <c r="F349" t="s">
        <v>31</v>
      </c>
      <c r="G349" t="s">
        <v>38</v>
      </c>
      <c r="H349" t="s">
        <v>91</v>
      </c>
      <c r="I349" t="s">
        <v>753</v>
      </c>
      <c r="J349">
        <v>14</v>
      </c>
      <c r="K349" s="2">
        <v>375.28</v>
      </c>
      <c r="L349">
        <v>5</v>
      </c>
      <c r="M349" s="2">
        <v>4991.22</v>
      </c>
      <c r="N349" s="2">
        <v>2833.7</v>
      </c>
      <c r="O349" s="2">
        <v>2157.52</v>
      </c>
      <c r="P349" t="s">
        <v>41</v>
      </c>
      <c r="Q349" t="s">
        <v>42</v>
      </c>
    </row>
    <row r="350" spans="1:17" x14ac:dyDescent="0.3">
      <c r="A350" t="s">
        <v>754</v>
      </c>
      <c r="B350" s="1">
        <v>46033</v>
      </c>
      <c r="C350" t="s">
        <v>35</v>
      </c>
      <c r="D350" t="s">
        <v>36</v>
      </c>
      <c r="E350" t="s">
        <v>44</v>
      </c>
      <c r="F350" t="s">
        <v>37</v>
      </c>
      <c r="G350" t="s">
        <v>38</v>
      </c>
      <c r="H350" t="s">
        <v>91</v>
      </c>
      <c r="I350" t="s">
        <v>755</v>
      </c>
      <c r="J350">
        <v>14</v>
      </c>
      <c r="K350" s="2">
        <v>1785.81</v>
      </c>
      <c r="L350">
        <v>20</v>
      </c>
      <c r="M350" s="2">
        <v>20001.07</v>
      </c>
      <c r="N350" s="2">
        <v>15308.16</v>
      </c>
      <c r="O350" s="2">
        <v>4692.91</v>
      </c>
      <c r="P350" t="s">
        <v>48</v>
      </c>
      <c r="Q350" t="s">
        <v>42</v>
      </c>
    </row>
    <row r="351" spans="1:17" x14ac:dyDescent="0.3">
      <c r="A351" t="s">
        <v>756</v>
      </c>
      <c r="B351" s="1">
        <v>45768</v>
      </c>
      <c r="C351" t="s">
        <v>86</v>
      </c>
      <c r="D351" t="s">
        <v>87</v>
      </c>
      <c r="E351" t="s">
        <v>22</v>
      </c>
      <c r="F351" t="s">
        <v>31</v>
      </c>
      <c r="G351" t="s">
        <v>45</v>
      </c>
      <c r="H351" t="s">
        <v>67</v>
      </c>
      <c r="I351" t="s">
        <v>757</v>
      </c>
      <c r="J351">
        <v>6</v>
      </c>
      <c r="K351" s="2">
        <v>3670.7</v>
      </c>
      <c r="L351">
        <v>0</v>
      </c>
      <c r="M351" s="2">
        <v>22024.2</v>
      </c>
      <c r="N351" s="2">
        <v>14810.3</v>
      </c>
      <c r="O351" s="2">
        <v>7213.9</v>
      </c>
      <c r="P351" t="s">
        <v>48</v>
      </c>
      <c r="Q351" t="s">
        <v>49</v>
      </c>
    </row>
    <row r="352" spans="1:17" x14ac:dyDescent="0.3">
      <c r="A352" t="s">
        <v>758</v>
      </c>
      <c r="B352" s="1">
        <v>45995</v>
      </c>
      <c r="C352" t="s">
        <v>70</v>
      </c>
      <c r="D352" t="s">
        <v>75</v>
      </c>
      <c r="E352" t="s">
        <v>22</v>
      </c>
      <c r="F352" t="s">
        <v>31</v>
      </c>
      <c r="G352" t="s">
        <v>38</v>
      </c>
      <c r="H352" t="s">
        <v>91</v>
      </c>
      <c r="I352" t="s">
        <v>759</v>
      </c>
      <c r="J352">
        <v>12</v>
      </c>
      <c r="K352" s="2">
        <v>2300.5300000000002</v>
      </c>
      <c r="L352">
        <v>15</v>
      </c>
      <c r="M352" s="2">
        <v>23465.41</v>
      </c>
      <c r="N352" s="2">
        <v>19137.830000000002</v>
      </c>
      <c r="O352" s="2">
        <v>4327.58</v>
      </c>
      <c r="P352" t="s">
        <v>27</v>
      </c>
      <c r="Q352" t="s">
        <v>28</v>
      </c>
    </row>
    <row r="353" spans="1:17" x14ac:dyDescent="0.3">
      <c r="A353" t="s">
        <v>760</v>
      </c>
      <c r="B353" s="1">
        <v>46184</v>
      </c>
      <c r="C353" t="s">
        <v>35</v>
      </c>
      <c r="D353" t="s">
        <v>59</v>
      </c>
      <c r="E353" t="s">
        <v>44</v>
      </c>
      <c r="F353" t="s">
        <v>37</v>
      </c>
      <c r="G353" t="s">
        <v>24</v>
      </c>
      <c r="H353" t="s">
        <v>171</v>
      </c>
      <c r="I353" t="s">
        <v>761</v>
      </c>
      <c r="J353">
        <v>5</v>
      </c>
      <c r="K353" s="2">
        <v>1285.94</v>
      </c>
      <c r="L353">
        <v>0</v>
      </c>
      <c r="M353" s="2">
        <v>6429.7</v>
      </c>
      <c r="N353" s="2">
        <v>5090.03</v>
      </c>
      <c r="O353" s="2">
        <v>1339.67</v>
      </c>
      <c r="P353" t="s">
        <v>48</v>
      </c>
      <c r="Q353" t="s">
        <v>28</v>
      </c>
    </row>
    <row r="354" spans="1:17" x14ac:dyDescent="0.3">
      <c r="A354" t="s">
        <v>762</v>
      </c>
      <c r="B354" s="1">
        <v>45820</v>
      </c>
      <c r="C354" t="s">
        <v>35</v>
      </c>
      <c r="D354" t="s">
        <v>36</v>
      </c>
      <c r="E354" t="s">
        <v>113</v>
      </c>
      <c r="F354" t="s">
        <v>31</v>
      </c>
      <c r="G354" t="s">
        <v>45</v>
      </c>
      <c r="H354" t="s">
        <v>52</v>
      </c>
      <c r="I354" t="s">
        <v>763</v>
      </c>
      <c r="J354">
        <v>6</v>
      </c>
      <c r="K354" s="2">
        <v>4994.17</v>
      </c>
      <c r="L354">
        <v>20</v>
      </c>
      <c r="M354" s="2">
        <v>23972.02</v>
      </c>
      <c r="N354" s="2">
        <v>14285.82</v>
      </c>
      <c r="O354" s="2">
        <v>9686.2000000000007</v>
      </c>
      <c r="P354" t="s">
        <v>48</v>
      </c>
      <c r="Q354" t="s">
        <v>28</v>
      </c>
    </row>
    <row r="355" spans="1:17" x14ac:dyDescent="0.3">
      <c r="A355" t="s">
        <v>764</v>
      </c>
      <c r="B355" s="1">
        <v>45825</v>
      </c>
      <c r="C355" t="s">
        <v>20</v>
      </c>
      <c r="D355" t="s">
        <v>21</v>
      </c>
      <c r="E355" t="s">
        <v>113</v>
      </c>
      <c r="F355" t="s">
        <v>31</v>
      </c>
      <c r="G355" t="s">
        <v>45</v>
      </c>
      <c r="H355" t="s">
        <v>67</v>
      </c>
      <c r="I355" t="s">
        <v>765</v>
      </c>
      <c r="J355">
        <v>8</v>
      </c>
      <c r="K355" s="2">
        <v>2759.74</v>
      </c>
      <c r="L355">
        <v>15</v>
      </c>
      <c r="M355" s="2">
        <v>18766.23</v>
      </c>
      <c r="N355" s="2">
        <v>12001.78</v>
      </c>
      <c r="O355" s="2">
        <v>6764.45</v>
      </c>
      <c r="P355" t="s">
        <v>48</v>
      </c>
      <c r="Q355" t="s">
        <v>28</v>
      </c>
    </row>
    <row r="356" spans="1:17" x14ac:dyDescent="0.3">
      <c r="A356" t="s">
        <v>766</v>
      </c>
      <c r="B356" s="1">
        <v>46168</v>
      </c>
      <c r="C356" t="s">
        <v>70</v>
      </c>
      <c r="D356" t="s">
        <v>75</v>
      </c>
      <c r="E356" t="s">
        <v>66</v>
      </c>
      <c r="F356" t="s">
        <v>23</v>
      </c>
      <c r="G356" t="s">
        <v>45</v>
      </c>
      <c r="H356" t="s">
        <v>46</v>
      </c>
      <c r="I356" t="s">
        <v>577</v>
      </c>
      <c r="J356">
        <v>14</v>
      </c>
      <c r="K356" s="2">
        <v>1235.6199999999999</v>
      </c>
      <c r="L356">
        <v>15</v>
      </c>
      <c r="M356" s="2">
        <v>14703.88</v>
      </c>
      <c r="N356" s="2">
        <v>10295.07</v>
      </c>
      <c r="O356" s="2">
        <v>4408.8100000000004</v>
      </c>
      <c r="P356" t="s">
        <v>41</v>
      </c>
      <c r="Q356" t="s">
        <v>49</v>
      </c>
    </row>
    <row r="357" spans="1:17" x14ac:dyDescent="0.3">
      <c r="A357" t="s">
        <v>767</v>
      </c>
      <c r="B357" s="1">
        <v>45803</v>
      </c>
      <c r="C357" t="s">
        <v>35</v>
      </c>
      <c r="D357" t="s">
        <v>36</v>
      </c>
      <c r="E357" t="s">
        <v>22</v>
      </c>
      <c r="F357" t="s">
        <v>31</v>
      </c>
      <c r="G357" t="s">
        <v>24</v>
      </c>
      <c r="H357" t="s">
        <v>134</v>
      </c>
      <c r="I357" t="s">
        <v>768</v>
      </c>
      <c r="J357">
        <v>2</v>
      </c>
      <c r="K357" s="2">
        <v>2239.69</v>
      </c>
      <c r="L357">
        <v>20</v>
      </c>
      <c r="M357" s="2">
        <v>3583.5</v>
      </c>
      <c r="N357" s="2">
        <v>2385.41</v>
      </c>
      <c r="O357" s="2">
        <v>1198.0899999999999</v>
      </c>
      <c r="P357" t="s">
        <v>41</v>
      </c>
      <c r="Q357" t="s">
        <v>49</v>
      </c>
    </row>
    <row r="358" spans="1:17" x14ac:dyDescent="0.3">
      <c r="A358" t="s">
        <v>769</v>
      </c>
      <c r="B358" s="1">
        <v>46180</v>
      </c>
      <c r="C358" t="s">
        <v>86</v>
      </c>
      <c r="D358" t="s">
        <v>90</v>
      </c>
      <c r="E358" t="s">
        <v>66</v>
      </c>
      <c r="F358" t="s">
        <v>37</v>
      </c>
      <c r="G358" t="s">
        <v>24</v>
      </c>
      <c r="H358" t="s">
        <v>25</v>
      </c>
      <c r="I358" t="s">
        <v>770</v>
      </c>
      <c r="J358">
        <v>5</v>
      </c>
      <c r="K358" s="2">
        <v>3166.42</v>
      </c>
      <c r="L358">
        <v>5</v>
      </c>
      <c r="M358" s="2">
        <v>15040.49</v>
      </c>
      <c r="N358" s="2">
        <v>11828.02</v>
      </c>
      <c r="O358" s="2">
        <v>3212.47</v>
      </c>
      <c r="P358" t="s">
        <v>48</v>
      </c>
      <c r="Q358" t="s">
        <v>49</v>
      </c>
    </row>
    <row r="359" spans="1:17" x14ac:dyDescent="0.3">
      <c r="A359" t="s">
        <v>771</v>
      </c>
      <c r="B359" s="1">
        <v>45700</v>
      </c>
      <c r="C359" t="s">
        <v>86</v>
      </c>
      <c r="D359" t="s">
        <v>90</v>
      </c>
      <c r="E359" t="s">
        <v>113</v>
      </c>
      <c r="F359" t="s">
        <v>37</v>
      </c>
      <c r="G359" t="s">
        <v>38</v>
      </c>
      <c r="H359" t="s">
        <v>106</v>
      </c>
      <c r="I359" t="s">
        <v>772</v>
      </c>
      <c r="J359">
        <v>9</v>
      </c>
      <c r="K359" s="2">
        <v>4916.95</v>
      </c>
      <c r="L359">
        <v>0</v>
      </c>
      <c r="M359" s="2">
        <v>44252.55</v>
      </c>
      <c r="N359" s="2">
        <v>27298.65</v>
      </c>
      <c r="O359" s="2">
        <v>16953.900000000001</v>
      </c>
      <c r="P359" t="s">
        <v>48</v>
      </c>
      <c r="Q359" t="s">
        <v>61</v>
      </c>
    </row>
    <row r="360" spans="1:17" x14ac:dyDescent="0.3">
      <c r="A360" t="s">
        <v>773</v>
      </c>
      <c r="B360" s="1">
        <v>45979</v>
      </c>
      <c r="C360" t="s">
        <v>20</v>
      </c>
      <c r="D360" t="s">
        <v>55</v>
      </c>
      <c r="E360" t="s">
        <v>120</v>
      </c>
      <c r="F360" t="s">
        <v>23</v>
      </c>
      <c r="G360" t="s">
        <v>24</v>
      </c>
      <c r="H360" t="s">
        <v>171</v>
      </c>
      <c r="I360" t="s">
        <v>774</v>
      </c>
      <c r="J360">
        <v>9</v>
      </c>
      <c r="K360" s="2">
        <v>3353.07</v>
      </c>
      <c r="L360">
        <v>20</v>
      </c>
      <c r="M360" s="2">
        <v>24142.1</v>
      </c>
      <c r="N360" s="2">
        <v>15346.76</v>
      </c>
      <c r="O360" s="2">
        <v>8795.34</v>
      </c>
      <c r="P360" t="s">
        <v>41</v>
      </c>
      <c r="Q360" t="s">
        <v>61</v>
      </c>
    </row>
    <row r="361" spans="1:17" x14ac:dyDescent="0.3">
      <c r="A361" t="s">
        <v>775</v>
      </c>
      <c r="B361" s="1">
        <v>46141</v>
      </c>
      <c r="C361" t="s">
        <v>70</v>
      </c>
      <c r="D361" t="s">
        <v>71</v>
      </c>
      <c r="E361" t="s">
        <v>113</v>
      </c>
      <c r="F361" t="s">
        <v>37</v>
      </c>
      <c r="G361" t="s">
        <v>45</v>
      </c>
      <c r="H361" t="s">
        <v>52</v>
      </c>
      <c r="I361" t="s">
        <v>776</v>
      </c>
      <c r="J361">
        <v>8</v>
      </c>
      <c r="K361" s="2">
        <v>4692.12</v>
      </c>
      <c r="L361">
        <v>20</v>
      </c>
      <c r="M361" s="2">
        <v>30029.57</v>
      </c>
      <c r="N361" s="2">
        <v>20012.03</v>
      </c>
      <c r="O361" s="2">
        <v>10017.540000000001</v>
      </c>
      <c r="P361" t="s">
        <v>48</v>
      </c>
      <c r="Q361" t="s">
        <v>61</v>
      </c>
    </row>
    <row r="362" spans="1:17" x14ac:dyDescent="0.3">
      <c r="A362" t="s">
        <v>777</v>
      </c>
      <c r="B362" s="1">
        <v>45692</v>
      </c>
      <c r="C362" t="s">
        <v>70</v>
      </c>
      <c r="D362" t="s">
        <v>75</v>
      </c>
      <c r="E362" t="s">
        <v>66</v>
      </c>
      <c r="F362" t="s">
        <v>23</v>
      </c>
      <c r="G362" t="s">
        <v>45</v>
      </c>
      <c r="H362" t="s">
        <v>123</v>
      </c>
      <c r="I362" t="s">
        <v>778</v>
      </c>
      <c r="J362">
        <v>10</v>
      </c>
      <c r="K362" s="2">
        <v>215.41</v>
      </c>
      <c r="L362">
        <v>0</v>
      </c>
      <c r="M362" s="2">
        <v>2154.1</v>
      </c>
      <c r="N362" s="2">
        <v>1555.47</v>
      </c>
      <c r="O362" s="2">
        <v>598.63</v>
      </c>
      <c r="P362" t="s">
        <v>48</v>
      </c>
      <c r="Q362" t="s">
        <v>42</v>
      </c>
    </row>
    <row r="363" spans="1:17" x14ac:dyDescent="0.3">
      <c r="A363" t="s">
        <v>779</v>
      </c>
      <c r="B363" s="1">
        <v>46195</v>
      </c>
      <c r="C363" t="s">
        <v>35</v>
      </c>
      <c r="D363" t="s">
        <v>36</v>
      </c>
      <c r="E363" t="s">
        <v>44</v>
      </c>
      <c r="F363" t="s">
        <v>31</v>
      </c>
      <c r="G363" t="s">
        <v>38</v>
      </c>
      <c r="H363" t="s">
        <v>39</v>
      </c>
      <c r="I363" t="s">
        <v>780</v>
      </c>
      <c r="J363">
        <v>7</v>
      </c>
      <c r="K363" s="2">
        <v>778.55</v>
      </c>
      <c r="L363">
        <v>20</v>
      </c>
      <c r="M363" s="2">
        <v>4359.88</v>
      </c>
      <c r="N363" s="2">
        <v>3525.9</v>
      </c>
      <c r="O363" s="2">
        <v>833.98</v>
      </c>
      <c r="P363" t="s">
        <v>27</v>
      </c>
      <c r="Q363" t="s">
        <v>28</v>
      </c>
    </row>
    <row r="364" spans="1:17" x14ac:dyDescent="0.3">
      <c r="A364" t="s">
        <v>781</v>
      </c>
      <c r="B364" s="1">
        <v>45864</v>
      </c>
      <c r="C364" t="s">
        <v>20</v>
      </c>
      <c r="D364" t="s">
        <v>55</v>
      </c>
      <c r="E364" t="s">
        <v>51</v>
      </c>
      <c r="F364" t="s">
        <v>23</v>
      </c>
      <c r="G364" t="s">
        <v>24</v>
      </c>
      <c r="H364" t="s">
        <v>25</v>
      </c>
      <c r="I364" t="s">
        <v>782</v>
      </c>
      <c r="J364">
        <v>15</v>
      </c>
      <c r="K364" s="2">
        <v>1125.8599999999999</v>
      </c>
      <c r="L364">
        <v>0</v>
      </c>
      <c r="M364" s="2">
        <v>16887.900000000001</v>
      </c>
      <c r="N364" s="2">
        <v>12500.67</v>
      </c>
      <c r="O364" s="2">
        <v>4387.2299999999996</v>
      </c>
      <c r="P364" t="s">
        <v>27</v>
      </c>
      <c r="Q364" t="s">
        <v>42</v>
      </c>
    </row>
    <row r="365" spans="1:17" x14ac:dyDescent="0.3">
      <c r="A365" t="s">
        <v>783</v>
      </c>
      <c r="B365" s="1">
        <v>45741</v>
      </c>
      <c r="C365" t="s">
        <v>20</v>
      </c>
      <c r="D365" t="s">
        <v>21</v>
      </c>
      <c r="E365" t="s">
        <v>30</v>
      </c>
      <c r="F365" t="s">
        <v>37</v>
      </c>
      <c r="G365" t="s">
        <v>45</v>
      </c>
      <c r="H365" t="s">
        <v>52</v>
      </c>
      <c r="I365" t="s">
        <v>784</v>
      </c>
      <c r="J365">
        <v>4</v>
      </c>
      <c r="K365" s="2">
        <v>3471.62</v>
      </c>
      <c r="L365">
        <v>15</v>
      </c>
      <c r="M365" s="2">
        <v>11803.51</v>
      </c>
      <c r="N365" s="2">
        <v>6711.23</v>
      </c>
      <c r="O365" s="2">
        <v>5092.28</v>
      </c>
      <c r="P365" t="s">
        <v>27</v>
      </c>
      <c r="Q365" t="s">
        <v>61</v>
      </c>
    </row>
    <row r="366" spans="1:17" x14ac:dyDescent="0.3">
      <c r="A366" t="s">
        <v>785</v>
      </c>
      <c r="B366" s="1">
        <v>45920</v>
      </c>
      <c r="C366" t="s">
        <v>86</v>
      </c>
      <c r="D366" t="s">
        <v>87</v>
      </c>
      <c r="E366" t="s">
        <v>120</v>
      </c>
      <c r="F366" t="s">
        <v>23</v>
      </c>
      <c r="G366" t="s">
        <v>38</v>
      </c>
      <c r="H366" t="s">
        <v>63</v>
      </c>
      <c r="I366" t="s">
        <v>786</v>
      </c>
      <c r="J366">
        <v>7</v>
      </c>
      <c r="K366" s="2">
        <v>720.6</v>
      </c>
      <c r="L366">
        <v>0</v>
      </c>
      <c r="M366" s="2">
        <v>5044.2</v>
      </c>
      <c r="N366" s="2">
        <v>3787.77</v>
      </c>
      <c r="O366" s="2">
        <v>1256.43</v>
      </c>
      <c r="P366" t="s">
        <v>27</v>
      </c>
      <c r="Q366" t="s">
        <v>28</v>
      </c>
    </row>
    <row r="367" spans="1:17" x14ac:dyDescent="0.3">
      <c r="A367" t="s">
        <v>787</v>
      </c>
      <c r="B367" s="1">
        <v>46126</v>
      </c>
      <c r="C367" t="s">
        <v>20</v>
      </c>
      <c r="D367" t="s">
        <v>55</v>
      </c>
      <c r="E367" t="s">
        <v>170</v>
      </c>
      <c r="F367" t="s">
        <v>37</v>
      </c>
      <c r="G367" t="s">
        <v>24</v>
      </c>
      <c r="H367" t="s">
        <v>56</v>
      </c>
      <c r="I367" t="s">
        <v>788</v>
      </c>
      <c r="J367">
        <v>10</v>
      </c>
      <c r="K367" s="2">
        <v>1092.51</v>
      </c>
      <c r="L367">
        <v>10</v>
      </c>
      <c r="M367" s="2">
        <v>9832.59</v>
      </c>
      <c r="N367" s="2">
        <v>5972.36</v>
      </c>
      <c r="O367" s="2">
        <v>3860.23</v>
      </c>
      <c r="P367" t="s">
        <v>27</v>
      </c>
      <c r="Q367" t="s">
        <v>61</v>
      </c>
    </row>
    <row r="368" spans="1:17" x14ac:dyDescent="0.3">
      <c r="A368" t="s">
        <v>789</v>
      </c>
      <c r="B368" s="1">
        <v>45983</v>
      </c>
      <c r="C368" t="s">
        <v>70</v>
      </c>
      <c r="D368" t="s">
        <v>71</v>
      </c>
      <c r="E368" t="s">
        <v>113</v>
      </c>
      <c r="F368" t="s">
        <v>23</v>
      </c>
      <c r="G368" t="s">
        <v>45</v>
      </c>
      <c r="H368" t="s">
        <v>67</v>
      </c>
      <c r="I368" t="s">
        <v>790</v>
      </c>
      <c r="J368">
        <v>14</v>
      </c>
      <c r="K368" s="2">
        <v>657.54</v>
      </c>
      <c r="L368">
        <v>10</v>
      </c>
      <c r="M368" s="2">
        <v>8285</v>
      </c>
      <c r="N368" s="2">
        <v>6546.2</v>
      </c>
      <c r="O368" s="2">
        <v>1738.8</v>
      </c>
      <c r="P368" t="s">
        <v>27</v>
      </c>
      <c r="Q368" t="s">
        <v>49</v>
      </c>
    </row>
    <row r="369" spans="1:17" x14ac:dyDescent="0.3">
      <c r="A369" t="s">
        <v>791</v>
      </c>
      <c r="B369" s="1">
        <v>46050</v>
      </c>
      <c r="C369" t="s">
        <v>20</v>
      </c>
      <c r="D369" t="s">
        <v>21</v>
      </c>
      <c r="E369" t="s">
        <v>170</v>
      </c>
      <c r="F369" t="s">
        <v>37</v>
      </c>
      <c r="G369" t="s">
        <v>24</v>
      </c>
      <c r="H369" t="s">
        <v>56</v>
      </c>
      <c r="I369" t="s">
        <v>792</v>
      </c>
      <c r="J369">
        <v>4</v>
      </c>
      <c r="K369" s="2">
        <v>4722.33</v>
      </c>
      <c r="L369">
        <v>5</v>
      </c>
      <c r="M369" s="2">
        <v>17944.849999999999</v>
      </c>
      <c r="N369" s="2">
        <v>12271.25</v>
      </c>
      <c r="O369" s="2">
        <v>5673.6</v>
      </c>
      <c r="P369" t="s">
        <v>27</v>
      </c>
      <c r="Q369" t="s">
        <v>49</v>
      </c>
    </row>
    <row r="370" spans="1:17" x14ac:dyDescent="0.3">
      <c r="A370" t="s">
        <v>793</v>
      </c>
      <c r="B370" s="1">
        <v>45897</v>
      </c>
      <c r="C370" t="s">
        <v>20</v>
      </c>
      <c r="D370" t="s">
        <v>55</v>
      </c>
      <c r="E370" t="s">
        <v>170</v>
      </c>
      <c r="F370" t="s">
        <v>37</v>
      </c>
      <c r="G370" t="s">
        <v>38</v>
      </c>
      <c r="H370" t="s">
        <v>63</v>
      </c>
      <c r="I370" t="s">
        <v>794</v>
      </c>
      <c r="J370">
        <v>4</v>
      </c>
      <c r="K370" s="2">
        <v>431.22</v>
      </c>
      <c r="L370">
        <v>0</v>
      </c>
      <c r="M370" s="2">
        <v>1724.88</v>
      </c>
      <c r="N370" s="2">
        <v>1155.9000000000001</v>
      </c>
      <c r="O370" s="2">
        <v>568.98</v>
      </c>
      <c r="P370" t="s">
        <v>48</v>
      </c>
      <c r="Q370" t="s">
        <v>42</v>
      </c>
    </row>
    <row r="371" spans="1:17" x14ac:dyDescent="0.3">
      <c r="A371" t="s">
        <v>795</v>
      </c>
      <c r="B371" s="1">
        <v>45751</v>
      </c>
      <c r="C371" t="s">
        <v>20</v>
      </c>
      <c r="D371" t="s">
        <v>55</v>
      </c>
      <c r="E371" t="s">
        <v>66</v>
      </c>
      <c r="F371" t="s">
        <v>37</v>
      </c>
      <c r="G371" t="s">
        <v>38</v>
      </c>
      <c r="H371" t="s">
        <v>72</v>
      </c>
      <c r="I371" t="s">
        <v>796</v>
      </c>
      <c r="J371">
        <v>7</v>
      </c>
      <c r="K371" s="2">
        <v>2326.0100000000002</v>
      </c>
      <c r="L371">
        <v>0</v>
      </c>
      <c r="M371" s="2">
        <v>16282.07</v>
      </c>
      <c r="N371" s="2">
        <v>9093.64</v>
      </c>
      <c r="O371" s="2">
        <v>7188.43</v>
      </c>
      <c r="P371" t="s">
        <v>41</v>
      </c>
      <c r="Q371" t="s">
        <v>61</v>
      </c>
    </row>
    <row r="372" spans="1:17" x14ac:dyDescent="0.3">
      <c r="A372" t="s">
        <v>797</v>
      </c>
      <c r="B372" s="1">
        <v>45940</v>
      </c>
      <c r="C372" t="s">
        <v>70</v>
      </c>
      <c r="D372" t="s">
        <v>75</v>
      </c>
      <c r="E372" t="s">
        <v>22</v>
      </c>
      <c r="F372" t="s">
        <v>37</v>
      </c>
      <c r="G372" t="s">
        <v>24</v>
      </c>
      <c r="H372" t="s">
        <v>56</v>
      </c>
      <c r="I372" t="s">
        <v>798</v>
      </c>
      <c r="J372">
        <v>8</v>
      </c>
      <c r="K372" s="2">
        <v>4879.8</v>
      </c>
      <c r="L372">
        <v>10</v>
      </c>
      <c r="M372" s="2">
        <v>35134.559999999998</v>
      </c>
      <c r="N372" s="2">
        <v>25601.9</v>
      </c>
      <c r="O372" s="2">
        <v>9532.66</v>
      </c>
      <c r="P372" t="s">
        <v>27</v>
      </c>
      <c r="Q372" t="s">
        <v>49</v>
      </c>
    </row>
    <row r="373" spans="1:17" x14ac:dyDescent="0.3">
      <c r="A373" t="s">
        <v>799</v>
      </c>
      <c r="B373" s="1">
        <v>45915</v>
      </c>
      <c r="C373" t="s">
        <v>20</v>
      </c>
      <c r="D373" t="s">
        <v>55</v>
      </c>
      <c r="E373" t="s">
        <v>22</v>
      </c>
      <c r="F373" t="s">
        <v>37</v>
      </c>
      <c r="G373" t="s">
        <v>38</v>
      </c>
      <c r="H373" t="s">
        <v>106</v>
      </c>
      <c r="I373" t="s">
        <v>800</v>
      </c>
      <c r="J373">
        <v>15</v>
      </c>
      <c r="K373" s="2">
        <v>3689.27</v>
      </c>
      <c r="L373">
        <v>15</v>
      </c>
      <c r="M373" s="2">
        <v>47038.19</v>
      </c>
      <c r="N373" s="2">
        <v>36529.949999999997</v>
      </c>
      <c r="O373" s="2">
        <v>10508.24</v>
      </c>
      <c r="P373" t="s">
        <v>27</v>
      </c>
      <c r="Q373" t="s">
        <v>42</v>
      </c>
    </row>
    <row r="374" spans="1:17" x14ac:dyDescent="0.3">
      <c r="A374" t="s">
        <v>801</v>
      </c>
      <c r="B374" s="1">
        <v>46100</v>
      </c>
      <c r="C374" t="s">
        <v>86</v>
      </c>
      <c r="D374" t="s">
        <v>87</v>
      </c>
      <c r="E374" t="s">
        <v>113</v>
      </c>
      <c r="F374" t="s">
        <v>23</v>
      </c>
      <c r="G374" t="s">
        <v>45</v>
      </c>
      <c r="H374" t="s">
        <v>67</v>
      </c>
      <c r="I374" t="s">
        <v>802</v>
      </c>
      <c r="J374">
        <v>3</v>
      </c>
      <c r="K374" s="2">
        <v>2309</v>
      </c>
      <c r="L374">
        <v>20</v>
      </c>
      <c r="M374" s="2">
        <v>5541.6</v>
      </c>
      <c r="N374" s="2">
        <v>3483.31</v>
      </c>
      <c r="O374" s="2">
        <v>2058.29</v>
      </c>
      <c r="P374" t="s">
        <v>41</v>
      </c>
      <c r="Q374" t="s">
        <v>49</v>
      </c>
    </row>
    <row r="375" spans="1:17" x14ac:dyDescent="0.3">
      <c r="A375" t="s">
        <v>803</v>
      </c>
      <c r="B375" s="1">
        <v>45786</v>
      </c>
      <c r="C375" t="s">
        <v>70</v>
      </c>
      <c r="D375" t="s">
        <v>75</v>
      </c>
      <c r="E375" t="s">
        <v>113</v>
      </c>
      <c r="F375" t="s">
        <v>31</v>
      </c>
      <c r="G375" t="s">
        <v>45</v>
      </c>
      <c r="H375" t="s">
        <v>67</v>
      </c>
      <c r="I375" t="s">
        <v>804</v>
      </c>
      <c r="J375">
        <v>10</v>
      </c>
      <c r="K375" s="2">
        <v>1136.46</v>
      </c>
      <c r="L375">
        <v>5</v>
      </c>
      <c r="M375" s="2">
        <v>10796.37</v>
      </c>
      <c r="N375" s="2">
        <v>7824.12</v>
      </c>
      <c r="O375" s="2">
        <v>2972.25</v>
      </c>
      <c r="P375" t="s">
        <v>41</v>
      </c>
      <c r="Q375" t="s">
        <v>28</v>
      </c>
    </row>
    <row r="376" spans="1:17" x14ac:dyDescent="0.3">
      <c r="A376" t="s">
        <v>805</v>
      </c>
      <c r="B376" s="1">
        <v>45863</v>
      </c>
      <c r="C376" t="s">
        <v>20</v>
      </c>
      <c r="D376" t="s">
        <v>55</v>
      </c>
      <c r="E376" t="s">
        <v>120</v>
      </c>
      <c r="F376" t="s">
        <v>37</v>
      </c>
      <c r="G376" t="s">
        <v>24</v>
      </c>
      <c r="H376" t="s">
        <v>171</v>
      </c>
      <c r="I376" t="s">
        <v>806</v>
      </c>
      <c r="J376">
        <v>2</v>
      </c>
      <c r="K376" s="2">
        <v>3607.74</v>
      </c>
      <c r="L376">
        <v>10</v>
      </c>
      <c r="M376" s="2">
        <v>6493.93</v>
      </c>
      <c r="N376" s="2">
        <v>3578.52</v>
      </c>
      <c r="O376" s="2">
        <v>2915.41</v>
      </c>
      <c r="P376" t="s">
        <v>48</v>
      </c>
      <c r="Q376" t="s">
        <v>28</v>
      </c>
    </row>
    <row r="377" spans="1:17" x14ac:dyDescent="0.3">
      <c r="A377" t="s">
        <v>807</v>
      </c>
      <c r="B377" s="1">
        <v>46165</v>
      </c>
      <c r="C377" t="s">
        <v>70</v>
      </c>
      <c r="D377" t="s">
        <v>71</v>
      </c>
      <c r="E377" t="s">
        <v>22</v>
      </c>
      <c r="F377" t="s">
        <v>23</v>
      </c>
      <c r="G377" t="s">
        <v>24</v>
      </c>
      <c r="H377" t="s">
        <v>32</v>
      </c>
      <c r="I377" t="s">
        <v>808</v>
      </c>
      <c r="J377">
        <v>2</v>
      </c>
      <c r="K377" s="2">
        <v>4974.8999999999996</v>
      </c>
      <c r="L377">
        <v>20</v>
      </c>
      <c r="M377" s="2">
        <v>7959.84</v>
      </c>
      <c r="N377" s="2">
        <v>4793.91</v>
      </c>
      <c r="O377" s="2">
        <v>3165.93</v>
      </c>
      <c r="P377" t="s">
        <v>48</v>
      </c>
      <c r="Q377" t="s">
        <v>49</v>
      </c>
    </row>
    <row r="378" spans="1:17" x14ac:dyDescent="0.3">
      <c r="A378" t="s">
        <v>809</v>
      </c>
      <c r="B378" s="1">
        <v>45727</v>
      </c>
      <c r="C378" t="s">
        <v>35</v>
      </c>
      <c r="D378" t="s">
        <v>36</v>
      </c>
      <c r="E378" t="s">
        <v>120</v>
      </c>
      <c r="F378" t="s">
        <v>31</v>
      </c>
      <c r="G378" t="s">
        <v>38</v>
      </c>
      <c r="H378" t="s">
        <v>91</v>
      </c>
      <c r="I378" t="s">
        <v>810</v>
      </c>
      <c r="J378">
        <v>9</v>
      </c>
      <c r="K378" s="2">
        <v>1955.64</v>
      </c>
      <c r="L378">
        <v>0</v>
      </c>
      <c r="M378" s="2">
        <v>17600.759999999998</v>
      </c>
      <c r="N378" s="2">
        <v>10562.48</v>
      </c>
      <c r="O378" s="2">
        <v>7038.28</v>
      </c>
      <c r="P378" t="s">
        <v>27</v>
      </c>
      <c r="Q378" t="s">
        <v>42</v>
      </c>
    </row>
    <row r="379" spans="1:17" x14ac:dyDescent="0.3">
      <c r="A379" t="s">
        <v>811</v>
      </c>
      <c r="B379" s="1">
        <v>45949</v>
      </c>
      <c r="C379" t="s">
        <v>35</v>
      </c>
      <c r="D379" t="s">
        <v>59</v>
      </c>
      <c r="E379" t="s">
        <v>170</v>
      </c>
      <c r="F379" t="s">
        <v>37</v>
      </c>
      <c r="G379" t="s">
        <v>38</v>
      </c>
      <c r="H379" t="s">
        <v>91</v>
      </c>
      <c r="I379" t="s">
        <v>812</v>
      </c>
      <c r="J379">
        <v>15</v>
      </c>
      <c r="K379" s="2">
        <v>2507.81</v>
      </c>
      <c r="L379">
        <v>20</v>
      </c>
      <c r="M379" s="2">
        <v>30093.72</v>
      </c>
      <c r="N379" s="2">
        <v>22004.66</v>
      </c>
      <c r="O379" s="2">
        <v>8089.06</v>
      </c>
      <c r="P379" t="s">
        <v>48</v>
      </c>
      <c r="Q379" t="s">
        <v>61</v>
      </c>
    </row>
    <row r="380" spans="1:17" x14ac:dyDescent="0.3">
      <c r="A380" t="s">
        <v>813</v>
      </c>
      <c r="B380" s="1">
        <v>45837</v>
      </c>
      <c r="C380" t="s">
        <v>86</v>
      </c>
      <c r="D380" t="s">
        <v>87</v>
      </c>
      <c r="E380" t="s">
        <v>44</v>
      </c>
      <c r="F380" t="s">
        <v>37</v>
      </c>
      <c r="G380" t="s">
        <v>45</v>
      </c>
      <c r="H380" t="s">
        <v>46</v>
      </c>
      <c r="I380" t="s">
        <v>814</v>
      </c>
      <c r="J380">
        <v>7</v>
      </c>
      <c r="K380" s="2">
        <v>3040.12</v>
      </c>
      <c r="L380">
        <v>20</v>
      </c>
      <c r="M380" s="2">
        <v>17024.669999999998</v>
      </c>
      <c r="N380" s="2">
        <v>11060.35</v>
      </c>
      <c r="O380" s="2">
        <v>5964.32</v>
      </c>
      <c r="P380" t="s">
        <v>41</v>
      </c>
      <c r="Q380" t="s">
        <v>61</v>
      </c>
    </row>
    <row r="381" spans="1:17" x14ac:dyDescent="0.3">
      <c r="A381" t="s">
        <v>815</v>
      </c>
      <c r="B381" s="1">
        <v>45720</v>
      </c>
      <c r="C381" t="s">
        <v>86</v>
      </c>
      <c r="D381" t="s">
        <v>87</v>
      </c>
      <c r="E381" t="s">
        <v>22</v>
      </c>
      <c r="F381" t="s">
        <v>23</v>
      </c>
      <c r="G381" t="s">
        <v>38</v>
      </c>
      <c r="H381" t="s">
        <v>106</v>
      </c>
      <c r="I381" t="s">
        <v>816</v>
      </c>
      <c r="J381">
        <v>13</v>
      </c>
      <c r="K381" s="2">
        <v>4249.09</v>
      </c>
      <c r="L381">
        <v>15</v>
      </c>
      <c r="M381" s="2">
        <v>46952.44</v>
      </c>
      <c r="N381" s="2">
        <v>34741.56</v>
      </c>
      <c r="O381" s="2">
        <v>12210.88</v>
      </c>
      <c r="P381" t="s">
        <v>27</v>
      </c>
      <c r="Q381" t="s">
        <v>42</v>
      </c>
    </row>
    <row r="382" spans="1:17" x14ac:dyDescent="0.3">
      <c r="A382" t="s">
        <v>817</v>
      </c>
      <c r="B382" s="1">
        <v>45942</v>
      </c>
      <c r="C382" t="s">
        <v>86</v>
      </c>
      <c r="D382" t="s">
        <v>90</v>
      </c>
      <c r="E382" t="s">
        <v>44</v>
      </c>
      <c r="F382" t="s">
        <v>37</v>
      </c>
      <c r="G382" t="s">
        <v>24</v>
      </c>
      <c r="H382" t="s">
        <v>56</v>
      </c>
      <c r="I382" t="s">
        <v>818</v>
      </c>
      <c r="J382">
        <v>15</v>
      </c>
      <c r="K382" s="2">
        <v>2662.86</v>
      </c>
      <c r="L382">
        <v>10</v>
      </c>
      <c r="M382" s="2">
        <v>35948.61</v>
      </c>
      <c r="N382" s="2">
        <v>23584</v>
      </c>
      <c r="O382" s="2">
        <v>12364.61</v>
      </c>
      <c r="P382" t="s">
        <v>48</v>
      </c>
      <c r="Q382" t="s">
        <v>61</v>
      </c>
    </row>
    <row r="383" spans="1:17" x14ac:dyDescent="0.3">
      <c r="A383" t="s">
        <v>819</v>
      </c>
      <c r="B383" s="1">
        <v>45912</v>
      </c>
      <c r="C383" t="s">
        <v>20</v>
      </c>
      <c r="D383" t="s">
        <v>21</v>
      </c>
      <c r="E383" t="s">
        <v>120</v>
      </c>
      <c r="F383" t="s">
        <v>37</v>
      </c>
      <c r="G383" t="s">
        <v>38</v>
      </c>
      <c r="H383" t="s">
        <v>91</v>
      </c>
      <c r="I383" t="s">
        <v>820</v>
      </c>
      <c r="J383">
        <v>4</v>
      </c>
      <c r="K383" s="2">
        <v>855.89</v>
      </c>
      <c r="L383">
        <v>0</v>
      </c>
      <c r="M383" s="2">
        <v>3423.56</v>
      </c>
      <c r="N383" s="2">
        <v>2728.03</v>
      </c>
      <c r="O383" s="2">
        <v>695.53</v>
      </c>
      <c r="P383" t="s">
        <v>48</v>
      </c>
      <c r="Q383" t="s">
        <v>49</v>
      </c>
    </row>
    <row r="384" spans="1:17" x14ac:dyDescent="0.3">
      <c r="A384" t="s">
        <v>821</v>
      </c>
      <c r="B384" s="1">
        <v>45771</v>
      </c>
      <c r="C384" t="s">
        <v>70</v>
      </c>
      <c r="D384" t="s">
        <v>75</v>
      </c>
      <c r="E384" t="s">
        <v>113</v>
      </c>
      <c r="F384" t="s">
        <v>37</v>
      </c>
      <c r="G384" t="s">
        <v>24</v>
      </c>
      <c r="H384" t="s">
        <v>56</v>
      </c>
      <c r="I384" t="s">
        <v>822</v>
      </c>
      <c r="J384">
        <v>13</v>
      </c>
      <c r="K384" s="2">
        <v>814.67</v>
      </c>
      <c r="L384">
        <v>5</v>
      </c>
      <c r="M384" s="2">
        <v>10061.17</v>
      </c>
      <c r="N384" s="2">
        <v>6852.45</v>
      </c>
      <c r="O384" s="2">
        <v>3208.72</v>
      </c>
      <c r="P384" t="s">
        <v>48</v>
      </c>
      <c r="Q384" t="s">
        <v>61</v>
      </c>
    </row>
    <row r="385" spans="1:17" x14ac:dyDescent="0.3">
      <c r="A385" t="s">
        <v>823</v>
      </c>
      <c r="B385" s="1">
        <v>45666</v>
      </c>
      <c r="C385" t="s">
        <v>86</v>
      </c>
      <c r="D385" t="s">
        <v>90</v>
      </c>
      <c r="E385" t="s">
        <v>22</v>
      </c>
      <c r="F385" t="s">
        <v>23</v>
      </c>
      <c r="G385" t="s">
        <v>45</v>
      </c>
      <c r="H385" t="s">
        <v>123</v>
      </c>
      <c r="I385" t="s">
        <v>253</v>
      </c>
      <c r="J385">
        <v>1</v>
      </c>
      <c r="K385" s="2">
        <v>2488.16</v>
      </c>
      <c r="L385">
        <v>0</v>
      </c>
      <c r="M385" s="2">
        <v>2488.16</v>
      </c>
      <c r="N385" s="2">
        <v>1979.68</v>
      </c>
      <c r="O385" s="2">
        <v>508.48</v>
      </c>
      <c r="P385" t="s">
        <v>41</v>
      </c>
      <c r="Q385" t="s">
        <v>49</v>
      </c>
    </row>
    <row r="386" spans="1:17" x14ac:dyDescent="0.3">
      <c r="A386" t="s">
        <v>824</v>
      </c>
      <c r="B386" s="1">
        <v>45793</v>
      </c>
      <c r="C386" t="s">
        <v>35</v>
      </c>
      <c r="D386" t="s">
        <v>36</v>
      </c>
      <c r="E386" t="s">
        <v>113</v>
      </c>
      <c r="F386" t="s">
        <v>31</v>
      </c>
      <c r="G386" t="s">
        <v>45</v>
      </c>
      <c r="H386" t="s">
        <v>123</v>
      </c>
      <c r="I386" t="s">
        <v>825</v>
      </c>
      <c r="J386">
        <v>1</v>
      </c>
      <c r="K386" s="2">
        <v>868.08</v>
      </c>
      <c r="L386">
        <v>0</v>
      </c>
      <c r="M386" s="2">
        <v>868.08</v>
      </c>
      <c r="N386" s="2">
        <v>692.17</v>
      </c>
      <c r="O386" s="2">
        <v>175.91</v>
      </c>
      <c r="P386" t="s">
        <v>27</v>
      </c>
      <c r="Q386" t="s">
        <v>49</v>
      </c>
    </row>
    <row r="387" spans="1:17" x14ac:dyDescent="0.3">
      <c r="A387" t="s">
        <v>826</v>
      </c>
      <c r="B387" s="1">
        <v>45686</v>
      </c>
      <c r="C387" t="s">
        <v>70</v>
      </c>
      <c r="D387" t="s">
        <v>71</v>
      </c>
      <c r="E387" t="s">
        <v>66</v>
      </c>
      <c r="F387" t="s">
        <v>37</v>
      </c>
      <c r="G387" t="s">
        <v>38</v>
      </c>
      <c r="H387" t="s">
        <v>63</v>
      </c>
      <c r="I387" t="s">
        <v>827</v>
      </c>
      <c r="J387">
        <v>9</v>
      </c>
      <c r="K387" s="2">
        <v>3647.25</v>
      </c>
      <c r="L387">
        <v>15</v>
      </c>
      <c r="M387" s="2">
        <v>27901.46</v>
      </c>
      <c r="N387" s="2">
        <v>21061.03</v>
      </c>
      <c r="O387" s="2">
        <v>6840.43</v>
      </c>
      <c r="P387" t="s">
        <v>48</v>
      </c>
      <c r="Q387" t="s">
        <v>28</v>
      </c>
    </row>
    <row r="388" spans="1:17" x14ac:dyDescent="0.3">
      <c r="A388" t="s">
        <v>828</v>
      </c>
      <c r="B388" s="1">
        <v>45842</v>
      </c>
      <c r="C388" t="s">
        <v>70</v>
      </c>
      <c r="D388" t="s">
        <v>71</v>
      </c>
      <c r="E388" t="s">
        <v>113</v>
      </c>
      <c r="F388" t="s">
        <v>23</v>
      </c>
      <c r="G388" t="s">
        <v>45</v>
      </c>
      <c r="H388" t="s">
        <v>46</v>
      </c>
      <c r="I388" t="s">
        <v>829</v>
      </c>
      <c r="J388">
        <v>5</v>
      </c>
      <c r="K388" s="2">
        <v>4930.74</v>
      </c>
      <c r="L388">
        <v>20</v>
      </c>
      <c r="M388" s="2">
        <v>19722.96</v>
      </c>
      <c r="N388" s="2">
        <v>11231.15</v>
      </c>
      <c r="O388" s="2">
        <v>8491.81</v>
      </c>
      <c r="P388" t="s">
        <v>27</v>
      </c>
      <c r="Q388" t="s">
        <v>49</v>
      </c>
    </row>
    <row r="389" spans="1:17" x14ac:dyDescent="0.3">
      <c r="A389" t="s">
        <v>830</v>
      </c>
      <c r="B389" s="1">
        <v>45950</v>
      </c>
      <c r="C389" t="s">
        <v>35</v>
      </c>
      <c r="D389" t="s">
        <v>36</v>
      </c>
      <c r="E389" t="s">
        <v>113</v>
      </c>
      <c r="F389" t="s">
        <v>31</v>
      </c>
      <c r="G389" t="s">
        <v>45</v>
      </c>
      <c r="H389" t="s">
        <v>46</v>
      </c>
      <c r="I389" t="s">
        <v>831</v>
      </c>
      <c r="J389">
        <v>14</v>
      </c>
      <c r="K389" s="2">
        <v>1003.42</v>
      </c>
      <c r="L389">
        <v>0</v>
      </c>
      <c r="M389" s="2">
        <v>14047.88</v>
      </c>
      <c r="N389" s="2">
        <v>11446.16</v>
      </c>
      <c r="O389" s="2">
        <v>2601.7199999999998</v>
      </c>
      <c r="P389" t="s">
        <v>48</v>
      </c>
      <c r="Q389" t="s">
        <v>28</v>
      </c>
    </row>
    <row r="390" spans="1:17" x14ac:dyDescent="0.3">
      <c r="A390" t="s">
        <v>832</v>
      </c>
      <c r="B390" s="1">
        <v>45945</v>
      </c>
      <c r="C390" t="s">
        <v>35</v>
      </c>
      <c r="D390" t="s">
        <v>36</v>
      </c>
      <c r="E390" t="s">
        <v>66</v>
      </c>
      <c r="F390" t="s">
        <v>37</v>
      </c>
      <c r="G390" t="s">
        <v>45</v>
      </c>
      <c r="H390" t="s">
        <v>67</v>
      </c>
      <c r="I390" t="s">
        <v>833</v>
      </c>
      <c r="J390">
        <v>3</v>
      </c>
      <c r="K390" s="2">
        <v>4151.28</v>
      </c>
      <c r="L390">
        <v>5</v>
      </c>
      <c r="M390" s="2">
        <v>11831.15</v>
      </c>
      <c r="N390" s="2">
        <v>7099</v>
      </c>
      <c r="O390" s="2">
        <v>4732.1499999999996</v>
      </c>
      <c r="P390" t="s">
        <v>27</v>
      </c>
      <c r="Q390" t="s">
        <v>28</v>
      </c>
    </row>
    <row r="391" spans="1:17" x14ac:dyDescent="0.3">
      <c r="A391" t="s">
        <v>834</v>
      </c>
      <c r="B391" s="1">
        <v>46135</v>
      </c>
      <c r="C391" t="s">
        <v>70</v>
      </c>
      <c r="D391" t="s">
        <v>71</v>
      </c>
      <c r="E391" t="s">
        <v>113</v>
      </c>
      <c r="F391" t="s">
        <v>23</v>
      </c>
      <c r="G391" t="s">
        <v>45</v>
      </c>
      <c r="H391" t="s">
        <v>46</v>
      </c>
      <c r="I391" t="s">
        <v>835</v>
      </c>
      <c r="J391">
        <v>2</v>
      </c>
      <c r="K391" s="2">
        <v>1462.65</v>
      </c>
      <c r="L391">
        <v>5</v>
      </c>
      <c r="M391" s="2">
        <v>2779.03</v>
      </c>
      <c r="N391" s="2">
        <v>2139.38</v>
      </c>
      <c r="O391" s="2">
        <v>639.65</v>
      </c>
      <c r="P391" t="s">
        <v>27</v>
      </c>
      <c r="Q391" t="s">
        <v>28</v>
      </c>
    </row>
    <row r="392" spans="1:17" x14ac:dyDescent="0.3">
      <c r="A392" t="s">
        <v>836</v>
      </c>
      <c r="B392" s="1">
        <v>45852</v>
      </c>
      <c r="C392" t="s">
        <v>86</v>
      </c>
      <c r="D392" t="s">
        <v>87</v>
      </c>
      <c r="E392" t="s">
        <v>44</v>
      </c>
      <c r="F392" t="s">
        <v>37</v>
      </c>
      <c r="G392" t="s">
        <v>45</v>
      </c>
      <c r="H392" t="s">
        <v>123</v>
      </c>
      <c r="I392" t="s">
        <v>837</v>
      </c>
      <c r="J392">
        <v>9</v>
      </c>
      <c r="K392" s="2">
        <v>235.1</v>
      </c>
      <c r="L392">
        <v>10</v>
      </c>
      <c r="M392" s="2">
        <v>1904.31</v>
      </c>
      <c r="N392" s="2">
        <v>1253.94</v>
      </c>
      <c r="O392" s="2">
        <v>650.37</v>
      </c>
      <c r="P392" t="s">
        <v>27</v>
      </c>
      <c r="Q392" t="s">
        <v>28</v>
      </c>
    </row>
    <row r="393" spans="1:17" x14ac:dyDescent="0.3">
      <c r="A393" t="s">
        <v>838</v>
      </c>
      <c r="B393" s="1">
        <v>46050</v>
      </c>
      <c r="C393" t="s">
        <v>20</v>
      </c>
      <c r="D393" t="s">
        <v>21</v>
      </c>
      <c r="E393" t="s">
        <v>66</v>
      </c>
      <c r="F393" t="s">
        <v>23</v>
      </c>
      <c r="G393" t="s">
        <v>38</v>
      </c>
      <c r="H393" t="s">
        <v>91</v>
      </c>
      <c r="I393" t="s">
        <v>839</v>
      </c>
      <c r="J393">
        <v>6</v>
      </c>
      <c r="K393" s="2">
        <v>975.63</v>
      </c>
      <c r="L393">
        <v>20</v>
      </c>
      <c r="M393" s="2">
        <v>4683.0200000000004</v>
      </c>
      <c r="N393" s="2">
        <v>2610.19</v>
      </c>
      <c r="O393" s="2">
        <v>2072.83</v>
      </c>
      <c r="P393" t="s">
        <v>27</v>
      </c>
      <c r="Q393" t="s">
        <v>49</v>
      </c>
    </row>
    <row r="394" spans="1:17" x14ac:dyDescent="0.3">
      <c r="A394" t="s">
        <v>840</v>
      </c>
      <c r="B394" s="1">
        <v>45798</v>
      </c>
      <c r="C394" t="s">
        <v>70</v>
      </c>
      <c r="D394" t="s">
        <v>71</v>
      </c>
      <c r="E394" t="s">
        <v>113</v>
      </c>
      <c r="F394" t="s">
        <v>23</v>
      </c>
      <c r="G394" t="s">
        <v>38</v>
      </c>
      <c r="H394" t="s">
        <v>63</v>
      </c>
      <c r="I394" t="s">
        <v>841</v>
      </c>
      <c r="J394">
        <v>12</v>
      </c>
      <c r="K394" s="2">
        <v>4131.1000000000004</v>
      </c>
      <c r="L394">
        <v>20</v>
      </c>
      <c r="M394" s="2">
        <v>39658.559999999998</v>
      </c>
      <c r="N394" s="2">
        <v>23221.599999999999</v>
      </c>
      <c r="O394" s="2">
        <v>16436.96</v>
      </c>
      <c r="P394" t="s">
        <v>48</v>
      </c>
      <c r="Q394" t="s">
        <v>61</v>
      </c>
    </row>
    <row r="395" spans="1:17" x14ac:dyDescent="0.3">
      <c r="A395" t="s">
        <v>842</v>
      </c>
      <c r="B395" s="1">
        <v>46190</v>
      </c>
      <c r="C395" t="s">
        <v>20</v>
      </c>
      <c r="D395" t="s">
        <v>21</v>
      </c>
      <c r="E395" t="s">
        <v>30</v>
      </c>
      <c r="F395" t="s">
        <v>37</v>
      </c>
      <c r="G395" t="s">
        <v>45</v>
      </c>
      <c r="H395" t="s">
        <v>123</v>
      </c>
      <c r="I395" t="s">
        <v>843</v>
      </c>
      <c r="J395">
        <v>12</v>
      </c>
      <c r="K395" s="2">
        <v>2205.58</v>
      </c>
      <c r="L395">
        <v>20</v>
      </c>
      <c r="M395" s="2">
        <v>21173.57</v>
      </c>
      <c r="N395" s="2">
        <v>13734.98</v>
      </c>
      <c r="O395" s="2">
        <v>7438.59</v>
      </c>
      <c r="P395" t="s">
        <v>27</v>
      </c>
      <c r="Q395" t="s">
        <v>42</v>
      </c>
    </row>
    <row r="396" spans="1:17" x14ac:dyDescent="0.3">
      <c r="A396" t="s">
        <v>844</v>
      </c>
      <c r="B396" s="1">
        <v>45789</v>
      </c>
      <c r="C396" t="s">
        <v>20</v>
      </c>
      <c r="D396" t="s">
        <v>21</v>
      </c>
      <c r="E396" t="s">
        <v>22</v>
      </c>
      <c r="F396" t="s">
        <v>23</v>
      </c>
      <c r="G396" t="s">
        <v>24</v>
      </c>
      <c r="H396" t="s">
        <v>25</v>
      </c>
      <c r="I396" t="s">
        <v>845</v>
      </c>
      <c r="J396">
        <v>13</v>
      </c>
      <c r="K396" s="2">
        <v>2252.58</v>
      </c>
      <c r="L396">
        <v>10</v>
      </c>
      <c r="M396" s="2">
        <v>26355.19</v>
      </c>
      <c r="N396" s="2">
        <v>19861.55</v>
      </c>
      <c r="O396" s="2">
        <v>6493.64</v>
      </c>
      <c r="P396" t="s">
        <v>27</v>
      </c>
      <c r="Q396" t="s">
        <v>28</v>
      </c>
    </row>
    <row r="397" spans="1:17" x14ac:dyDescent="0.3">
      <c r="A397" t="s">
        <v>846</v>
      </c>
      <c r="B397" s="1">
        <v>45850</v>
      </c>
      <c r="C397" t="s">
        <v>70</v>
      </c>
      <c r="D397" t="s">
        <v>71</v>
      </c>
      <c r="E397" t="s">
        <v>66</v>
      </c>
      <c r="F397" t="s">
        <v>31</v>
      </c>
      <c r="G397" t="s">
        <v>38</v>
      </c>
      <c r="H397" t="s">
        <v>72</v>
      </c>
      <c r="I397" t="s">
        <v>847</v>
      </c>
      <c r="J397">
        <v>14</v>
      </c>
      <c r="K397" s="2">
        <v>4481.07</v>
      </c>
      <c r="L397">
        <v>20</v>
      </c>
      <c r="M397" s="2">
        <v>50187.98</v>
      </c>
      <c r="N397" s="2">
        <v>30257.57</v>
      </c>
      <c r="O397" s="2">
        <v>19930.41</v>
      </c>
      <c r="P397" t="s">
        <v>48</v>
      </c>
      <c r="Q397" t="s">
        <v>49</v>
      </c>
    </row>
    <row r="398" spans="1:17" x14ac:dyDescent="0.3">
      <c r="A398" t="s">
        <v>848</v>
      </c>
      <c r="B398" s="1">
        <v>45721</v>
      </c>
      <c r="C398" t="s">
        <v>35</v>
      </c>
      <c r="D398" t="s">
        <v>59</v>
      </c>
      <c r="E398" t="s">
        <v>22</v>
      </c>
      <c r="F398" t="s">
        <v>37</v>
      </c>
      <c r="G398" t="s">
        <v>45</v>
      </c>
      <c r="H398" t="s">
        <v>46</v>
      </c>
      <c r="I398" t="s">
        <v>849</v>
      </c>
      <c r="J398">
        <v>11</v>
      </c>
      <c r="K398" s="2">
        <v>3378.14</v>
      </c>
      <c r="L398">
        <v>0</v>
      </c>
      <c r="M398" s="2">
        <v>37159.54</v>
      </c>
      <c r="N398" s="2">
        <v>28208.43</v>
      </c>
      <c r="O398" s="2">
        <v>8951.11</v>
      </c>
      <c r="P398" t="s">
        <v>27</v>
      </c>
      <c r="Q398" t="s">
        <v>42</v>
      </c>
    </row>
    <row r="399" spans="1:17" x14ac:dyDescent="0.3">
      <c r="A399" t="s">
        <v>850</v>
      </c>
      <c r="B399" s="1">
        <v>45875</v>
      </c>
      <c r="C399" t="s">
        <v>20</v>
      </c>
      <c r="D399" t="s">
        <v>55</v>
      </c>
      <c r="E399" t="s">
        <v>30</v>
      </c>
      <c r="F399" t="s">
        <v>31</v>
      </c>
      <c r="G399" t="s">
        <v>24</v>
      </c>
      <c r="H399" t="s">
        <v>171</v>
      </c>
      <c r="I399" t="s">
        <v>851</v>
      </c>
      <c r="J399">
        <v>5</v>
      </c>
      <c r="K399" s="2">
        <v>2809.5</v>
      </c>
      <c r="L399">
        <v>20</v>
      </c>
      <c r="M399" s="2">
        <v>11238</v>
      </c>
      <c r="N399" s="2">
        <v>7906.12</v>
      </c>
      <c r="O399" s="2">
        <v>3331.88</v>
      </c>
      <c r="P399" t="s">
        <v>41</v>
      </c>
      <c r="Q399" t="s">
        <v>49</v>
      </c>
    </row>
    <row r="400" spans="1:17" x14ac:dyDescent="0.3">
      <c r="A400" t="s">
        <v>852</v>
      </c>
      <c r="B400" s="1">
        <v>46199</v>
      </c>
      <c r="C400" t="s">
        <v>70</v>
      </c>
      <c r="D400" t="s">
        <v>75</v>
      </c>
      <c r="E400" t="s">
        <v>113</v>
      </c>
      <c r="F400" t="s">
        <v>23</v>
      </c>
      <c r="G400" t="s">
        <v>24</v>
      </c>
      <c r="H400" t="s">
        <v>171</v>
      </c>
      <c r="I400" t="s">
        <v>853</v>
      </c>
      <c r="J400">
        <v>11</v>
      </c>
      <c r="K400" s="2">
        <v>3433.26</v>
      </c>
      <c r="L400">
        <v>20</v>
      </c>
      <c r="M400" s="2">
        <v>30212.69</v>
      </c>
      <c r="N400" s="2">
        <v>19560.38</v>
      </c>
      <c r="O400" s="2">
        <v>10652.31</v>
      </c>
      <c r="P400" t="s">
        <v>48</v>
      </c>
      <c r="Q400" t="s">
        <v>61</v>
      </c>
    </row>
    <row r="401" spans="1:17" x14ac:dyDescent="0.3">
      <c r="A401" t="s">
        <v>854</v>
      </c>
      <c r="B401" s="1">
        <v>45997</v>
      </c>
      <c r="C401" t="s">
        <v>20</v>
      </c>
      <c r="D401" t="s">
        <v>55</v>
      </c>
      <c r="E401" t="s">
        <v>170</v>
      </c>
      <c r="F401" t="s">
        <v>23</v>
      </c>
      <c r="G401" t="s">
        <v>45</v>
      </c>
      <c r="H401" t="s">
        <v>67</v>
      </c>
      <c r="I401" t="s">
        <v>855</v>
      </c>
      <c r="J401">
        <v>1</v>
      </c>
      <c r="K401" s="2">
        <v>3837.1</v>
      </c>
      <c r="L401">
        <v>10</v>
      </c>
      <c r="M401" s="2">
        <v>3453.39</v>
      </c>
      <c r="N401" s="2">
        <v>2269.62</v>
      </c>
      <c r="O401" s="2">
        <v>1183.77</v>
      </c>
      <c r="P401" t="s">
        <v>27</v>
      </c>
      <c r="Q401" t="s">
        <v>61</v>
      </c>
    </row>
    <row r="402" spans="1:17" x14ac:dyDescent="0.3">
      <c r="A402" t="s">
        <v>856</v>
      </c>
      <c r="B402" s="1">
        <v>46064</v>
      </c>
      <c r="C402" t="s">
        <v>86</v>
      </c>
      <c r="D402" t="s">
        <v>87</v>
      </c>
      <c r="E402" t="s">
        <v>51</v>
      </c>
      <c r="F402" t="s">
        <v>37</v>
      </c>
      <c r="G402" t="s">
        <v>38</v>
      </c>
      <c r="H402" t="s">
        <v>106</v>
      </c>
      <c r="I402" t="s">
        <v>857</v>
      </c>
      <c r="J402">
        <v>6</v>
      </c>
      <c r="K402" s="2">
        <v>434.07</v>
      </c>
      <c r="L402">
        <v>10</v>
      </c>
      <c r="M402" s="2">
        <v>2343.98</v>
      </c>
      <c r="N402" s="2">
        <v>1384.15</v>
      </c>
      <c r="O402" s="2">
        <v>959.83</v>
      </c>
      <c r="P402" t="s">
        <v>48</v>
      </c>
      <c r="Q402" t="s">
        <v>49</v>
      </c>
    </row>
    <row r="403" spans="1:17" x14ac:dyDescent="0.3">
      <c r="A403" t="s">
        <v>858</v>
      </c>
      <c r="B403" s="1">
        <v>45841</v>
      </c>
      <c r="C403" t="s">
        <v>70</v>
      </c>
      <c r="D403" t="s">
        <v>71</v>
      </c>
      <c r="E403" t="s">
        <v>120</v>
      </c>
      <c r="F403" t="s">
        <v>23</v>
      </c>
      <c r="G403" t="s">
        <v>24</v>
      </c>
      <c r="H403" t="s">
        <v>56</v>
      </c>
      <c r="I403" t="s">
        <v>859</v>
      </c>
      <c r="J403">
        <v>10</v>
      </c>
      <c r="K403" s="2">
        <v>2062.3000000000002</v>
      </c>
      <c r="L403">
        <v>20</v>
      </c>
      <c r="M403" s="2">
        <v>16498.400000000001</v>
      </c>
      <c r="N403" s="2">
        <v>9300.2199999999993</v>
      </c>
      <c r="O403" s="2">
        <v>7198.18</v>
      </c>
      <c r="P403" t="s">
        <v>27</v>
      </c>
      <c r="Q403" t="s">
        <v>42</v>
      </c>
    </row>
    <row r="404" spans="1:17" x14ac:dyDescent="0.3">
      <c r="A404" t="s">
        <v>860</v>
      </c>
      <c r="B404" s="1">
        <v>45730</v>
      </c>
      <c r="C404" t="s">
        <v>70</v>
      </c>
      <c r="D404" t="s">
        <v>71</v>
      </c>
      <c r="E404" t="s">
        <v>51</v>
      </c>
      <c r="F404" t="s">
        <v>23</v>
      </c>
      <c r="G404" t="s">
        <v>38</v>
      </c>
      <c r="H404" t="s">
        <v>91</v>
      </c>
      <c r="I404" t="s">
        <v>861</v>
      </c>
      <c r="J404">
        <v>5</v>
      </c>
      <c r="K404" s="2">
        <v>2740.47</v>
      </c>
      <c r="L404">
        <v>5</v>
      </c>
      <c r="M404" s="2">
        <v>13017.23</v>
      </c>
      <c r="N404" s="2">
        <v>9928.07</v>
      </c>
      <c r="O404" s="2">
        <v>3089.16</v>
      </c>
      <c r="P404" t="s">
        <v>41</v>
      </c>
      <c r="Q404" t="s">
        <v>28</v>
      </c>
    </row>
    <row r="405" spans="1:17" x14ac:dyDescent="0.3">
      <c r="A405" t="s">
        <v>862</v>
      </c>
      <c r="B405" s="1">
        <v>46058</v>
      </c>
      <c r="C405" t="s">
        <v>35</v>
      </c>
      <c r="D405" t="s">
        <v>36</v>
      </c>
      <c r="E405" t="s">
        <v>66</v>
      </c>
      <c r="F405" t="s">
        <v>31</v>
      </c>
      <c r="G405" t="s">
        <v>45</v>
      </c>
      <c r="H405" t="s">
        <v>52</v>
      </c>
      <c r="I405" t="s">
        <v>863</v>
      </c>
      <c r="J405">
        <v>7</v>
      </c>
      <c r="K405" s="2">
        <v>4656.8100000000004</v>
      </c>
      <c r="L405">
        <v>20</v>
      </c>
      <c r="M405" s="2">
        <v>26078.14</v>
      </c>
      <c r="N405" s="2">
        <v>14853.31</v>
      </c>
      <c r="O405" s="2">
        <v>11224.83</v>
      </c>
      <c r="P405" t="s">
        <v>41</v>
      </c>
      <c r="Q405" t="s">
        <v>49</v>
      </c>
    </row>
    <row r="406" spans="1:17" x14ac:dyDescent="0.3">
      <c r="A406" t="s">
        <v>864</v>
      </c>
      <c r="B406" s="1">
        <v>45974</v>
      </c>
      <c r="C406" t="s">
        <v>86</v>
      </c>
      <c r="D406" t="s">
        <v>90</v>
      </c>
      <c r="E406" t="s">
        <v>113</v>
      </c>
      <c r="F406" t="s">
        <v>31</v>
      </c>
      <c r="G406" t="s">
        <v>45</v>
      </c>
      <c r="H406" t="s">
        <v>123</v>
      </c>
      <c r="I406" t="s">
        <v>865</v>
      </c>
      <c r="J406">
        <v>14</v>
      </c>
      <c r="K406" s="2">
        <v>1385.74</v>
      </c>
      <c r="L406">
        <v>5</v>
      </c>
      <c r="M406" s="2">
        <v>18430.34</v>
      </c>
      <c r="N406" s="2">
        <v>14676.15</v>
      </c>
      <c r="O406" s="2">
        <v>3754.19</v>
      </c>
      <c r="P406" t="s">
        <v>41</v>
      </c>
      <c r="Q406" t="s">
        <v>42</v>
      </c>
    </row>
    <row r="407" spans="1:17" x14ac:dyDescent="0.3">
      <c r="A407" t="s">
        <v>866</v>
      </c>
      <c r="B407" s="1">
        <v>46163</v>
      </c>
      <c r="C407" t="s">
        <v>20</v>
      </c>
      <c r="D407" t="s">
        <v>21</v>
      </c>
      <c r="E407" t="s">
        <v>44</v>
      </c>
      <c r="F407" t="s">
        <v>31</v>
      </c>
      <c r="G407" t="s">
        <v>45</v>
      </c>
      <c r="H407" t="s">
        <v>52</v>
      </c>
      <c r="I407" t="s">
        <v>442</v>
      </c>
      <c r="J407">
        <v>7</v>
      </c>
      <c r="K407" s="2">
        <v>3072.15</v>
      </c>
      <c r="L407">
        <v>15</v>
      </c>
      <c r="M407" s="2">
        <v>18279.29</v>
      </c>
      <c r="N407" s="2">
        <v>13835.37</v>
      </c>
      <c r="O407" s="2">
        <v>4443.92</v>
      </c>
      <c r="P407" t="s">
        <v>27</v>
      </c>
      <c r="Q407" t="s">
        <v>49</v>
      </c>
    </row>
    <row r="408" spans="1:17" x14ac:dyDescent="0.3">
      <c r="A408" t="s">
        <v>867</v>
      </c>
      <c r="B408" s="1">
        <v>45922</v>
      </c>
      <c r="C408" t="s">
        <v>35</v>
      </c>
      <c r="D408" t="s">
        <v>36</v>
      </c>
      <c r="E408" t="s">
        <v>120</v>
      </c>
      <c r="F408" t="s">
        <v>23</v>
      </c>
      <c r="G408" t="s">
        <v>38</v>
      </c>
      <c r="H408" t="s">
        <v>91</v>
      </c>
      <c r="I408" t="s">
        <v>868</v>
      </c>
      <c r="J408">
        <v>15</v>
      </c>
      <c r="K408" s="2">
        <v>1365.63</v>
      </c>
      <c r="L408">
        <v>10</v>
      </c>
      <c r="M408" s="2">
        <v>18436.009999999998</v>
      </c>
      <c r="N408" s="2">
        <v>12024.87</v>
      </c>
      <c r="O408" s="2">
        <v>6411.14</v>
      </c>
      <c r="P408" t="s">
        <v>48</v>
      </c>
      <c r="Q408" t="s">
        <v>61</v>
      </c>
    </row>
    <row r="409" spans="1:17" x14ac:dyDescent="0.3">
      <c r="A409" t="s">
        <v>869</v>
      </c>
      <c r="B409" s="1">
        <v>45861</v>
      </c>
      <c r="C409" t="s">
        <v>35</v>
      </c>
      <c r="D409" t="s">
        <v>36</v>
      </c>
      <c r="E409" t="s">
        <v>22</v>
      </c>
      <c r="F409" t="s">
        <v>37</v>
      </c>
      <c r="G409" t="s">
        <v>38</v>
      </c>
      <c r="H409" t="s">
        <v>72</v>
      </c>
      <c r="I409" t="s">
        <v>870</v>
      </c>
      <c r="J409">
        <v>11</v>
      </c>
      <c r="K409" s="2">
        <v>2864.04</v>
      </c>
      <c r="L409">
        <v>15</v>
      </c>
      <c r="M409" s="2">
        <v>26778.77</v>
      </c>
      <c r="N409" s="2">
        <v>16257.97</v>
      </c>
      <c r="O409" s="2">
        <v>10520.8</v>
      </c>
      <c r="P409" t="s">
        <v>48</v>
      </c>
      <c r="Q409" t="s">
        <v>49</v>
      </c>
    </row>
    <row r="410" spans="1:17" x14ac:dyDescent="0.3">
      <c r="A410" t="s">
        <v>871</v>
      </c>
      <c r="B410" s="1">
        <v>45771</v>
      </c>
      <c r="C410" t="s">
        <v>70</v>
      </c>
      <c r="D410" t="s">
        <v>71</v>
      </c>
      <c r="E410" t="s">
        <v>113</v>
      </c>
      <c r="F410" t="s">
        <v>23</v>
      </c>
      <c r="G410" t="s">
        <v>38</v>
      </c>
      <c r="H410" t="s">
        <v>106</v>
      </c>
      <c r="I410" t="s">
        <v>872</v>
      </c>
      <c r="J410">
        <v>7</v>
      </c>
      <c r="K410" s="2">
        <v>4744.82</v>
      </c>
      <c r="L410">
        <v>0</v>
      </c>
      <c r="M410" s="2">
        <v>33213.74</v>
      </c>
      <c r="N410" s="2">
        <v>20681.689999999999</v>
      </c>
      <c r="O410" s="2">
        <v>12532.05</v>
      </c>
      <c r="P410" t="s">
        <v>41</v>
      </c>
      <c r="Q410" t="s">
        <v>28</v>
      </c>
    </row>
    <row r="411" spans="1:17" x14ac:dyDescent="0.3">
      <c r="A411" t="s">
        <v>873</v>
      </c>
      <c r="B411" s="1">
        <v>45883</v>
      </c>
      <c r="C411" t="s">
        <v>70</v>
      </c>
      <c r="D411" t="s">
        <v>71</v>
      </c>
      <c r="E411" t="s">
        <v>22</v>
      </c>
      <c r="F411" t="s">
        <v>31</v>
      </c>
      <c r="G411" t="s">
        <v>24</v>
      </c>
      <c r="H411" t="s">
        <v>32</v>
      </c>
      <c r="I411" t="s">
        <v>874</v>
      </c>
      <c r="J411">
        <v>11</v>
      </c>
      <c r="K411" s="2">
        <v>203.18</v>
      </c>
      <c r="L411">
        <v>10</v>
      </c>
      <c r="M411" s="2">
        <v>2011.48</v>
      </c>
      <c r="N411" s="2">
        <v>1202.3399999999999</v>
      </c>
      <c r="O411" s="2">
        <v>809.14</v>
      </c>
      <c r="P411" t="s">
        <v>41</v>
      </c>
      <c r="Q411" t="s">
        <v>61</v>
      </c>
    </row>
    <row r="412" spans="1:17" x14ac:dyDescent="0.3">
      <c r="A412" t="s">
        <v>875</v>
      </c>
      <c r="B412" s="1">
        <v>46077</v>
      </c>
      <c r="C412" t="s">
        <v>20</v>
      </c>
      <c r="D412" t="s">
        <v>55</v>
      </c>
      <c r="E412" t="s">
        <v>22</v>
      </c>
      <c r="F412" t="s">
        <v>23</v>
      </c>
      <c r="G412" t="s">
        <v>38</v>
      </c>
      <c r="H412" t="s">
        <v>72</v>
      </c>
      <c r="I412" t="s">
        <v>876</v>
      </c>
      <c r="J412">
        <v>14</v>
      </c>
      <c r="K412" s="2">
        <v>3664.62</v>
      </c>
      <c r="L412">
        <v>5</v>
      </c>
      <c r="M412" s="2">
        <v>48739.45</v>
      </c>
      <c r="N412" s="2">
        <v>29908.11</v>
      </c>
      <c r="O412" s="2">
        <v>18831.34</v>
      </c>
      <c r="P412" t="s">
        <v>27</v>
      </c>
      <c r="Q412" t="s">
        <v>28</v>
      </c>
    </row>
    <row r="413" spans="1:17" x14ac:dyDescent="0.3">
      <c r="A413" t="s">
        <v>877</v>
      </c>
      <c r="B413" s="1">
        <v>45958</v>
      </c>
      <c r="C413" t="s">
        <v>35</v>
      </c>
      <c r="D413" t="s">
        <v>59</v>
      </c>
      <c r="E413" t="s">
        <v>120</v>
      </c>
      <c r="F413" t="s">
        <v>37</v>
      </c>
      <c r="G413" t="s">
        <v>24</v>
      </c>
      <c r="H413" t="s">
        <v>32</v>
      </c>
      <c r="I413" t="s">
        <v>878</v>
      </c>
      <c r="J413">
        <v>14</v>
      </c>
      <c r="K413" s="2">
        <v>2218.81</v>
      </c>
      <c r="L413">
        <v>0</v>
      </c>
      <c r="M413" s="2">
        <v>31063.34</v>
      </c>
      <c r="N413" s="2">
        <v>21651.29</v>
      </c>
      <c r="O413" s="2">
        <v>9412.0499999999993</v>
      </c>
      <c r="P413" t="s">
        <v>41</v>
      </c>
      <c r="Q413" t="s">
        <v>61</v>
      </c>
    </row>
    <row r="414" spans="1:17" x14ac:dyDescent="0.3">
      <c r="A414" t="s">
        <v>879</v>
      </c>
      <c r="B414" s="1">
        <v>45675</v>
      </c>
      <c r="C414" t="s">
        <v>86</v>
      </c>
      <c r="D414" t="s">
        <v>87</v>
      </c>
      <c r="E414" t="s">
        <v>170</v>
      </c>
      <c r="F414" t="s">
        <v>31</v>
      </c>
      <c r="G414" t="s">
        <v>24</v>
      </c>
      <c r="H414" t="s">
        <v>56</v>
      </c>
      <c r="I414" t="s">
        <v>880</v>
      </c>
      <c r="J414">
        <v>7</v>
      </c>
      <c r="K414" s="2">
        <v>3178.2</v>
      </c>
      <c r="L414">
        <v>5</v>
      </c>
      <c r="M414" s="2">
        <v>21135.03</v>
      </c>
      <c r="N414" s="2">
        <v>12873.23</v>
      </c>
      <c r="O414" s="2">
        <v>8261.7999999999993</v>
      </c>
      <c r="P414" t="s">
        <v>48</v>
      </c>
      <c r="Q414" t="s">
        <v>42</v>
      </c>
    </row>
    <row r="415" spans="1:17" x14ac:dyDescent="0.3">
      <c r="A415" t="s">
        <v>881</v>
      </c>
      <c r="B415" s="1">
        <v>45686</v>
      </c>
      <c r="C415" t="s">
        <v>35</v>
      </c>
      <c r="D415" t="s">
        <v>36</v>
      </c>
      <c r="E415" t="s">
        <v>66</v>
      </c>
      <c r="F415" t="s">
        <v>31</v>
      </c>
      <c r="G415" t="s">
        <v>24</v>
      </c>
      <c r="H415" t="s">
        <v>56</v>
      </c>
      <c r="I415" t="s">
        <v>882</v>
      </c>
      <c r="J415">
        <v>3</v>
      </c>
      <c r="K415" s="2">
        <v>4280.49</v>
      </c>
      <c r="L415">
        <v>15</v>
      </c>
      <c r="M415" s="2">
        <v>10915.25</v>
      </c>
      <c r="N415" s="2">
        <v>7429.99</v>
      </c>
      <c r="O415" s="2">
        <v>3485.26</v>
      </c>
      <c r="P415" t="s">
        <v>41</v>
      </c>
      <c r="Q415" t="s">
        <v>49</v>
      </c>
    </row>
    <row r="416" spans="1:17" x14ac:dyDescent="0.3">
      <c r="A416" t="s">
        <v>883</v>
      </c>
      <c r="B416" s="1">
        <v>45901</v>
      </c>
      <c r="C416" t="s">
        <v>70</v>
      </c>
      <c r="D416" t="s">
        <v>75</v>
      </c>
      <c r="E416" t="s">
        <v>113</v>
      </c>
      <c r="F416" t="s">
        <v>37</v>
      </c>
      <c r="G416" t="s">
        <v>38</v>
      </c>
      <c r="H416" t="s">
        <v>63</v>
      </c>
      <c r="I416" t="s">
        <v>884</v>
      </c>
      <c r="J416">
        <v>15</v>
      </c>
      <c r="K416" s="2">
        <v>4841.09</v>
      </c>
      <c r="L416">
        <v>20</v>
      </c>
      <c r="M416" s="2">
        <v>58093.08</v>
      </c>
      <c r="N416" s="2">
        <v>43627.22</v>
      </c>
      <c r="O416" s="2">
        <v>14465.86</v>
      </c>
      <c r="P416" t="s">
        <v>27</v>
      </c>
      <c r="Q416" t="s">
        <v>61</v>
      </c>
    </row>
    <row r="417" spans="1:17" x14ac:dyDescent="0.3">
      <c r="A417" t="s">
        <v>885</v>
      </c>
      <c r="B417" s="1">
        <v>45663</v>
      </c>
      <c r="C417" t="s">
        <v>70</v>
      </c>
      <c r="D417" t="s">
        <v>71</v>
      </c>
      <c r="E417" t="s">
        <v>170</v>
      </c>
      <c r="F417" t="s">
        <v>23</v>
      </c>
      <c r="G417" t="s">
        <v>45</v>
      </c>
      <c r="H417" t="s">
        <v>159</v>
      </c>
      <c r="I417" t="s">
        <v>886</v>
      </c>
      <c r="J417">
        <v>1</v>
      </c>
      <c r="K417" s="2">
        <v>1119.3900000000001</v>
      </c>
      <c r="L417">
        <v>5</v>
      </c>
      <c r="M417" s="2">
        <v>1063.42</v>
      </c>
      <c r="N417" s="2">
        <v>615.46</v>
      </c>
      <c r="O417" s="2">
        <v>447.96</v>
      </c>
      <c r="P417" t="s">
        <v>41</v>
      </c>
      <c r="Q417" t="s">
        <v>49</v>
      </c>
    </row>
    <row r="418" spans="1:17" x14ac:dyDescent="0.3">
      <c r="A418" t="s">
        <v>887</v>
      </c>
      <c r="B418" s="1">
        <v>45773</v>
      </c>
      <c r="C418" t="s">
        <v>86</v>
      </c>
      <c r="D418" t="s">
        <v>90</v>
      </c>
      <c r="E418" t="s">
        <v>51</v>
      </c>
      <c r="F418" t="s">
        <v>23</v>
      </c>
      <c r="G418" t="s">
        <v>38</v>
      </c>
      <c r="H418" t="s">
        <v>39</v>
      </c>
      <c r="I418" t="s">
        <v>888</v>
      </c>
      <c r="J418">
        <v>2</v>
      </c>
      <c r="K418" s="2">
        <v>1822.22</v>
      </c>
      <c r="L418">
        <v>10</v>
      </c>
      <c r="M418" s="2">
        <v>3280</v>
      </c>
      <c r="N418" s="2">
        <v>2547.46</v>
      </c>
      <c r="O418" s="2">
        <v>732.54</v>
      </c>
      <c r="P418" t="s">
        <v>27</v>
      </c>
      <c r="Q418" t="s">
        <v>61</v>
      </c>
    </row>
    <row r="419" spans="1:17" x14ac:dyDescent="0.3">
      <c r="A419" t="s">
        <v>889</v>
      </c>
      <c r="B419" s="1">
        <v>46095</v>
      </c>
      <c r="C419" t="s">
        <v>86</v>
      </c>
      <c r="D419" t="s">
        <v>87</v>
      </c>
      <c r="E419" t="s">
        <v>66</v>
      </c>
      <c r="F419" t="s">
        <v>31</v>
      </c>
      <c r="G419" t="s">
        <v>24</v>
      </c>
      <c r="H419" t="s">
        <v>56</v>
      </c>
      <c r="I419" t="s">
        <v>890</v>
      </c>
      <c r="J419">
        <v>10</v>
      </c>
      <c r="K419" s="2">
        <v>2893.68</v>
      </c>
      <c r="L419">
        <v>0</v>
      </c>
      <c r="M419" s="2">
        <v>28936.799999999999</v>
      </c>
      <c r="N419" s="2">
        <v>18864.37</v>
      </c>
      <c r="O419" s="2">
        <v>10072.43</v>
      </c>
      <c r="P419" t="s">
        <v>41</v>
      </c>
      <c r="Q419" t="s">
        <v>28</v>
      </c>
    </row>
    <row r="420" spans="1:17" x14ac:dyDescent="0.3">
      <c r="A420" t="s">
        <v>891</v>
      </c>
      <c r="B420" s="1">
        <v>45990</v>
      </c>
      <c r="C420" t="s">
        <v>35</v>
      </c>
      <c r="D420" t="s">
        <v>59</v>
      </c>
      <c r="E420" t="s">
        <v>22</v>
      </c>
      <c r="F420" t="s">
        <v>31</v>
      </c>
      <c r="G420" t="s">
        <v>45</v>
      </c>
      <c r="H420" t="s">
        <v>46</v>
      </c>
      <c r="I420" t="s">
        <v>892</v>
      </c>
      <c r="J420">
        <v>1</v>
      </c>
      <c r="K420" s="2">
        <v>4661.03</v>
      </c>
      <c r="L420">
        <v>10</v>
      </c>
      <c r="M420" s="2">
        <v>4194.93</v>
      </c>
      <c r="N420" s="2">
        <v>2541.23</v>
      </c>
      <c r="O420" s="2">
        <v>1653.7</v>
      </c>
      <c r="P420" t="s">
        <v>48</v>
      </c>
      <c r="Q420" t="s">
        <v>42</v>
      </c>
    </row>
    <row r="421" spans="1:17" x14ac:dyDescent="0.3">
      <c r="A421" t="s">
        <v>893</v>
      </c>
      <c r="B421" s="1">
        <v>45763</v>
      </c>
      <c r="C421" t="s">
        <v>86</v>
      </c>
      <c r="D421" t="s">
        <v>90</v>
      </c>
      <c r="E421" t="s">
        <v>22</v>
      </c>
      <c r="F421" t="s">
        <v>23</v>
      </c>
      <c r="G421" t="s">
        <v>24</v>
      </c>
      <c r="H421" t="s">
        <v>32</v>
      </c>
      <c r="I421" t="s">
        <v>894</v>
      </c>
      <c r="J421">
        <v>12</v>
      </c>
      <c r="K421" s="2">
        <v>4902.26</v>
      </c>
      <c r="L421">
        <v>20</v>
      </c>
      <c r="M421" s="2">
        <v>47061.7</v>
      </c>
      <c r="N421" s="2">
        <v>32397.75</v>
      </c>
      <c r="O421" s="2">
        <v>14663.95</v>
      </c>
      <c r="P421" t="s">
        <v>27</v>
      </c>
      <c r="Q421" t="s">
        <v>42</v>
      </c>
    </row>
    <row r="422" spans="1:17" x14ac:dyDescent="0.3">
      <c r="A422" t="s">
        <v>895</v>
      </c>
      <c r="B422" s="1">
        <v>46149</v>
      </c>
      <c r="C422" t="s">
        <v>86</v>
      </c>
      <c r="D422" t="s">
        <v>87</v>
      </c>
      <c r="E422" t="s">
        <v>170</v>
      </c>
      <c r="F422" t="s">
        <v>31</v>
      </c>
      <c r="G422" t="s">
        <v>38</v>
      </c>
      <c r="H422" t="s">
        <v>91</v>
      </c>
      <c r="I422" t="s">
        <v>896</v>
      </c>
      <c r="J422">
        <v>7</v>
      </c>
      <c r="K422" s="2">
        <v>885.12</v>
      </c>
      <c r="L422">
        <v>20</v>
      </c>
      <c r="M422" s="2">
        <v>4956.67</v>
      </c>
      <c r="N422" s="2">
        <v>2951.39</v>
      </c>
      <c r="O422" s="2">
        <v>2005.28</v>
      </c>
      <c r="P422" t="s">
        <v>41</v>
      </c>
      <c r="Q422" t="s">
        <v>49</v>
      </c>
    </row>
    <row r="423" spans="1:17" x14ac:dyDescent="0.3">
      <c r="A423" t="s">
        <v>897</v>
      </c>
      <c r="B423" s="1">
        <v>45843</v>
      </c>
      <c r="C423" t="s">
        <v>35</v>
      </c>
      <c r="D423" t="s">
        <v>36</v>
      </c>
      <c r="E423" t="s">
        <v>66</v>
      </c>
      <c r="F423" t="s">
        <v>37</v>
      </c>
      <c r="G423" t="s">
        <v>45</v>
      </c>
      <c r="H423" t="s">
        <v>123</v>
      </c>
      <c r="I423" t="s">
        <v>898</v>
      </c>
      <c r="J423">
        <v>4</v>
      </c>
      <c r="K423" s="2">
        <v>1974.95</v>
      </c>
      <c r="L423">
        <v>10</v>
      </c>
      <c r="M423" s="2">
        <v>7109.82</v>
      </c>
      <c r="N423" s="2">
        <v>4650.17</v>
      </c>
      <c r="O423" s="2">
        <v>2459.65</v>
      </c>
      <c r="P423" t="s">
        <v>48</v>
      </c>
      <c r="Q423" t="s">
        <v>61</v>
      </c>
    </row>
    <row r="424" spans="1:17" x14ac:dyDescent="0.3">
      <c r="A424" t="s">
        <v>899</v>
      </c>
      <c r="B424" s="1">
        <v>46109</v>
      </c>
      <c r="C424" t="s">
        <v>86</v>
      </c>
      <c r="D424" t="s">
        <v>90</v>
      </c>
      <c r="E424" t="s">
        <v>113</v>
      </c>
      <c r="F424" t="s">
        <v>37</v>
      </c>
      <c r="G424" t="s">
        <v>24</v>
      </c>
      <c r="H424" t="s">
        <v>56</v>
      </c>
      <c r="I424" t="s">
        <v>900</v>
      </c>
      <c r="J424">
        <v>4</v>
      </c>
      <c r="K424" s="2">
        <v>1011.11</v>
      </c>
      <c r="L424">
        <v>0</v>
      </c>
      <c r="M424" s="2">
        <v>4044.44</v>
      </c>
      <c r="N424" s="2">
        <v>3287.83</v>
      </c>
      <c r="O424" s="2">
        <v>756.61</v>
      </c>
      <c r="P424" t="s">
        <v>27</v>
      </c>
      <c r="Q424" t="s">
        <v>28</v>
      </c>
    </row>
    <row r="425" spans="1:17" x14ac:dyDescent="0.3">
      <c r="A425" t="s">
        <v>901</v>
      </c>
      <c r="B425" s="1">
        <v>46121</v>
      </c>
      <c r="C425" t="s">
        <v>20</v>
      </c>
      <c r="D425" t="s">
        <v>21</v>
      </c>
      <c r="E425" t="s">
        <v>66</v>
      </c>
      <c r="F425" t="s">
        <v>37</v>
      </c>
      <c r="G425" t="s">
        <v>24</v>
      </c>
      <c r="H425" t="s">
        <v>56</v>
      </c>
      <c r="I425" t="s">
        <v>902</v>
      </c>
      <c r="J425">
        <v>10</v>
      </c>
      <c r="K425" s="2">
        <v>3816.94</v>
      </c>
      <c r="L425">
        <v>20</v>
      </c>
      <c r="M425" s="2">
        <v>30535.52</v>
      </c>
      <c r="N425" s="2">
        <v>18726.66</v>
      </c>
      <c r="O425" s="2">
        <v>11808.86</v>
      </c>
      <c r="P425" t="s">
        <v>48</v>
      </c>
      <c r="Q425" t="s">
        <v>61</v>
      </c>
    </row>
    <row r="426" spans="1:17" x14ac:dyDescent="0.3">
      <c r="A426" t="s">
        <v>903</v>
      </c>
      <c r="B426" s="1">
        <v>45822</v>
      </c>
      <c r="C426" t="s">
        <v>35</v>
      </c>
      <c r="D426" t="s">
        <v>36</v>
      </c>
      <c r="E426" t="s">
        <v>44</v>
      </c>
      <c r="F426" t="s">
        <v>37</v>
      </c>
      <c r="G426" t="s">
        <v>24</v>
      </c>
      <c r="H426" t="s">
        <v>56</v>
      </c>
      <c r="I426" t="s">
        <v>904</v>
      </c>
      <c r="J426">
        <v>7</v>
      </c>
      <c r="K426" s="2">
        <v>2935.5</v>
      </c>
      <c r="L426">
        <v>20</v>
      </c>
      <c r="M426" s="2">
        <v>16438.8</v>
      </c>
      <c r="N426" s="2">
        <v>10241.69</v>
      </c>
      <c r="O426" s="2">
        <v>6197.11</v>
      </c>
      <c r="P426" t="s">
        <v>27</v>
      </c>
      <c r="Q426" t="s">
        <v>61</v>
      </c>
    </row>
    <row r="427" spans="1:17" x14ac:dyDescent="0.3">
      <c r="A427" t="s">
        <v>905</v>
      </c>
      <c r="B427" s="1">
        <v>45777</v>
      </c>
      <c r="C427" t="s">
        <v>35</v>
      </c>
      <c r="D427" t="s">
        <v>59</v>
      </c>
      <c r="E427" t="s">
        <v>66</v>
      </c>
      <c r="F427" t="s">
        <v>23</v>
      </c>
      <c r="G427" t="s">
        <v>38</v>
      </c>
      <c r="H427" t="s">
        <v>63</v>
      </c>
      <c r="I427" t="s">
        <v>906</v>
      </c>
      <c r="J427">
        <v>12</v>
      </c>
      <c r="K427" s="2">
        <v>3477.2</v>
      </c>
      <c r="L427">
        <v>20</v>
      </c>
      <c r="M427" s="2">
        <v>33381.120000000003</v>
      </c>
      <c r="N427" s="2">
        <v>22795.06</v>
      </c>
      <c r="O427" s="2">
        <v>10586.06</v>
      </c>
      <c r="P427" t="s">
        <v>27</v>
      </c>
      <c r="Q427" t="s">
        <v>42</v>
      </c>
    </row>
    <row r="428" spans="1:17" x14ac:dyDescent="0.3">
      <c r="A428" t="s">
        <v>907</v>
      </c>
      <c r="B428" s="1">
        <v>45759</v>
      </c>
      <c r="C428" t="s">
        <v>86</v>
      </c>
      <c r="D428" t="s">
        <v>87</v>
      </c>
      <c r="E428" t="s">
        <v>113</v>
      </c>
      <c r="F428" t="s">
        <v>37</v>
      </c>
      <c r="G428" t="s">
        <v>45</v>
      </c>
      <c r="H428" t="s">
        <v>52</v>
      </c>
      <c r="I428" t="s">
        <v>908</v>
      </c>
      <c r="J428">
        <v>9</v>
      </c>
      <c r="K428" s="2">
        <v>2343.65</v>
      </c>
      <c r="L428">
        <v>0</v>
      </c>
      <c r="M428" s="2">
        <v>21092.85</v>
      </c>
      <c r="N428" s="2">
        <v>16711.93</v>
      </c>
      <c r="O428" s="2">
        <v>4380.92</v>
      </c>
      <c r="P428" t="s">
        <v>48</v>
      </c>
      <c r="Q428" t="s">
        <v>28</v>
      </c>
    </row>
    <row r="429" spans="1:17" x14ac:dyDescent="0.3">
      <c r="A429" t="s">
        <v>909</v>
      </c>
      <c r="B429" s="1">
        <v>45767</v>
      </c>
      <c r="C429" t="s">
        <v>20</v>
      </c>
      <c r="D429" t="s">
        <v>55</v>
      </c>
      <c r="E429" t="s">
        <v>51</v>
      </c>
      <c r="F429" t="s">
        <v>23</v>
      </c>
      <c r="G429" t="s">
        <v>24</v>
      </c>
      <c r="H429" t="s">
        <v>134</v>
      </c>
      <c r="I429" t="s">
        <v>910</v>
      </c>
      <c r="J429">
        <v>8</v>
      </c>
      <c r="K429" s="2">
        <v>1595.47</v>
      </c>
      <c r="L429">
        <v>15</v>
      </c>
      <c r="M429" s="2">
        <v>10849.2</v>
      </c>
      <c r="N429" s="2">
        <v>6985.57</v>
      </c>
      <c r="O429" s="2">
        <v>3863.63</v>
      </c>
      <c r="P429" t="s">
        <v>41</v>
      </c>
      <c r="Q429" t="s">
        <v>61</v>
      </c>
    </row>
    <row r="430" spans="1:17" x14ac:dyDescent="0.3">
      <c r="A430" t="s">
        <v>911</v>
      </c>
      <c r="B430" s="1">
        <v>45732</v>
      </c>
      <c r="C430" t="s">
        <v>86</v>
      </c>
      <c r="D430" t="s">
        <v>87</v>
      </c>
      <c r="E430" t="s">
        <v>66</v>
      </c>
      <c r="F430" t="s">
        <v>23</v>
      </c>
      <c r="G430" t="s">
        <v>38</v>
      </c>
      <c r="H430" t="s">
        <v>39</v>
      </c>
      <c r="I430" t="s">
        <v>912</v>
      </c>
      <c r="J430">
        <v>8</v>
      </c>
      <c r="K430" s="2">
        <v>2433.41</v>
      </c>
      <c r="L430">
        <v>15</v>
      </c>
      <c r="M430" s="2">
        <v>16547.189999999999</v>
      </c>
      <c r="N430" s="2">
        <v>13149.22</v>
      </c>
      <c r="O430" s="2">
        <v>3397.97</v>
      </c>
      <c r="P430" t="s">
        <v>27</v>
      </c>
      <c r="Q430" t="s">
        <v>49</v>
      </c>
    </row>
    <row r="431" spans="1:17" x14ac:dyDescent="0.3">
      <c r="A431" t="s">
        <v>913</v>
      </c>
      <c r="B431" s="1">
        <v>46122</v>
      </c>
      <c r="C431" t="s">
        <v>20</v>
      </c>
      <c r="D431" t="s">
        <v>21</v>
      </c>
      <c r="E431" t="s">
        <v>30</v>
      </c>
      <c r="F431" t="s">
        <v>31</v>
      </c>
      <c r="G431" t="s">
        <v>24</v>
      </c>
      <c r="H431" t="s">
        <v>32</v>
      </c>
      <c r="I431" t="s">
        <v>914</v>
      </c>
      <c r="J431">
        <v>4</v>
      </c>
      <c r="K431" s="2">
        <v>1022.61</v>
      </c>
      <c r="L431">
        <v>10</v>
      </c>
      <c r="M431" s="2">
        <v>3681.4</v>
      </c>
      <c r="N431" s="2">
        <v>2194.41</v>
      </c>
      <c r="O431" s="2">
        <v>1486.99</v>
      </c>
      <c r="P431" t="s">
        <v>48</v>
      </c>
      <c r="Q431" t="s">
        <v>42</v>
      </c>
    </row>
    <row r="432" spans="1:17" x14ac:dyDescent="0.3">
      <c r="A432" t="s">
        <v>915</v>
      </c>
      <c r="B432" s="1">
        <v>45763</v>
      </c>
      <c r="C432" t="s">
        <v>20</v>
      </c>
      <c r="D432" t="s">
        <v>21</v>
      </c>
      <c r="E432" t="s">
        <v>120</v>
      </c>
      <c r="F432" t="s">
        <v>23</v>
      </c>
      <c r="G432" t="s">
        <v>24</v>
      </c>
      <c r="H432" t="s">
        <v>32</v>
      </c>
      <c r="I432" t="s">
        <v>916</v>
      </c>
      <c r="J432">
        <v>9</v>
      </c>
      <c r="K432" s="2">
        <v>2861.14</v>
      </c>
      <c r="L432">
        <v>15</v>
      </c>
      <c r="M432" s="2">
        <v>21887.72</v>
      </c>
      <c r="N432" s="2">
        <v>12163.44</v>
      </c>
      <c r="O432" s="2">
        <v>9724.2800000000007</v>
      </c>
      <c r="P432" t="s">
        <v>41</v>
      </c>
      <c r="Q432" t="s">
        <v>61</v>
      </c>
    </row>
    <row r="433" spans="1:17" x14ac:dyDescent="0.3">
      <c r="A433" t="s">
        <v>917</v>
      </c>
      <c r="B433" s="1">
        <v>45680</v>
      </c>
      <c r="C433" t="s">
        <v>86</v>
      </c>
      <c r="D433" t="s">
        <v>90</v>
      </c>
      <c r="E433" t="s">
        <v>113</v>
      </c>
      <c r="F433" t="s">
        <v>37</v>
      </c>
      <c r="G433" t="s">
        <v>24</v>
      </c>
      <c r="H433" t="s">
        <v>32</v>
      </c>
      <c r="I433" t="s">
        <v>918</v>
      </c>
      <c r="J433">
        <v>5</v>
      </c>
      <c r="K433" s="2">
        <v>845.32</v>
      </c>
      <c r="L433">
        <v>5</v>
      </c>
      <c r="M433" s="2">
        <v>4015.27</v>
      </c>
      <c r="N433" s="2">
        <v>2362.6799999999998</v>
      </c>
      <c r="O433" s="2">
        <v>1652.59</v>
      </c>
      <c r="P433" t="s">
        <v>48</v>
      </c>
      <c r="Q433" t="s">
        <v>49</v>
      </c>
    </row>
    <row r="434" spans="1:17" x14ac:dyDescent="0.3">
      <c r="A434" t="s">
        <v>919</v>
      </c>
      <c r="B434" s="1">
        <v>46086</v>
      </c>
      <c r="C434" t="s">
        <v>70</v>
      </c>
      <c r="D434" t="s">
        <v>75</v>
      </c>
      <c r="E434" t="s">
        <v>66</v>
      </c>
      <c r="F434" t="s">
        <v>23</v>
      </c>
      <c r="G434" t="s">
        <v>45</v>
      </c>
      <c r="H434" t="s">
        <v>123</v>
      </c>
      <c r="I434" t="s">
        <v>920</v>
      </c>
      <c r="J434">
        <v>7</v>
      </c>
      <c r="K434" s="2">
        <v>4285.16</v>
      </c>
      <c r="L434">
        <v>5</v>
      </c>
      <c r="M434" s="2">
        <v>28496.31</v>
      </c>
      <c r="N434" s="2">
        <v>15827.19</v>
      </c>
      <c r="O434" s="2">
        <v>12669.12</v>
      </c>
      <c r="P434" t="s">
        <v>48</v>
      </c>
      <c r="Q434" t="s">
        <v>61</v>
      </c>
    </row>
    <row r="435" spans="1:17" x14ac:dyDescent="0.3">
      <c r="A435" t="s">
        <v>921</v>
      </c>
      <c r="B435" s="1">
        <v>46017</v>
      </c>
      <c r="C435" t="s">
        <v>20</v>
      </c>
      <c r="D435" t="s">
        <v>21</v>
      </c>
      <c r="E435" t="s">
        <v>22</v>
      </c>
      <c r="F435" t="s">
        <v>37</v>
      </c>
      <c r="G435" t="s">
        <v>45</v>
      </c>
      <c r="H435" t="s">
        <v>123</v>
      </c>
      <c r="I435" t="s">
        <v>922</v>
      </c>
      <c r="J435">
        <v>7</v>
      </c>
      <c r="K435" s="2">
        <v>1834.72</v>
      </c>
      <c r="L435">
        <v>10</v>
      </c>
      <c r="M435" s="2">
        <v>11558.74</v>
      </c>
      <c r="N435" s="2">
        <v>7960.48</v>
      </c>
      <c r="O435" s="2">
        <v>3598.26</v>
      </c>
      <c r="P435" t="s">
        <v>41</v>
      </c>
      <c r="Q435" t="s">
        <v>61</v>
      </c>
    </row>
    <row r="436" spans="1:17" x14ac:dyDescent="0.3">
      <c r="A436" t="s">
        <v>923</v>
      </c>
      <c r="B436" s="1">
        <v>45773</v>
      </c>
      <c r="C436" t="s">
        <v>86</v>
      </c>
      <c r="D436" t="s">
        <v>90</v>
      </c>
      <c r="E436" t="s">
        <v>66</v>
      </c>
      <c r="F436" t="s">
        <v>37</v>
      </c>
      <c r="G436" t="s">
        <v>38</v>
      </c>
      <c r="H436" t="s">
        <v>72</v>
      </c>
      <c r="I436" t="s">
        <v>924</v>
      </c>
      <c r="J436">
        <v>5</v>
      </c>
      <c r="K436" s="2">
        <v>2640.99</v>
      </c>
      <c r="L436">
        <v>10</v>
      </c>
      <c r="M436" s="2">
        <v>11884.45</v>
      </c>
      <c r="N436" s="2">
        <v>8077.36</v>
      </c>
      <c r="O436" s="2">
        <v>3807.09</v>
      </c>
      <c r="P436" t="s">
        <v>27</v>
      </c>
      <c r="Q436" t="s">
        <v>28</v>
      </c>
    </row>
    <row r="437" spans="1:17" x14ac:dyDescent="0.3">
      <c r="A437" t="s">
        <v>925</v>
      </c>
      <c r="B437" s="1">
        <v>45820</v>
      </c>
      <c r="C437" t="s">
        <v>70</v>
      </c>
      <c r="D437" t="s">
        <v>75</v>
      </c>
      <c r="E437" t="s">
        <v>170</v>
      </c>
      <c r="F437" t="s">
        <v>37</v>
      </c>
      <c r="G437" t="s">
        <v>38</v>
      </c>
      <c r="H437" t="s">
        <v>91</v>
      </c>
      <c r="I437" t="s">
        <v>926</v>
      </c>
      <c r="J437">
        <v>13</v>
      </c>
      <c r="K437" s="2">
        <v>3904.81</v>
      </c>
      <c r="L437">
        <v>20</v>
      </c>
      <c r="M437" s="2">
        <v>40610.019999999997</v>
      </c>
      <c r="N437" s="2">
        <v>28056.69</v>
      </c>
      <c r="O437" s="2">
        <v>12553.33</v>
      </c>
      <c r="P437" t="s">
        <v>27</v>
      </c>
      <c r="Q437" t="s">
        <v>28</v>
      </c>
    </row>
    <row r="438" spans="1:17" x14ac:dyDescent="0.3">
      <c r="A438" t="s">
        <v>927</v>
      </c>
      <c r="B438" s="1">
        <v>45910</v>
      </c>
      <c r="C438" t="s">
        <v>86</v>
      </c>
      <c r="D438" t="s">
        <v>90</v>
      </c>
      <c r="E438" t="s">
        <v>66</v>
      </c>
      <c r="F438" t="s">
        <v>31</v>
      </c>
      <c r="G438" t="s">
        <v>24</v>
      </c>
      <c r="H438" t="s">
        <v>134</v>
      </c>
      <c r="I438" t="s">
        <v>928</v>
      </c>
      <c r="J438">
        <v>4</v>
      </c>
      <c r="K438" s="2">
        <v>1783.71</v>
      </c>
      <c r="L438">
        <v>0</v>
      </c>
      <c r="M438" s="2">
        <v>7134.84</v>
      </c>
      <c r="N438" s="2">
        <v>3946.07</v>
      </c>
      <c r="O438" s="2">
        <v>3188.77</v>
      </c>
      <c r="P438" t="s">
        <v>48</v>
      </c>
      <c r="Q438" t="s">
        <v>28</v>
      </c>
    </row>
    <row r="439" spans="1:17" x14ac:dyDescent="0.3">
      <c r="A439" t="s">
        <v>929</v>
      </c>
      <c r="B439" s="1">
        <v>45674</v>
      </c>
      <c r="C439" t="s">
        <v>20</v>
      </c>
      <c r="D439" t="s">
        <v>55</v>
      </c>
      <c r="E439" t="s">
        <v>51</v>
      </c>
      <c r="F439" t="s">
        <v>37</v>
      </c>
      <c r="G439" t="s">
        <v>24</v>
      </c>
      <c r="H439" t="s">
        <v>32</v>
      </c>
      <c r="I439" t="s">
        <v>930</v>
      </c>
      <c r="J439">
        <v>2</v>
      </c>
      <c r="K439" s="2">
        <v>3284.92</v>
      </c>
      <c r="L439">
        <v>10</v>
      </c>
      <c r="M439" s="2">
        <v>5912.86</v>
      </c>
      <c r="N439" s="2">
        <v>3989.19</v>
      </c>
      <c r="O439" s="2">
        <v>1923.67</v>
      </c>
      <c r="P439" t="s">
        <v>48</v>
      </c>
      <c r="Q439" t="s">
        <v>49</v>
      </c>
    </row>
    <row r="440" spans="1:17" x14ac:dyDescent="0.3">
      <c r="A440" t="s">
        <v>931</v>
      </c>
      <c r="B440" s="1">
        <v>45914</v>
      </c>
      <c r="C440" t="s">
        <v>20</v>
      </c>
      <c r="D440" t="s">
        <v>55</v>
      </c>
      <c r="E440" t="s">
        <v>44</v>
      </c>
      <c r="F440" t="s">
        <v>31</v>
      </c>
      <c r="G440" t="s">
        <v>38</v>
      </c>
      <c r="H440" t="s">
        <v>91</v>
      </c>
      <c r="I440" t="s">
        <v>932</v>
      </c>
      <c r="J440">
        <v>6</v>
      </c>
      <c r="K440" s="2">
        <v>4356.29</v>
      </c>
      <c r="L440">
        <v>10</v>
      </c>
      <c r="M440" s="2">
        <v>23523.97</v>
      </c>
      <c r="N440" s="2">
        <v>18749.02</v>
      </c>
      <c r="O440" s="2">
        <v>4774.95</v>
      </c>
      <c r="P440" t="s">
        <v>27</v>
      </c>
      <c r="Q440" t="s">
        <v>42</v>
      </c>
    </row>
    <row r="441" spans="1:17" x14ac:dyDescent="0.3">
      <c r="A441" t="s">
        <v>933</v>
      </c>
      <c r="B441" s="1">
        <v>45686</v>
      </c>
      <c r="C441" t="s">
        <v>35</v>
      </c>
      <c r="D441" t="s">
        <v>59</v>
      </c>
      <c r="E441" t="s">
        <v>51</v>
      </c>
      <c r="F441" t="s">
        <v>31</v>
      </c>
      <c r="G441" t="s">
        <v>38</v>
      </c>
      <c r="H441" t="s">
        <v>72</v>
      </c>
      <c r="I441" t="s">
        <v>934</v>
      </c>
      <c r="J441">
        <v>8</v>
      </c>
      <c r="K441" s="2">
        <v>914.43</v>
      </c>
      <c r="L441">
        <v>20</v>
      </c>
      <c r="M441" s="2">
        <v>5852.35</v>
      </c>
      <c r="N441" s="2">
        <v>3992.78</v>
      </c>
      <c r="O441" s="2">
        <v>1859.57</v>
      </c>
      <c r="P441" t="s">
        <v>41</v>
      </c>
      <c r="Q441" t="s">
        <v>49</v>
      </c>
    </row>
    <row r="442" spans="1:17" x14ac:dyDescent="0.3">
      <c r="A442" t="s">
        <v>935</v>
      </c>
      <c r="B442" s="1">
        <v>46126</v>
      </c>
      <c r="C442" t="s">
        <v>20</v>
      </c>
      <c r="D442" t="s">
        <v>21</v>
      </c>
      <c r="E442" t="s">
        <v>66</v>
      </c>
      <c r="F442" t="s">
        <v>37</v>
      </c>
      <c r="G442" t="s">
        <v>45</v>
      </c>
      <c r="H442" t="s">
        <v>67</v>
      </c>
      <c r="I442" t="s">
        <v>936</v>
      </c>
      <c r="J442">
        <v>9</v>
      </c>
      <c r="K442" s="2">
        <v>4854.53</v>
      </c>
      <c r="L442">
        <v>0</v>
      </c>
      <c r="M442" s="2">
        <v>43690.77</v>
      </c>
      <c r="N442" s="2">
        <v>26566.51</v>
      </c>
      <c r="O442" s="2">
        <v>17124.259999999998</v>
      </c>
      <c r="P442" t="s">
        <v>48</v>
      </c>
      <c r="Q442" t="s">
        <v>49</v>
      </c>
    </row>
    <row r="443" spans="1:17" x14ac:dyDescent="0.3">
      <c r="A443" t="s">
        <v>937</v>
      </c>
      <c r="B443" s="1">
        <v>45744</v>
      </c>
      <c r="C443" t="s">
        <v>86</v>
      </c>
      <c r="D443" t="s">
        <v>87</v>
      </c>
      <c r="E443" t="s">
        <v>120</v>
      </c>
      <c r="F443" t="s">
        <v>37</v>
      </c>
      <c r="G443" t="s">
        <v>38</v>
      </c>
      <c r="H443" t="s">
        <v>39</v>
      </c>
      <c r="I443" t="s">
        <v>938</v>
      </c>
      <c r="J443">
        <v>1</v>
      </c>
      <c r="K443" s="2">
        <v>3579.7</v>
      </c>
      <c r="L443">
        <v>5</v>
      </c>
      <c r="M443" s="2">
        <v>3400.71</v>
      </c>
      <c r="N443" s="2">
        <v>2214.0500000000002</v>
      </c>
      <c r="O443" s="2">
        <v>1186.6600000000001</v>
      </c>
      <c r="P443" t="s">
        <v>41</v>
      </c>
      <c r="Q443" t="s">
        <v>49</v>
      </c>
    </row>
    <row r="444" spans="1:17" x14ac:dyDescent="0.3">
      <c r="A444" t="s">
        <v>939</v>
      </c>
      <c r="B444" s="1">
        <v>46142</v>
      </c>
      <c r="C444" t="s">
        <v>35</v>
      </c>
      <c r="D444" t="s">
        <v>59</v>
      </c>
      <c r="E444" t="s">
        <v>120</v>
      </c>
      <c r="F444" t="s">
        <v>31</v>
      </c>
      <c r="G444" t="s">
        <v>38</v>
      </c>
      <c r="H444" t="s">
        <v>106</v>
      </c>
      <c r="I444" t="s">
        <v>940</v>
      </c>
      <c r="J444">
        <v>3</v>
      </c>
      <c r="K444" s="2">
        <v>4747.24</v>
      </c>
      <c r="L444">
        <v>0</v>
      </c>
      <c r="M444" s="2">
        <v>14241.72</v>
      </c>
      <c r="N444" s="2">
        <v>8330.52</v>
      </c>
      <c r="O444" s="2">
        <v>5911.2</v>
      </c>
      <c r="P444" t="s">
        <v>48</v>
      </c>
      <c r="Q444" t="s">
        <v>28</v>
      </c>
    </row>
    <row r="445" spans="1:17" x14ac:dyDescent="0.3">
      <c r="A445" t="s">
        <v>941</v>
      </c>
      <c r="B445" s="1">
        <v>46126</v>
      </c>
      <c r="C445" t="s">
        <v>86</v>
      </c>
      <c r="D445" t="s">
        <v>90</v>
      </c>
      <c r="E445" t="s">
        <v>170</v>
      </c>
      <c r="F445" t="s">
        <v>31</v>
      </c>
      <c r="G445" t="s">
        <v>38</v>
      </c>
      <c r="H445" t="s">
        <v>91</v>
      </c>
      <c r="I445" t="s">
        <v>942</v>
      </c>
      <c r="J445">
        <v>12</v>
      </c>
      <c r="K445" s="2">
        <v>4076.79</v>
      </c>
      <c r="L445">
        <v>15</v>
      </c>
      <c r="M445" s="2">
        <v>41583.26</v>
      </c>
      <c r="N445" s="2">
        <v>27891.83</v>
      </c>
      <c r="O445" s="2">
        <v>13691.43</v>
      </c>
      <c r="P445" t="s">
        <v>27</v>
      </c>
      <c r="Q445" t="s">
        <v>28</v>
      </c>
    </row>
    <row r="446" spans="1:17" x14ac:dyDescent="0.3">
      <c r="A446" t="s">
        <v>943</v>
      </c>
      <c r="B446" s="1">
        <v>46011</v>
      </c>
      <c r="C446" t="s">
        <v>35</v>
      </c>
      <c r="D446" t="s">
        <v>36</v>
      </c>
      <c r="E446" t="s">
        <v>51</v>
      </c>
      <c r="F446" t="s">
        <v>31</v>
      </c>
      <c r="G446" t="s">
        <v>45</v>
      </c>
      <c r="H446" t="s">
        <v>46</v>
      </c>
      <c r="I446" t="s">
        <v>235</v>
      </c>
      <c r="J446">
        <v>1</v>
      </c>
      <c r="K446" s="2">
        <v>4535.7299999999996</v>
      </c>
      <c r="L446">
        <v>20</v>
      </c>
      <c r="M446" s="2">
        <v>3628.58</v>
      </c>
      <c r="N446" s="2">
        <v>2254.63</v>
      </c>
      <c r="O446" s="2">
        <v>1373.95</v>
      </c>
      <c r="P446" t="s">
        <v>27</v>
      </c>
      <c r="Q446" t="s">
        <v>61</v>
      </c>
    </row>
    <row r="447" spans="1:17" x14ac:dyDescent="0.3">
      <c r="A447" t="s">
        <v>944</v>
      </c>
      <c r="B447" s="1">
        <v>46198</v>
      </c>
      <c r="C447" t="s">
        <v>20</v>
      </c>
      <c r="D447" t="s">
        <v>21</v>
      </c>
      <c r="E447" t="s">
        <v>22</v>
      </c>
      <c r="F447" t="s">
        <v>37</v>
      </c>
      <c r="G447" t="s">
        <v>38</v>
      </c>
      <c r="H447" t="s">
        <v>72</v>
      </c>
      <c r="I447" t="s">
        <v>945</v>
      </c>
      <c r="J447">
        <v>3</v>
      </c>
      <c r="K447" s="2">
        <v>3558.25</v>
      </c>
      <c r="L447">
        <v>10</v>
      </c>
      <c r="M447" s="2">
        <v>9607.27</v>
      </c>
      <c r="N447" s="2">
        <v>7365.77</v>
      </c>
      <c r="O447" s="2">
        <v>2241.5</v>
      </c>
      <c r="P447" t="s">
        <v>27</v>
      </c>
      <c r="Q447" t="s">
        <v>42</v>
      </c>
    </row>
    <row r="448" spans="1:17" x14ac:dyDescent="0.3">
      <c r="A448" t="s">
        <v>946</v>
      </c>
      <c r="B448" s="1">
        <v>45887</v>
      </c>
      <c r="C448" t="s">
        <v>70</v>
      </c>
      <c r="D448" t="s">
        <v>75</v>
      </c>
      <c r="E448" t="s">
        <v>120</v>
      </c>
      <c r="F448" t="s">
        <v>23</v>
      </c>
      <c r="G448" t="s">
        <v>24</v>
      </c>
      <c r="H448" t="s">
        <v>171</v>
      </c>
      <c r="I448" t="s">
        <v>947</v>
      </c>
      <c r="J448">
        <v>7</v>
      </c>
      <c r="K448" s="2">
        <v>4584.01</v>
      </c>
      <c r="L448">
        <v>20</v>
      </c>
      <c r="M448" s="2">
        <v>25670.46</v>
      </c>
      <c r="N448" s="2">
        <v>17884.29</v>
      </c>
      <c r="O448" s="2">
        <v>7786.17</v>
      </c>
      <c r="P448" t="s">
        <v>48</v>
      </c>
      <c r="Q448" t="s">
        <v>28</v>
      </c>
    </row>
    <row r="449" spans="1:17" x14ac:dyDescent="0.3">
      <c r="A449" t="s">
        <v>948</v>
      </c>
      <c r="B449" s="1">
        <v>45682</v>
      </c>
      <c r="C449" t="s">
        <v>20</v>
      </c>
      <c r="D449" t="s">
        <v>21</v>
      </c>
      <c r="E449" t="s">
        <v>120</v>
      </c>
      <c r="F449" t="s">
        <v>37</v>
      </c>
      <c r="G449" t="s">
        <v>45</v>
      </c>
      <c r="H449" t="s">
        <v>52</v>
      </c>
      <c r="I449" t="s">
        <v>949</v>
      </c>
      <c r="J449">
        <v>3</v>
      </c>
      <c r="K449" s="2">
        <v>402.34</v>
      </c>
      <c r="L449">
        <v>5</v>
      </c>
      <c r="M449" s="2">
        <v>1146.67</v>
      </c>
      <c r="N449" s="2">
        <v>910.83</v>
      </c>
      <c r="O449" s="2">
        <v>235.84</v>
      </c>
      <c r="P449" t="s">
        <v>27</v>
      </c>
      <c r="Q449" t="s">
        <v>49</v>
      </c>
    </row>
    <row r="450" spans="1:17" x14ac:dyDescent="0.3">
      <c r="A450" t="s">
        <v>950</v>
      </c>
      <c r="B450" s="1">
        <v>46194</v>
      </c>
      <c r="C450" t="s">
        <v>70</v>
      </c>
      <c r="D450" t="s">
        <v>71</v>
      </c>
      <c r="E450" t="s">
        <v>66</v>
      </c>
      <c r="F450" t="s">
        <v>23</v>
      </c>
      <c r="G450" t="s">
        <v>38</v>
      </c>
      <c r="H450" t="s">
        <v>39</v>
      </c>
      <c r="I450" t="s">
        <v>951</v>
      </c>
      <c r="J450">
        <v>12</v>
      </c>
      <c r="K450" s="2">
        <v>1008.19</v>
      </c>
      <c r="L450">
        <v>20</v>
      </c>
      <c r="M450" s="2">
        <v>9678.6200000000008</v>
      </c>
      <c r="N450" s="2">
        <v>7659.52</v>
      </c>
      <c r="O450" s="2">
        <v>2019.1</v>
      </c>
      <c r="P450" t="s">
        <v>41</v>
      </c>
      <c r="Q450" t="s">
        <v>42</v>
      </c>
    </row>
    <row r="451" spans="1:17" x14ac:dyDescent="0.3">
      <c r="A451" t="s">
        <v>952</v>
      </c>
      <c r="B451" s="1">
        <v>46078</v>
      </c>
      <c r="C451" t="s">
        <v>20</v>
      </c>
      <c r="D451" t="s">
        <v>21</v>
      </c>
      <c r="E451" t="s">
        <v>170</v>
      </c>
      <c r="F451" t="s">
        <v>37</v>
      </c>
      <c r="G451" t="s">
        <v>38</v>
      </c>
      <c r="H451" t="s">
        <v>39</v>
      </c>
      <c r="I451" t="s">
        <v>953</v>
      </c>
      <c r="J451">
        <v>8</v>
      </c>
      <c r="K451" s="2">
        <v>1245.48</v>
      </c>
      <c r="L451">
        <v>0</v>
      </c>
      <c r="M451" s="2">
        <v>9963.84</v>
      </c>
      <c r="N451" s="2">
        <v>5664.16</v>
      </c>
      <c r="O451" s="2">
        <v>4299.68</v>
      </c>
      <c r="P451" t="s">
        <v>27</v>
      </c>
      <c r="Q451" t="s">
        <v>49</v>
      </c>
    </row>
    <row r="452" spans="1:17" x14ac:dyDescent="0.3">
      <c r="A452" t="s">
        <v>954</v>
      </c>
      <c r="B452" s="1">
        <v>45659</v>
      </c>
      <c r="C452" t="s">
        <v>35</v>
      </c>
      <c r="D452" t="s">
        <v>59</v>
      </c>
      <c r="E452" t="s">
        <v>120</v>
      </c>
      <c r="F452" t="s">
        <v>37</v>
      </c>
      <c r="G452" t="s">
        <v>24</v>
      </c>
      <c r="H452" t="s">
        <v>171</v>
      </c>
      <c r="I452" t="s">
        <v>955</v>
      </c>
      <c r="J452">
        <v>5</v>
      </c>
      <c r="K452" s="2">
        <v>3910.46</v>
      </c>
      <c r="L452">
        <v>10</v>
      </c>
      <c r="M452" s="2">
        <v>17597.07</v>
      </c>
      <c r="N452" s="2">
        <v>13077.53</v>
      </c>
      <c r="O452" s="2">
        <v>4519.54</v>
      </c>
      <c r="P452" t="s">
        <v>48</v>
      </c>
      <c r="Q452" t="s">
        <v>61</v>
      </c>
    </row>
    <row r="453" spans="1:17" x14ac:dyDescent="0.3">
      <c r="A453" t="s">
        <v>956</v>
      </c>
      <c r="B453" s="1">
        <v>45809</v>
      </c>
      <c r="C453" t="s">
        <v>70</v>
      </c>
      <c r="D453" t="s">
        <v>71</v>
      </c>
      <c r="E453" t="s">
        <v>120</v>
      </c>
      <c r="F453" t="s">
        <v>37</v>
      </c>
      <c r="G453" t="s">
        <v>45</v>
      </c>
      <c r="H453" t="s">
        <v>67</v>
      </c>
      <c r="I453" t="s">
        <v>957</v>
      </c>
      <c r="J453">
        <v>15</v>
      </c>
      <c r="K453" s="2">
        <v>2500.34</v>
      </c>
      <c r="L453">
        <v>0</v>
      </c>
      <c r="M453" s="2">
        <v>37505.1</v>
      </c>
      <c r="N453" s="2">
        <v>24195.919999999998</v>
      </c>
      <c r="O453" s="2">
        <v>13309.18</v>
      </c>
      <c r="P453" t="s">
        <v>27</v>
      </c>
      <c r="Q453" t="s">
        <v>61</v>
      </c>
    </row>
    <row r="454" spans="1:17" x14ac:dyDescent="0.3">
      <c r="A454" t="s">
        <v>958</v>
      </c>
      <c r="B454" s="1">
        <v>46089</v>
      </c>
      <c r="C454" t="s">
        <v>70</v>
      </c>
      <c r="D454" t="s">
        <v>71</v>
      </c>
      <c r="E454" t="s">
        <v>120</v>
      </c>
      <c r="F454" t="s">
        <v>37</v>
      </c>
      <c r="G454" t="s">
        <v>24</v>
      </c>
      <c r="H454" t="s">
        <v>56</v>
      </c>
      <c r="I454" t="s">
        <v>959</v>
      </c>
      <c r="J454">
        <v>14</v>
      </c>
      <c r="K454" s="2">
        <v>1647.46</v>
      </c>
      <c r="L454">
        <v>20</v>
      </c>
      <c r="M454" s="2">
        <v>18451.55</v>
      </c>
      <c r="N454" s="2">
        <v>13777.13</v>
      </c>
      <c r="O454" s="2">
        <v>4674.42</v>
      </c>
      <c r="P454" t="s">
        <v>41</v>
      </c>
      <c r="Q454" t="s">
        <v>42</v>
      </c>
    </row>
    <row r="455" spans="1:17" x14ac:dyDescent="0.3">
      <c r="A455" t="s">
        <v>960</v>
      </c>
      <c r="B455" s="1">
        <v>45820</v>
      </c>
      <c r="C455" t="s">
        <v>86</v>
      </c>
      <c r="D455" t="s">
        <v>87</v>
      </c>
      <c r="E455" t="s">
        <v>120</v>
      </c>
      <c r="F455" t="s">
        <v>23</v>
      </c>
      <c r="G455" t="s">
        <v>24</v>
      </c>
      <c r="H455" t="s">
        <v>56</v>
      </c>
      <c r="I455" t="s">
        <v>961</v>
      </c>
      <c r="J455">
        <v>6</v>
      </c>
      <c r="K455" s="2">
        <v>2189.11</v>
      </c>
      <c r="L455">
        <v>5</v>
      </c>
      <c r="M455" s="2">
        <v>12477.93</v>
      </c>
      <c r="N455" s="2">
        <v>7096.48</v>
      </c>
      <c r="O455" s="2">
        <v>5381.45</v>
      </c>
      <c r="P455" t="s">
        <v>41</v>
      </c>
      <c r="Q455" t="s">
        <v>42</v>
      </c>
    </row>
    <row r="456" spans="1:17" x14ac:dyDescent="0.3">
      <c r="A456" t="s">
        <v>962</v>
      </c>
      <c r="B456" s="1">
        <v>45695</v>
      </c>
      <c r="C456" t="s">
        <v>20</v>
      </c>
      <c r="D456" t="s">
        <v>21</v>
      </c>
      <c r="E456" t="s">
        <v>44</v>
      </c>
      <c r="F456" t="s">
        <v>31</v>
      </c>
      <c r="G456" t="s">
        <v>24</v>
      </c>
      <c r="H456" t="s">
        <v>134</v>
      </c>
      <c r="I456" t="s">
        <v>963</v>
      </c>
      <c r="J456">
        <v>12</v>
      </c>
      <c r="K456" s="2">
        <v>717.51</v>
      </c>
      <c r="L456">
        <v>20</v>
      </c>
      <c r="M456" s="2">
        <v>6888.1</v>
      </c>
      <c r="N456" s="2">
        <v>4990.57</v>
      </c>
      <c r="O456" s="2">
        <v>1897.53</v>
      </c>
      <c r="P456" t="s">
        <v>27</v>
      </c>
      <c r="Q456" t="s">
        <v>42</v>
      </c>
    </row>
    <row r="457" spans="1:17" x14ac:dyDescent="0.3">
      <c r="A457" t="s">
        <v>964</v>
      </c>
      <c r="B457" s="1">
        <v>46022</v>
      </c>
      <c r="C457" t="s">
        <v>70</v>
      </c>
      <c r="D457" t="s">
        <v>71</v>
      </c>
      <c r="E457" t="s">
        <v>170</v>
      </c>
      <c r="F457" t="s">
        <v>31</v>
      </c>
      <c r="G457" t="s">
        <v>45</v>
      </c>
      <c r="H457" t="s">
        <v>67</v>
      </c>
      <c r="I457" t="s">
        <v>965</v>
      </c>
      <c r="J457">
        <v>14</v>
      </c>
      <c r="K457" s="2">
        <v>1204.32</v>
      </c>
      <c r="L457">
        <v>5</v>
      </c>
      <c r="M457" s="2">
        <v>16017.46</v>
      </c>
      <c r="N457" s="2">
        <v>9316.6299999999992</v>
      </c>
      <c r="O457" s="2">
        <v>6700.83</v>
      </c>
      <c r="P457" t="s">
        <v>41</v>
      </c>
      <c r="Q457" t="s">
        <v>49</v>
      </c>
    </row>
    <row r="458" spans="1:17" x14ac:dyDescent="0.3">
      <c r="A458" t="s">
        <v>966</v>
      </c>
      <c r="B458" s="1">
        <v>45681</v>
      </c>
      <c r="C458" t="s">
        <v>20</v>
      </c>
      <c r="D458" t="s">
        <v>21</v>
      </c>
      <c r="E458" t="s">
        <v>30</v>
      </c>
      <c r="F458" t="s">
        <v>31</v>
      </c>
      <c r="G458" t="s">
        <v>38</v>
      </c>
      <c r="H458" t="s">
        <v>39</v>
      </c>
      <c r="I458" t="s">
        <v>967</v>
      </c>
      <c r="J458">
        <v>8</v>
      </c>
      <c r="K458" s="2">
        <v>469.56</v>
      </c>
      <c r="L458">
        <v>0</v>
      </c>
      <c r="M458" s="2">
        <v>3756.48</v>
      </c>
      <c r="N458" s="2">
        <v>2839.66</v>
      </c>
      <c r="O458" s="2">
        <v>916.82</v>
      </c>
      <c r="P458" t="s">
        <v>48</v>
      </c>
      <c r="Q458" t="s">
        <v>49</v>
      </c>
    </row>
    <row r="459" spans="1:17" x14ac:dyDescent="0.3">
      <c r="A459" t="s">
        <v>968</v>
      </c>
      <c r="B459" s="1">
        <v>46123</v>
      </c>
      <c r="C459" t="s">
        <v>70</v>
      </c>
      <c r="D459" t="s">
        <v>71</v>
      </c>
      <c r="E459" t="s">
        <v>30</v>
      </c>
      <c r="F459" t="s">
        <v>23</v>
      </c>
      <c r="G459" t="s">
        <v>24</v>
      </c>
      <c r="H459" t="s">
        <v>32</v>
      </c>
      <c r="I459" t="s">
        <v>969</v>
      </c>
      <c r="J459">
        <v>11</v>
      </c>
      <c r="K459" s="2">
        <v>3341.82</v>
      </c>
      <c r="L459">
        <v>0</v>
      </c>
      <c r="M459" s="2">
        <v>36760.019999999997</v>
      </c>
      <c r="N459" s="2">
        <v>29251.27</v>
      </c>
      <c r="O459" s="2">
        <v>7508.75</v>
      </c>
      <c r="P459" t="s">
        <v>48</v>
      </c>
      <c r="Q459" t="s">
        <v>61</v>
      </c>
    </row>
    <row r="460" spans="1:17" x14ac:dyDescent="0.3">
      <c r="A460" t="s">
        <v>970</v>
      </c>
      <c r="B460" s="1">
        <v>45698</v>
      </c>
      <c r="C460" t="s">
        <v>86</v>
      </c>
      <c r="D460" t="s">
        <v>87</v>
      </c>
      <c r="E460" t="s">
        <v>66</v>
      </c>
      <c r="F460" t="s">
        <v>31</v>
      </c>
      <c r="G460" t="s">
        <v>45</v>
      </c>
      <c r="H460" t="s">
        <v>46</v>
      </c>
      <c r="I460" t="s">
        <v>971</v>
      </c>
      <c r="J460">
        <v>1</v>
      </c>
      <c r="K460" s="2">
        <v>4839.21</v>
      </c>
      <c r="L460">
        <v>10</v>
      </c>
      <c r="M460" s="2">
        <v>4355.29</v>
      </c>
      <c r="N460" s="2">
        <v>2941.1</v>
      </c>
      <c r="O460" s="2">
        <v>1414.19</v>
      </c>
      <c r="P460" t="s">
        <v>27</v>
      </c>
      <c r="Q460" t="s">
        <v>28</v>
      </c>
    </row>
    <row r="461" spans="1:17" x14ac:dyDescent="0.3">
      <c r="A461" t="s">
        <v>972</v>
      </c>
      <c r="B461" s="1">
        <v>45997</v>
      </c>
      <c r="C461" t="s">
        <v>35</v>
      </c>
      <c r="D461" t="s">
        <v>59</v>
      </c>
      <c r="E461" t="s">
        <v>66</v>
      </c>
      <c r="F461" t="s">
        <v>23</v>
      </c>
      <c r="G461" t="s">
        <v>24</v>
      </c>
      <c r="H461" t="s">
        <v>134</v>
      </c>
      <c r="I461" t="s">
        <v>973</v>
      </c>
      <c r="J461">
        <v>3</v>
      </c>
      <c r="K461" s="2">
        <v>3030.34</v>
      </c>
      <c r="L461">
        <v>0</v>
      </c>
      <c r="M461" s="2">
        <v>9091.02</v>
      </c>
      <c r="N461" s="2">
        <v>5206.55</v>
      </c>
      <c r="O461" s="2">
        <v>3884.47</v>
      </c>
      <c r="P461" t="s">
        <v>27</v>
      </c>
      <c r="Q461" t="s">
        <v>42</v>
      </c>
    </row>
    <row r="462" spans="1:17" x14ac:dyDescent="0.3">
      <c r="A462" t="s">
        <v>974</v>
      </c>
      <c r="B462" s="1">
        <v>46009</v>
      </c>
      <c r="C462" t="s">
        <v>20</v>
      </c>
      <c r="D462" t="s">
        <v>55</v>
      </c>
      <c r="E462" t="s">
        <v>30</v>
      </c>
      <c r="F462" t="s">
        <v>23</v>
      </c>
      <c r="G462" t="s">
        <v>38</v>
      </c>
      <c r="H462" t="s">
        <v>91</v>
      </c>
      <c r="I462" t="s">
        <v>975</v>
      </c>
      <c r="J462">
        <v>9</v>
      </c>
      <c r="K462" s="2">
        <v>1696.26</v>
      </c>
      <c r="L462">
        <v>5</v>
      </c>
      <c r="M462" s="2">
        <v>14503.02</v>
      </c>
      <c r="N462" s="2">
        <v>8731.89</v>
      </c>
      <c r="O462" s="2">
        <v>5771.13</v>
      </c>
      <c r="P462" t="s">
        <v>27</v>
      </c>
      <c r="Q462" t="s">
        <v>28</v>
      </c>
    </row>
    <row r="463" spans="1:17" x14ac:dyDescent="0.3">
      <c r="A463" t="s">
        <v>976</v>
      </c>
      <c r="B463" s="1">
        <v>45771</v>
      </c>
      <c r="C463" t="s">
        <v>20</v>
      </c>
      <c r="D463" t="s">
        <v>55</v>
      </c>
      <c r="E463" t="s">
        <v>51</v>
      </c>
      <c r="F463" t="s">
        <v>31</v>
      </c>
      <c r="G463" t="s">
        <v>38</v>
      </c>
      <c r="H463" t="s">
        <v>63</v>
      </c>
      <c r="I463" t="s">
        <v>977</v>
      </c>
      <c r="J463">
        <v>9</v>
      </c>
      <c r="K463" s="2">
        <v>2684.31</v>
      </c>
      <c r="L463">
        <v>5</v>
      </c>
      <c r="M463" s="2">
        <v>22950.85</v>
      </c>
      <c r="N463" s="2">
        <v>13255.78</v>
      </c>
      <c r="O463" s="2">
        <v>9695.07</v>
      </c>
      <c r="P463" t="s">
        <v>27</v>
      </c>
      <c r="Q463" t="s">
        <v>42</v>
      </c>
    </row>
    <row r="464" spans="1:17" x14ac:dyDescent="0.3">
      <c r="A464" t="s">
        <v>978</v>
      </c>
      <c r="B464" s="1">
        <v>45951</v>
      </c>
      <c r="C464" t="s">
        <v>35</v>
      </c>
      <c r="D464" t="s">
        <v>36</v>
      </c>
      <c r="E464" t="s">
        <v>51</v>
      </c>
      <c r="F464" t="s">
        <v>37</v>
      </c>
      <c r="G464" t="s">
        <v>45</v>
      </c>
      <c r="H464" t="s">
        <v>52</v>
      </c>
      <c r="I464" t="s">
        <v>979</v>
      </c>
      <c r="J464">
        <v>12</v>
      </c>
      <c r="K464" s="2">
        <v>4528.62</v>
      </c>
      <c r="L464">
        <v>10</v>
      </c>
      <c r="M464" s="2">
        <v>48909.1</v>
      </c>
      <c r="N464" s="2">
        <v>35776.769999999997</v>
      </c>
      <c r="O464" s="2">
        <v>13132.33</v>
      </c>
      <c r="P464" t="s">
        <v>48</v>
      </c>
      <c r="Q464" t="s">
        <v>28</v>
      </c>
    </row>
    <row r="465" spans="1:17" x14ac:dyDescent="0.3">
      <c r="A465" t="s">
        <v>980</v>
      </c>
      <c r="B465" s="1">
        <v>46115</v>
      </c>
      <c r="C465" t="s">
        <v>20</v>
      </c>
      <c r="D465" t="s">
        <v>21</v>
      </c>
      <c r="E465" t="s">
        <v>113</v>
      </c>
      <c r="F465" t="s">
        <v>23</v>
      </c>
      <c r="G465" t="s">
        <v>24</v>
      </c>
      <c r="H465" t="s">
        <v>171</v>
      </c>
      <c r="I465" t="s">
        <v>981</v>
      </c>
      <c r="J465">
        <v>9</v>
      </c>
      <c r="K465" s="2">
        <v>3075.09</v>
      </c>
      <c r="L465">
        <v>20</v>
      </c>
      <c r="M465" s="2">
        <v>22140.65</v>
      </c>
      <c r="N465" s="2">
        <v>13824.35</v>
      </c>
      <c r="O465" s="2">
        <v>8316.2999999999993</v>
      </c>
      <c r="P465" t="s">
        <v>27</v>
      </c>
      <c r="Q465" t="s">
        <v>28</v>
      </c>
    </row>
    <row r="466" spans="1:17" x14ac:dyDescent="0.3">
      <c r="A466" t="s">
        <v>982</v>
      </c>
      <c r="B466" s="1">
        <v>45730</v>
      </c>
      <c r="C466" t="s">
        <v>20</v>
      </c>
      <c r="D466" t="s">
        <v>55</v>
      </c>
      <c r="E466" t="s">
        <v>113</v>
      </c>
      <c r="F466" t="s">
        <v>23</v>
      </c>
      <c r="G466" t="s">
        <v>45</v>
      </c>
      <c r="H466" t="s">
        <v>159</v>
      </c>
      <c r="I466" t="s">
        <v>983</v>
      </c>
      <c r="J466">
        <v>12</v>
      </c>
      <c r="K466" s="2">
        <v>3300.62</v>
      </c>
      <c r="L466">
        <v>10</v>
      </c>
      <c r="M466" s="2">
        <v>35646.699999999997</v>
      </c>
      <c r="N466" s="2">
        <v>27651.66</v>
      </c>
      <c r="O466" s="2">
        <v>7995.04</v>
      </c>
      <c r="P466" t="s">
        <v>41</v>
      </c>
      <c r="Q466" t="s">
        <v>49</v>
      </c>
    </row>
    <row r="467" spans="1:17" x14ac:dyDescent="0.3">
      <c r="A467" t="s">
        <v>984</v>
      </c>
      <c r="B467" s="1">
        <v>45958</v>
      </c>
      <c r="C467" t="s">
        <v>35</v>
      </c>
      <c r="D467" t="s">
        <v>36</v>
      </c>
      <c r="E467" t="s">
        <v>120</v>
      </c>
      <c r="F467" t="s">
        <v>37</v>
      </c>
      <c r="G467" t="s">
        <v>45</v>
      </c>
      <c r="H467" t="s">
        <v>159</v>
      </c>
      <c r="I467" t="s">
        <v>985</v>
      </c>
      <c r="J467">
        <v>10</v>
      </c>
      <c r="K467" s="2">
        <v>2507.33</v>
      </c>
      <c r="L467">
        <v>10</v>
      </c>
      <c r="M467" s="2">
        <v>22565.97</v>
      </c>
      <c r="N467" s="2">
        <v>17773.259999999998</v>
      </c>
      <c r="O467" s="2">
        <v>4792.71</v>
      </c>
      <c r="P467" t="s">
        <v>48</v>
      </c>
      <c r="Q467" t="s">
        <v>61</v>
      </c>
    </row>
    <row r="468" spans="1:17" x14ac:dyDescent="0.3">
      <c r="A468" t="s">
        <v>986</v>
      </c>
      <c r="B468" s="1">
        <v>46059</v>
      </c>
      <c r="C468" t="s">
        <v>70</v>
      </c>
      <c r="D468" t="s">
        <v>75</v>
      </c>
      <c r="E468" t="s">
        <v>44</v>
      </c>
      <c r="F468" t="s">
        <v>37</v>
      </c>
      <c r="G468" t="s">
        <v>45</v>
      </c>
      <c r="H468" t="s">
        <v>52</v>
      </c>
      <c r="I468" t="s">
        <v>987</v>
      </c>
      <c r="J468">
        <v>14</v>
      </c>
      <c r="K468" s="2">
        <v>4893.26</v>
      </c>
      <c r="L468">
        <v>15</v>
      </c>
      <c r="M468" s="2">
        <v>58229.79</v>
      </c>
      <c r="N468" s="2">
        <v>43388.14</v>
      </c>
      <c r="O468" s="2">
        <v>14841.65</v>
      </c>
      <c r="P468" t="s">
        <v>48</v>
      </c>
      <c r="Q468" t="s">
        <v>61</v>
      </c>
    </row>
    <row r="469" spans="1:17" x14ac:dyDescent="0.3">
      <c r="A469" t="s">
        <v>988</v>
      </c>
      <c r="B469" s="1">
        <v>46082</v>
      </c>
      <c r="C469" t="s">
        <v>86</v>
      </c>
      <c r="D469" t="s">
        <v>87</v>
      </c>
      <c r="E469" t="s">
        <v>113</v>
      </c>
      <c r="F469" t="s">
        <v>31</v>
      </c>
      <c r="G469" t="s">
        <v>38</v>
      </c>
      <c r="H469" t="s">
        <v>91</v>
      </c>
      <c r="I469" t="s">
        <v>989</v>
      </c>
      <c r="J469">
        <v>13</v>
      </c>
      <c r="K469" s="2">
        <v>4351.42</v>
      </c>
      <c r="L469">
        <v>10</v>
      </c>
      <c r="M469" s="2">
        <v>50911.61</v>
      </c>
      <c r="N469" s="2">
        <v>39334.22</v>
      </c>
      <c r="O469" s="2">
        <v>11577.39</v>
      </c>
      <c r="P469" t="s">
        <v>27</v>
      </c>
      <c r="Q469" t="s">
        <v>42</v>
      </c>
    </row>
    <row r="470" spans="1:17" x14ac:dyDescent="0.3">
      <c r="A470" t="s">
        <v>990</v>
      </c>
      <c r="B470" s="1">
        <v>45912</v>
      </c>
      <c r="C470" t="s">
        <v>86</v>
      </c>
      <c r="D470" t="s">
        <v>87</v>
      </c>
      <c r="E470" t="s">
        <v>30</v>
      </c>
      <c r="F470" t="s">
        <v>31</v>
      </c>
      <c r="G470" t="s">
        <v>45</v>
      </c>
      <c r="H470" t="s">
        <v>52</v>
      </c>
      <c r="I470" t="s">
        <v>991</v>
      </c>
      <c r="J470">
        <v>6</v>
      </c>
      <c r="K470" s="2">
        <v>259.58999999999997</v>
      </c>
      <c r="L470">
        <v>0</v>
      </c>
      <c r="M470" s="2">
        <v>1557.54</v>
      </c>
      <c r="N470" s="2">
        <v>1259.1300000000001</v>
      </c>
      <c r="O470" s="2">
        <v>298.41000000000003</v>
      </c>
      <c r="P470" t="s">
        <v>48</v>
      </c>
      <c r="Q470" t="s">
        <v>28</v>
      </c>
    </row>
    <row r="471" spans="1:17" x14ac:dyDescent="0.3">
      <c r="A471" t="s">
        <v>992</v>
      </c>
      <c r="B471" s="1">
        <v>45705</v>
      </c>
      <c r="C471" t="s">
        <v>86</v>
      </c>
      <c r="D471" t="s">
        <v>87</v>
      </c>
      <c r="E471" t="s">
        <v>51</v>
      </c>
      <c r="F471" t="s">
        <v>23</v>
      </c>
      <c r="G471" t="s">
        <v>24</v>
      </c>
      <c r="H471" t="s">
        <v>32</v>
      </c>
      <c r="I471" t="s">
        <v>993</v>
      </c>
      <c r="J471">
        <v>5</v>
      </c>
      <c r="K471" s="2">
        <v>1531.95</v>
      </c>
      <c r="L471">
        <v>0</v>
      </c>
      <c r="M471" s="2">
        <v>7659.75</v>
      </c>
      <c r="N471" s="2">
        <v>4812.32</v>
      </c>
      <c r="O471" s="2">
        <v>2847.43</v>
      </c>
      <c r="P471" t="s">
        <v>48</v>
      </c>
      <c r="Q471" t="s">
        <v>28</v>
      </c>
    </row>
    <row r="472" spans="1:17" x14ac:dyDescent="0.3">
      <c r="A472" t="s">
        <v>994</v>
      </c>
      <c r="B472" s="1">
        <v>45840</v>
      </c>
      <c r="C472" t="s">
        <v>20</v>
      </c>
      <c r="D472" t="s">
        <v>21</v>
      </c>
      <c r="E472" t="s">
        <v>30</v>
      </c>
      <c r="F472" t="s">
        <v>23</v>
      </c>
      <c r="G472" t="s">
        <v>45</v>
      </c>
      <c r="H472" t="s">
        <v>52</v>
      </c>
      <c r="I472" t="s">
        <v>995</v>
      </c>
      <c r="J472">
        <v>7</v>
      </c>
      <c r="K472" s="2">
        <v>2473.04</v>
      </c>
      <c r="L472">
        <v>20</v>
      </c>
      <c r="M472" s="2">
        <v>13849.02</v>
      </c>
      <c r="N472" s="2">
        <v>10573.59</v>
      </c>
      <c r="O472" s="2">
        <v>3275.43</v>
      </c>
      <c r="P472" t="s">
        <v>48</v>
      </c>
      <c r="Q472" t="s">
        <v>61</v>
      </c>
    </row>
    <row r="473" spans="1:17" x14ac:dyDescent="0.3">
      <c r="A473" t="s">
        <v>996</v>
      </c>
      <c r="B473" s="1">
        <v>45907</v>
      </c>
      <c r="C473" t="s">
        <v>86</v>
      </c>
      <c r="D473" t="s">
        <v>87</v>
      </c>
      <c r="E473" t="s">
        <v>51</v>
      </c>
      <c r="F473" t="s">
        <v>37</v>
      </c>
      <c r="G473" t="s">
        <v>38</v>
      </c>
      <c r="H473" t="s">
        <v>39</v>
      </c>
      <c r="I473" t="s">
        <v>997</v>
      </c>
      <c r="J473">
        <v>10</v>
      </c>
      <c r="K473" s="2">
        <v>1165.8499999999999</v>
      </c>
      <c r="L473">
        <v>15</v>
      </c>
      <c r="M473" s="2">
        <v>9909.73</v>
      </c>
      <c r="N473" s="2">
        <v>5520.28</v>
      </c>
      <c r="O473" s="2">
        <v>4389.45</v>
      </c>
      <c r="P473" t="s">
        <v>48</v>
      </c>
      <c r="Q473" t="s">
        <v>61</v>
      </c>
    </row>
    <row r="474" spans="1:17" x14ac:dyDescent="0.3">
      <c r="A474" t="s">
        <v>998</v>
      </c>
      <c r="B474" s="1">
        <v>46057</v>
      </c>
      <c r="C474" t="s">
        <v>35</v>
      </c>
      <c r="D474" t="s">
        <v>36</v>
      </c>
      <c r="E474" t="s">
        <v>44</v>
      </c>
      <c r="F474" t="s">
        <v>23</v>
      </c>
      <c r="G474" t="s">
        <v>38</v>
      </c>
      <c r="H474" t="s">
        <v>72</v>
      </c>
      <c r="I474" t="s">
        <v>999</v>
      </c>
      <c r="J474">
        <v>13</v>
      </c>
      <c r="K474" s="2">
        <v>1319.97</v>
      </c>
      <c r="L474">
        <v>5</v>
      </c>
      <c r="M474" s="2">
        <v>16301.63</v>
      </c>
      <c r="N474" s="2">
        <v>9418.36</v>
      </c>
      <c r="O474" s="2">
        <v>6883.27</v>
      </c>
      <c r="P474" t="s">
        <v>41</v>
      </c>
      <c r="Q474" t="s">
        <v>42</v>
      </c>
    </row>
    <row r="475" spans="1:17" x14ac:dyDescent="0.3">
      <c r="A475" t="s">
        <v>1000</v>
      </c>
      <c r="B475" s="1">
        <v>46095</v>
      </c>
      <c r="C475" t="s">
        <v>35</v>
      </c>
      <c r="D475" t="s">
        <v>36</v>
      </c>
      <c r="E475" t="s">
        <v>51</v>
      </c>
      <c r="F475" t="s">
        <v>37</v>
      </c>
      <c r="G475" t="s">
        <v>38</v>
      </c>
      <c r="H475" t="s">
        <v>63</v>
      </c>
      <c r="I475" t="s">
        <v>1001</v>
      </c>
      <c r="J475">
        <v>11</v>
      </c>
      <c r="K475" s="2">
        <v>2587.27</v>
      </c>
      <c r="L475">
        <v>0</v>
      </c>
      <c r="M475" s="2">
        <v>28459.97</v>
      </c>
      <c r="N475" s="2">
        <v>18515.57</v>
      </c>
      <c r="O475" s="2">
        <v>9944.4</v>
      </c>
      <c r="P475" t="s">
        <v>27</v>
      </c>
      <c r="Q475" t="s">
        <v>28</v>
      </c>
    </row>
    <row r="476" spans="1:17" x14ac:dyDescent="0.3">
      <c r="A476" t="s">
        <v>1002</v>
      </c>
      <c r="B476" s="1">
        <v>45683</v>
      </c>
      <c r="C476" t="s">
        <v>70</v>
      </c>
      <c r="D476" t="s">
        <v>75</v>
      </c>
      <c r="E476" t="s">
        <v>44</v>
      </c>
      <c r="F476" t="s">
        <v>23</v>
      </c>
      <c r="G476" t="s">
        <v>45</v>
      </c>
      <c r="H476" t="s">
        <v>159</v>
      </c>
      <c r="I476" t="s">
        <v>1003</v>
      </c>
      <c r="J476">
        <v>11</v>
      </c>
      <c r="K476" s="2">
        <v>3339.74</v>
      </c>
      <c r="L476">
        <v>20</v>
      </c>
      <c r="M476" s="2">
        <v>29389.71</v>
      </c>
      <c r="N476" s="2">
        <v>22680.95</v>
      </c>
      <c r="O476" s="2">
        <v>6708.76</v>
      </c>
      <c r="P476" t="s">
        <v>27</v>
      </c>
      <c r="Q476" t="s">
        <v>61</v>
      </c>
    </row>
    <row r="477" spans="1:17" x14ac:dyDescent="0.3">
      <c r="A477" t="s">
        <v>1004</v>
      </c>
      <c r="B477" s="1">
        <v>46188</v>
      </c>
      <c r="C477" t="s">
        <v>35</v>
      </c>
      <c r="D477" t="s">
        <v>36</v>
      </c>
      <c r="E477" t="s">
        <v>30</v>
      </c>
      <c r="F477" t="s">
        <v>37</v>
      </c>
      <c r="G477" t="s">
        <v>38</v>
      </c>
      <c r="H477" t="s">
        <v>63</v>
      </c>
      <c r="I477" t="s">
        <v>1005</v>
      </c>
      <c r="J477">
        <v>13</v>
      </c>
      <c r="K477" s="2">
        <v>2272.52</v>
      </c>
      <c r="L477">
        <v>10</v>
      </c>
      <c r="M477" s="2">
        <v>26588.48</v>
      </c>
      <c r="N477" s="2">
        <v>17363</v>
      </c>
      <c r="O477" s="2">
        <v>9225.48</v>
      </c>
      <c r="P477" t="s">
        <v>27</v>
      </c>
      <c r="Q477" t="s">
        <v>61</v>
      </c>
    </row>
    <row r="478" spans="1:17" x14ac:dyDescent="0.3">
      <c r="A478" t="s">
        <v>1006</v>
      </c>
      <c r="B478" s="1">
        <v>45695</v>
      </c>
      <c r="C478" t="s">
        <v>86</v>
      </c>
      <c r="D478" t="s">
        <v>87</v>
      </c>
      <c r="E478" t="s">
        <v>44</v>
      </c>
      <c r="F478" t="s">
        <v>37</v>
      </c>
      <c r="G478" t="s">
        <v>24</v>
      </c>
      <c r="H478" t="s">
        <v>32</v>
      </c>
      <c r="I478" t="s">
        <v>1007</v>
      </c>
      <c r="J478">
        <v>2</v>
      </c>
      <c r="K478" s="2">
        <v>517.76</v>
      </c>
      <c r="L478">
        <v>0</v>
      </c>
      <c r="M478" s="2">
        <v>1035.52</v>
      </c>
      <c r="N478" s="2">
        <v>682.88</v>
      </c>
      <c r="O478" s="2">
        <v>352.64</v>
      </c>
      <c r="P478" t="s">
        <v>41</v>
      </c>
      <c r="Q478" t="s">
        <v>42</v>
      </c>
    </row>
    <row r="479" spans="1:17" x14ac:dyDescent="0.3">
      <c r="A479" t="s">
        <v>1008</v>
      </c>
      <c r="B479" s="1">
        <v>45945</v>
      </c>
      <c r="C479" t="s">
        <v>20</v>
      </c>
      <c r="D479" t="s">
        <v>55</v>
      </c>
      <c r="E479" t="s">
        <v>51</v>
      </c>
      <c r="F479" t="s">
        <v>37</v>
      </c>
      <c r="G479" t="s">
        <v>38</v>
      </c>
      <c r="H479" t="s">
        <v>72</v>
      </c>
      <c r="I479" t="s">
        <v>1009</v>
      </c>
      <c r="J479">
        <v>2</v>
      </c>
      <c r="K479" s="2">
        <v>2011.08</v>
      </c>
      <c r="L479">
        <v>5</v>
      </c>
      <c r="M479" s="2">
        <v>3821.05</v>
      </c>
      <c r="N479" s="2">
        <v>2197.39</v>
      </c>
      <c r="O479" s="2">
        <v>1623.66</v>
      </c>
      <c r="P479" t="s">
        <v>27</v>
      </c>
      <c r="Q479" t="s">
        <v>49</v>
      </c>
    </row>
    <row r="480" spans="1:17" x14ac:dyDescent="0.3">
      <c r="A480" t="s">
        <v>1010</v>
      </c>
      <c r="B480" s="1">
        <v>45695</v>
      </c>
      <c r="C480" t="s">
        <v>86</v>
      </c>
      <c r="D480" t="s">
        <v>87</v>
      </c>
      <c r="E480" t="s">
        <v>66</v>
      </c>
      <c r="F480" t="s">
        <v>31</v>
      </c>
      <c r="G480" t="s">
        <v>24</v>
      </c>
      <c r="H480" t="s">
        <v>25</v>
      </c>
      <c r="I480" t="s">
        <v>1011</v>
      </c>
      <c r="J480">
        <v>7</v>
      </c>
      <c r="K480" s="2">
        <v>2812</v>
      </c>
      <c r="L480">
        <v>0</v>
      </c>
      <c r="M480" s="2">
        <v>19684</v>
      </c>
      <c r="N480" s="2">
        <v>11938.74</v>
      </c>
      <c r="O480" s="2">
        <v>7745.26</v>
      </c>
      <c r="P480" t="s">
        <v>41</v>
      </c>
      <c r="Q480" t="s">
        <v>49</v>
      </c>
    </row>
    <row r="481" spans="1:17" x14ac:dyDescent="0.3">
      <c r="A481" t="s">
        <v>1012</v>
      </c>
      <c r="B481" s="1">
        <v>46015</v>
      </c>
      <c r="C481" t="s">
        <v>70</v>
      </c>
      <c r="D481" t="s">
        <v>71</v>
      </c>
      <c r="E481" t="s">
        <v>44</v>
      </c>
      <c r="F481" t="s">
        <v>23</v>
      </c>
      <c r="G481" t="s">
        <v>45</v>
      </c>
      <c r="H481" t="s">
        <v>159</v>
      </c>
      <c r="I481" t="s">
        <v>1013</v>
      </c>
      <c r="J481">
        <v>1</v>
      </c>
      <c r="K481" s="2">
        <v>2266.38</v>
      </c>
      <c r="L481">
        <v>5</v>
      </c>
      <c r="M481" s="2">
        <v>2153.06</v>
      </c>
      <c r="N481" s="2">
        <v>1678.05</v>
      </c>
      <c r="O481" s="2">
        <v>475.01</v>
      </c>
      <c r="P481" t="s">
        <v>27</v>
      </c>
      <c r="Q481" t="s">
        <v>42</v>
      </c>
    </row>
    <row r="482" spans="1:17" x14ac:dyDescent="0.3">
      <c r="A482" t="s">
        <v>1014</v>
      </c>
      <c r="B482" s="1">
        <v>46068</v>
      </c>
      <c r="C482" t="s">
        <v>20</v>
      </c>
      <c r="D482" t="s">
        <v>21</v>
      </c>
      <c r="E482" t="s">
        <v>120</v>
      </c>
      <c r="F482" t="s">
        <v>31</v>
      </c>
      <c r="G482" t="s">
        <v>38</v>
      </c>
      <c r="H482" t="s">
        <v>106</v>
      </c>
      <c r="I482" t="s">
        <v>1015</v>
      </c>
      <c r="J482">
        <v>4</v>
      </c>
      <c r="K482" s="2">
        <v>4941.53</v>
      </c>
      <c r="L482">
        <v>15</v>
      </c>
      <c r="M482" s="2">
        <v>16801.2</v>
      </c>
      <c r="N482" s="2">
        <v>10085.9</v>
      </c>
      <c r="O482" s="2">
        <v>6715.3</v>
      </c>
      <c r="P482" t="s">
        <v>41</v>
      </c>
      <c r="Q482" t="s">
        <v>61</v>
      </c>
    </row>
    <row r="483" spans="1:17" x14ac:dyDescent="0.3">
      <c r="A483" t="s">
        <v>1016</v>
      </c>
      <c r="B483" s="1">
        <v>46030</v>
      </c>
      <c r="C483" t="s">
        <v>20</v>
      </c>
      <c r="D483" t="s">
        <v>55</v>
      </c>
      <c r="E483" t="s">
        <v>113</v>
      </c>
      <c r="F483" t="s">
        <v>23</v>
      </c>
      <c r="G483" t="s">
        <v>45</v>
      </c>
      <c r="H483" t="s">
        <v>159</v>
      </c>
      <c r="I483" t="s">
        <v>1017</v>
      </c>
      <c r="J483">
        <v>4</v>
      </c>
      <c r="K483" s="2">
        <v>1637.24</v>
      </c>
      <c r="L483">
        <v>20</v>
      </c>
      <c r="M483" s="2">
        <v>5239.17</v>
      </c>
      <c r="N483" s="2">
        <v>3018.64</v>
      </c>
      <c r="O483" s="2">
        <v>2220.5300000000002</v>
      </c>
      <c r="P483" t="s">
        <v>27</v>
      </c>
      <c r="Q483" t="s">
        <v>49</v>
      </c>
    </row>
    <row r="484" spans="1:17" x14ac:dyDescent="0.3">
      <c r="A484" t="s">
        <v>1018</v>
      </c>
      <c r="B484" s="1">
        <v>46024</v>
      </c>
      <c r="C484" t="s">
        <v>35</v>
      </c>
      <c r="D484" t="s">
        <v>59</v>
      </c>
      <c r="E484" t="s">
        <v>120</v>
      </c>
      <c r="F484" t="s">
        <v>23</v>
      </c>
      <c r="G484" t="s">
        <v>24</v>
      </c>
      <c r="H484" t="s">
        <v>32</v>
      </c>
      <c r="I484" t="s">
        <v>1019</v>
      </c>
      <c r="J484">
        <v>8</v>
      </c>
      <c r="K484" s="2">
        <v>1875.46</v>
      </c>
      <c r="L484">
        <v>20</v>
      </c>
      <c r="M484" s="2">
        <v>12002.94</v>
      </c>
      <c r="N484" s="2">
        <v>7351.02</v>
      </c>
      <c r="O484" s="2">
        <v>4651.92</v>
      </c>
      <c r="P484" t="s">
        <v>48</v>
      </c>
      <c r="Q484" t="s">
        <v>42</v>
      </c>
    </row>
    <row r="485" spans="1:17" x14ac:dyDescent="0.3">
      <c r="A485" t="s">
        <v>1020</v>
      </c>
      <c r="B485" s="1">
        <v>46058</v>
      </c>
      <c r="C485" t="s">
        <v>20</v>
      </c>
      <c r="D485" t="s">
        <v>55</v>
      </c>
      <c r="E485" t="s">
        <v>22</v>
      </c>
      <c r="F485" t="s">
        <v>37</v>
      </c>
      <c r="G485" t="s">
        <v>24</v>
      </c>
      <c r="H485" t="s">
        <v>32</v>
      </c>
      <c r="I485" t="s">
        <v>969</v>
      </c>
      <c r="J485">
        <v>12</v>
      </c>
      <c r="K485" s="2">
        <v>4900.76</v>
      </c>
      <c r="L485">
        <v>20</v>
      </c>
      <c r="M485" s="2">
        <v>47047.3</v>
      </c>
      <c r="N485" s="2">
        <v>37638.11</v>
      </c>
      <c r="O485" s="2">
        <v>9409.19</v>
      </c>
      <c r="P485" t="s">
        <v>41</v>
      </c>
      <c r="Q485" t="s">
        <v>42</v>
      </c>
    </row>
    <row r="486" spans="1:17" x14ac:dyDescent="0.3">
      <c r="A486" t="s">
        <v>1021</v>
      </c>
      <c r="B486" s="1">
        <v>45719</v>
      </c>
      <c r="C486" t="s">
        <v>86</v>
      </c>
      <c r="D486" t="s">
        <v>87</v>
      </c>
      <c r="E486" t="s">
        <v>51</v>
      </c>
      <c r="F486" t="s">
        <v>37</v>
      </c>
      <c r="G486" t="s">
        <v>24</v>
      </c>
      <c r="H486" t="s">
        <v>25</v>
      </c>
      <c r="I486" t="s">
        <v>1022</v>
      </c>
      <c r="J486">
        <v>1</v>
      </c>
      <c r="K486" s="2">
        <v>330.52</v>
      </c>
      <c r="L486">
        <v>0</v>
      </c>
      <c r="M486" s="2">
        <v>330.52</v>
      </c>
      <c r="N486" s="2">
        <v>254.74</v>
      </c>
      <c r="O486" s="2">
        <v>75.78</v>
      </c>
      <c r="P486" t="s">
        <v>48</v>
      </c>
      <c r="Q486" t="s">
        <v>49</v>
      </c>
    </row>
    <row r="487" spans="1:17" x14ac:dyDescent="0.3">
      <c r="A487" t="s">
        <v>1023</v>
      </c>
      <c r="B487" s="1">
        <v>46129</v>
      </c>
      <c r="C487" t="s">
        <v>70</v>
      </c>
      <c r="D487" t="s">
        <v>75</v>
      </c>
      <c r="E487" t="s">
        <v>51</v>
      </c>
      <c r="F487" t="s">
        <v>37</v>
      </c>
      <c r="G487" t="s">
        <v>24</v>
      </c>
      <c r="H487" t="s">
        <v>32</v>
      </c>
      <c r="I487" t="s">
        <v>1024</v>
      </c>
      <c r="J487">
        <v>12</v>
      </c>
      <c r="K487" s="2">
        <v>4048.84</v>
      </c>
      <c r="L487">
        <v>5</v>
      </c>
      <c r="M487" s="2">
        <v>46156.78</v>
      </c>
      <c r="N487" s="2">
        <v>32111.48</v>
      </c>
      <c r="O487" s="2">
        <v>14045.3</v>
      </c>
      <c r="P487" t="s">
        <v>27</v>
      </c>
      <c r="Q487" t="s">
        <v>28</v>
      </c>
    </row>
    <row r="488" spans="1:17" x14ac:dyDescent="0.3">
      <c r="A488" t="s">
        <v>1025</v>
      </c>
      <c r="B488" s="1">
        <v>45760</v>
      </c>
      <c r="C488" t="s">
        <v>86</v>
      </c>
      <c r="D488" t="s">
        <v>87</v>
      </c>
      <c r="E488" t="s">
        <v>66</v>
      </c>
      <c r="F488" t="s">
        <v>31</v>
      </c>
      <c r="G488" t="s">
        <v>24</v>
      </c>
      <c r="H488" t="s">
        <v>32</v>
      </c>
      <c r="I488" t="s">
        <v>1026</v>
      </c>
      <c r="J488">
        <v>8</v>
      </c>
      <c r="K488" s="2">
        <v>2976.71</v>
      </c>
      <c r="L488">
        <v>20</v>
      </c>
      <c r="M488" s="2">
        <v>19050.939999999999</v>
      </c>
      <c r="N488" s="2">
        <v>14893.71</v>
      </c>
      <c r="O488" s="2">
        <v>4157.2299999999996</v>
      </c>
      <c r="P488" t="s">
        <v>48</v>
      </c>
      <c r="Q488" t="s">
        <v>28</v>
      </c>
    </row>
    <row r="489" spans="1:17" x14ac:dyDescent="0.3">
      <c r="A489" t="s">
        <v>1027</v>
      </c>
      <c r="B489" s="1">
        <v>46029</v>
      </c>
      <c r="C489" t="s">
        <v>35</v>
      </c>
      <c r="D489" t="s">
        <v>59</v>
      </c>
      <c r="E489" t="s">
        <v>51</v>
      </c>
      <c r="F489" t="s">
        <v>23</v>
      </c>
      <c r="G489" t="s">
        <v>24</v>
      </c>
      <c r="H489" t="s">
        <v>171</v>
      </c>
      <c r="I489" t="s">
        <v>1028</v>
      </c>
      <c r="J489">
        <v>10</v>
      </c>
      <c r="K489" s="2">
        <v>4855.1000000000004</v>
      </c>
      <c r="L489">
        <v>20</v>
      </c>
      <c r="M489" s="2">
        <v>38840.800000000003</v>
      </c>
      <c r="N489" s="2">
        <v>30376.36</v>
      </c>
      <c r="O489" s="2">
        <v>8464.44</v>
      </c>
      <c r="P489" t="s">
        <v>27</v>
      </c>
      <c r="Q489" t="s">
        <v>28</v>
      </c>
    </row>
    <row r="490" spans="1:17" x14ac:dyDescent="0.3">
      <c r="A490" t="s">
        <v>1029</v>
      </c>
      <c r="B490" s="1">
        <v>46125</v>
      </c>
      <c r="C490" t="s">
        <v>70</v>
      </c>
      <c r="D490" t="s">
        <v>75</v>
      </c>
      <c r="E490" t="s">
        <v>66</v>
      </c>
      <c r="F490" t="s">
        <v>23</v>
      </c>
      <c r="G490" t="s">
        <v>45</v>
      </c>
      <c r="H490" t="s">
        <v>123</v>
      </c>
      <c r="I490" t="s">
        <v>1030</v>
      </c>
      <c r="J490">
        <v>1</v>
      </c>
      <c r="K490" s="2">
        <v>4366.71</v>
      </c>
      <c r="L490">
        <v>0</v>
      </c>
      <c r="M490" s="2">
        <v>4366.71</v>
      </c>
      <c r="N490" s="2">
        <v>2638.36</v>
      </c>
      <c r="O490" s="2">
        <v>1728.35</v>
      </c>
      <c r="P490" t="s">
        <v>41</v>
      </c>
      <c r="Q490" t="s">
        <v>49</v>
      </c>
    </row>
    <row r="491" spans="1:17" x14ac:dyDescent="0.3">
      <c r="A491" t="s">
        <v>1031</v>
      </c>
      <c r="B491" s="1">
        <v>46016</v>
      </c>
      <c r="C491" t="s">
        <v>20</v>
      </c>
      <c r="D491" t="s">
        <v>21</v>
      </c>
      <c r="E491" t="s">
        <v>30</v>
      </c>
      <c r="F491" t="s">
        <v>31</v>
      </c>
      <c r="G491" t="s">
        <v>45</v>
      </c>
      <c r="H491" t="s">
        <v>123</v>
      </c>
      <c r="I491" t="s">
        <v>1032</v>
      </c>
      <c r="J491">
        <v>11</v>
      </c>
      <c r="K491" s="2">
        <v>2596.33</v>
      </c>
      <c r="L491">
        <v>15</v>
      </c>
      <c r="M491" s="2">
        <v>24275.69</v>
      </c>
      <c r="N491" s="2">
        <v>19410.099999999999</v>
      </c>
      <c r="O491" s="2">
        <v>4865.59</v>
      </c>
      <c r="P491" t="s">
        <v>27</v>
      </c>
      <c r="Q491" t="s">
        <v>28</v>
      </c>
    </row>
    <row r="492" spans="1:17" x14ac:dyDescent="0.3">
      <c r="A492" t="s">
        <v>1033</v>
      </c>
      <c r="B492" s="1">
        <v>45796</v>
      </c>
      <c r="C492" t="s">
        <v>70</v>
      </c>
      <c r="D492" t="s">
        <v>75</v>
      </c>
      <c r="E492" t="s">
        <v>113</v>
      </c>
      <c r="F492" t="s">
        <v>31</v>
      </c>
      <c r="G492" t="s">
        <v>38</v>
      </c>
      <c r="H492" t="s">
        <v>39</v>
      </c>
      <c r="I492" t="s">
        <v>1034</v>
      </c>
      <c r="J492">
        <v>11</v>
      </c>
      <c r="K492" s="2">
        <v>3115.47</v>
      </c>
      <c r="L492">
        <v>0</v>
      </c>
      <c r="M492" s="2">
        <v>34270.17</v>
      </c>
      <c r="N492" s="2">
        <v>25273.06</v>
      </c>
      <c r="O492" s="2">
        <v>8997.11</v>
      </c>
      <c r="P492" t="s">
        <v>48</v>
      </c>
      <c r="Q492" t="s">
        <v>49</v>
      </c>
    </row>
    <row r="493" spans="1:17" x14ac:dyDescent="0.3">
      <c r="A493" t="s">
        <v>1035</v>
      </c>
      <c r="B493" s="1">
        <v>45883</v>
      </c>
      <c r="C493" t="s">
        <v>70</v>
      </c>
      <c r="D493" t="s">
        <v>71</v>
      </c>
      <c r="E493" t="s">
        <v>113</v>
      </c>
      <c r="F493" t="s">
        <v>31</v>
      </c>
      <c r="G493" t="s">
        <v>38</v>
      </c>
      <c r="H493" t="s">
        <v>106</v>
      </c>
      <c r="I493" t="s">
        <v>1036</v>
      </c>
      <c r="J493">
        <v>11</v>
      </c>
      <c r="K493" s="2">
        <v>332.21</v>
      </c>
      <c r="L493">
        <v>5</v>
      </c>
      <c r="M493" s="2">
        <v>3471.59</v>
      </c>
      <c r="N493" s="2">
        <v>2178.27</v>
      </c>
      <c r="O493" s="2">
        <v>1293.32</v>
      </c>
      <c r="P493" t="s">
        <v>48</v>
      </c>
      <c r="Q493" t="s">
        <v>28</v>
      </c>
    </row>
    <row r="494" spans="1:17" x14ac:dyDescent="0.3">
      <c r="A494" t="s">
        <v>1037</v>
      </c>
      <c r="B494" s="1">
        <v>46060</v>
      </c>
      <c r="C494" t="s">
        <v>35</v>
      </c>
      <c r="D494" t="s">
        <v>36</v>
      </c>
      <c r="E494" t="s">
        <v>44</v>
      </c>
      <c r="F494" t="s">
        <v>37</v>
      </c>
      <c r="G494" t="s">
        <v>45</v>
      </c>
      <c r="H494" t="s">
        <v>67</v>
      </c>
      <c r="I494" t="s">
        <v>1038</v>
      </c>
      <c r="J494">
        <v>1</v>
      </c>
      <c r="K494" s="2">
        <v>3348.96</v>
      </c>
      <c r="L494">
        <v>15</v>
      </c>
      <c r="M494" s="2">
        <v>2846.62</v>
      </c>
      <c r="N494" s="2">
        <v>2002.44</v>
      </c>
      <c r="O494" s="2">
        <v>844.18</v>
      </c>
      <c r="P494" t="s">
        <v>48</v>
      </c>
      <c r="Q494" t="s">
        <v>49</v>
      </c>
    </row>
    <row r="495" spans="1:17" x14ac:dyDescent="0.3">
      <c r="A495" t="s">
        <v>1039</v>
      </c>
      <c r="B495" s="1">
        <v>46065</v>
      </c>
      <c r="C495" t="s">
        <v>86</v>
      </c>
      <c r="D495" t="s">
        <v>87</v>
      </c>
      <c r="E495" t="s">
        <v>51</v>
      </c>
      <c r="F495" t="s">
        <v>31</v>
      </c>
      <c r="G495" t="s">
        <v>38</v>
      </c>
      <c r="H495" t="s">
        <v>106</v>
      </c>
      <c r="I495" t="s">
        <v>1040</v>
      </c>
      <c r="J495">
        <v>6</v>
      </c>
      <c r="K495" s="2">
        <v>329.3</v>
      </c>
      <c r="L495">
        <v>10</v>
      </c>
      <c r="M495" s="2">
        <v>1778.22</v>
      </c>
      <c r="N495" s="2">
        <v>1239.04</v>
      </c>
      <c r="O495" s="2">
        <v>539.17999999999995</v>
      </c>
      <c r="P495" t="s">
        <v>41</v>
      </c>
      <c r="Q495" t="s">
        <v>61</v>
      </c>
    </row>
    <row r="496" spans="1:17" x14ac:dyDescent="0.3">
      <c r="A496" t="s">
        <v>1041</v>
      </c>
      <c r="B496" s="1">
        <v>45771</v>
      </c>
      <c r="C496" t="s">
        <v>86</v>
      </c>
      <c r="D496" t="s">
        <v>90</v>
      </c>
      <c r="E496" t="s">
        <v>120</v>
      </c>
      <c r="F496" t="s">
        <v>31</v>
      </c>
      <c r="G496" t="s">
        <v>45</v>
      </c>
      <c r="H496" t="s">
        <v>52</v>
      </c>
      <c r="I496" t="s">
        <v>1042</v>
      </c>
      <c r="J496">
        <v>14</v>
      </c>
      <c r="K496" s="2">
        <v>3968.35</v>
      </c>
      <c r="L496">
        <v>10</v>
      </c>
      <c r="M496" s="2">
        <v>50001.21</v>
      </c>
      <c r="N496" s="2">
        <v>37636.99</v>
      </c>
      <c r="O496" s="2">
        <v>12364.22</v>
      </c>
      <c r="P496" t="s">
        <v>27</v>
      </c>
      <c r="Q496" t="s">
        <v>28</v>
      </c>
    </row>
    <row r="497" spans="1:17" x14ac:dyDescent="0.3">
      <c r="A497" t="s">
        <v>1043</v>
      </c>
      <c r="B497" s="1">
        <v>45909</v>
      </c>
      <c r="C497" t="s">
        <v>35</v>
      </c>
      <c r="D497" t="s">
        <v>59</v>
      </c>
      <c r="E497" t="s">
        <v>44</v>
      </c>
      <c r="F497" t="s">
        <v>23</v>
      </c>
      <c r="G497" t="s">
        <v>38</v>
      </c>
      <c r="H497" t="s">
        <v>63</v>
      </c>
      <c r="I497" t="s">
        <v>1044</v>
      </c>
      <c r="J497">
        <v>2</v>
      </c>
      <c r="K497" s="2">
        <v>4675.66</v>
      </c>
      <c r="L497">
        <v>20</v>
      </c>
      <c r="M497" s="2">
        <v>7481.06</v>
      </c>
      <c r="N497" s="2">
        <v>5665.66</v>
      </c>
      <c r="O497" s="2">
        <v>1815.4</v>
      </c>
      <c r="P497" t="s">
        <v>27</v>
      </c>
      <c r="Q497" t="s">
        <v>42</v>
      </c>
    </row>
    <row r="498" spans="1:17" x14ac:dyDescent="0.3">
      <c r="A498" t="s">
        <v>1045</v>
      </c>
      <c r="B498" s="1">
        <v>46004</v>
      </c>
      <c r="C498" t="s">
        <v>86</v>
      </c>
      <c r="D498" t="s">
        <v>87</v>
      </c>
      <c r="E498" t="s">
        <v>51</v>
      </c>
      <c r="F498" t="s">
        <v>31</v>
      </c>
      <c r="G498" t="s">
        <v>24</v>
      </c>
      <c r="H498" t="s">
        <v>32</v>
      </c>
      <c r="I498" t="s">
        <v>1046</v>
      </c>
      <c r="J498">
        <v>13</v>
      </c>
      <c r="K498" s="2">
        <v>1472.84</v>
      </c>
      <c r="L498">
        <v>15</v>
      </c>
      <c r="M498" s="2">
        <v>16274.88</v>
      </c>
      <c r="N498" s="2">
        <v>10383.68</v>
      </c>
      <c r="O498" s="2">
        <v>5891.2</v>
      </c>
      <c r="P498" t="s">
        <v>41</v>
      </c>
      <c r="Q498" t="s">
        <v>49</v>
      </c>
    </row>
    <row r="499" spans="1:17" x14ac:dyDescent="0.3">
      <c r="A499" t="s">
        <v>1047</v>
      </c>
      <c r="B499" s="1">
        <v>45697</v>
      </c>
      <c r="C499" t="s">
        <v>35</v>
      </c>
      <c r="D499" t="s">
        <v>36</v>
      </c>
      <c r="E499" t="s">
        <v>51</v>
      </c>
      <c r="F499" t="s">
        <v>23</v>
      </c>
      <c r="G499" t="s">
        <v>45</v>
      </c>
      <c r="H499" t="s">
        <v>52</v>
      </c>
      <c r="I499" t="s">
        <v>1048</v>
      </c>
      <c r="J499">
        <v>15</v>
      </c>
      <c r="K499" s="2">
        <v>726.59</v>
      </c>
      <c r="L499">
        <v>20</v>
      </c>
      <c r="M499" s="2">
        <v>8719.08</v>
      </c>
      <c r="N499" s="2">
        <v>6190.14</v>
      </c>
      <c r="O499" s="2">
        <v>2528.94</v>
      </c>
      <c r="P499" t="s">
        <v>27</v>
      </c>
      <c r="Q499" t="s">
        <v>28</v>
      </c>
    </row>
    <row r="500" spans="1:17" x14ac:dyDescent="0.3">
      <c r="A500" t="s">
        <v>1049</v>
      </c>
      <c r="B500" s="1">
        <v>46079</v>
      </c>
      <c r="C500" t="s">
        <v>35</v>
      </c>
      <c r="D500" t="s">
        <v>36</v>
      </c>
      <c r="E500" t="s">
        <v>170</v>
      </c>
      <c r="F500" t="s">
        <v>23</v>
      </c>
      <c r="G500" t="s">
        <v>24</v>
      </c>
      <c r="H500" t="s">
        <v>25</v>
      </c>
      <c r="I500" t="s">
        <v>1050</v>
      </c>
      <c r="J500">
        <v>3</v>
      </c>
      <c r="K500" s="2">
        <v>3391.59</v>
      </c>
      <c r="L500">
        <v>15</v>
      </c>
      <c r="M500" s="2">
        <v>8648.5499999999993</v>
      </c>
      <c r="N500" s="2">
        <v>6797.13</v>
      </c>
      <c r="O500" s="2">
        <v>1851.42</v>
      </c>
      <c r="P500" t="s">
        <v>48</v>
      </c>
      <c r="Q500" t="s">
        <v>42</v>
      </c>
    </row>
    <row r="501" spans="1:17" x14ac:dyDescent="0.3">
      <c r="A501" t="s">
        <v>1051</v>
      </c>
      <c r="B501" s="1">
        <v>45719</v>
      </c>
      <c r="C501" t="s">
        <v>20</v>
      </c>
      <c r="D501" t="s">
        <v>21</v>
      </c>
      <c r="E501" t="s">
        <v>51</v>
      </c>
      <c r="F501" t="s">
        <v>23</v>
      </c>
      <c r="G501" t="s">
        <v>45</v>
      </c>
      <c r="H501" t="s">
        <v>159</v>
      </c>
      <c r="I501" t="s">
        <v>1052</v>
      </c>
      <c r="J501">
        <v>1</v>
      </c>
      <c r="K501" s="2">
        <v>4377.57</v>
      </c>
      <c r="L501">
        <v>0</v>
      </c>
      <c r="M501" s="2">
        <v>4377.57</v>
      </c>
      <c r="N501" s="2">
        <v>3196.03</v>
      </c>
      <c r="O501" s="2">
        <v>1181.54</v>
      </c>
      <c r="P501" t="s">
        <v>27</v>
      </c>
      <c r="Q501" t="s">
        <v>49</v>
      </c>
    </row>
    <row r="502" spans="1:17" x14ac:dyDescent="0.3">
      <c r="A502" t="s">
        <v>1053</v>
      </c>
      <c r="B502" s="1">
        <v>46105</v>
      </c>
      <c r="C502" t="s">
        <v>70</v>
      </c>
      <c r="D502" t="s">
        <v>75</v>
      </c>
      <c r="E502" t="s">
        <v>113</v>
      </c>
      <c r="F502" t="s">
        <v>37</v>
      </c>
      <c r="G502" t="s">
        <v>38</v>
      </c>
      <c r="H502" t="s">
        <v>72</v>
      </c>
      <c r="I502" t="s">
        <v>1054</v>
      </c>
      <c r="J502">
        <v>13</v>
      </c>
      <c r="K502" s="2">
        <v>2459.94</v>
      </c>
      <c r="L502">
        <v>0</v>
      </c>
      <c r="M502" s="2">
        <v>31979.22</v>
      </c>
      <c r="N502" s="2">
        <v>20948.060000000001</v>
      </c>
      <c r="O502" s="2">
        <v>11031.16</v>
      </c>
      <c r="P502" t="s">
        <v>41</v>
      </c>
      <c r="Q502" t="s">
        <v>28</v>
      </c>
    </row>
    <row r="503" spans="1:17" x14ac:dyDescent="0.3">
      <c r="A503" t="s">
        <v>1055</v>
      </c>
      <c r="B503" s="1">
        <v>45662</v>
      </c>
      <c r="C503" t="s">
        <v>20</v>
      </c>
      <c r="D503" t="s">
        <v>21</v>
      </c>
      <c r="E503" t="s">
        <v>44</v>
      </c>
      <c r="F503" t="s">
        <v>23</v>
      </c>
      <c r="G503" t="s">
        <v>24</v>
      </c>
      <c r="H503" t="s">
        <v>56</v>
      </c>
      <c r="I503" t="s">
        <v>1056</v>
      </c>
      <c r="J503">
        <v>9</v>
      </c>
      <c r="K503" s="2">
        <v>4191.16</v>
      </c>
      <c r="L503">
        <v>0</v>
      </c>
      <c r="M503" s="2">
        <v>37720.44</v>
      </c>
      <c r="N503" s="2">
        <v>27300.12</v>
      </c>
      <c r="O503" s="2">
        <v>10420.32</v>
      </c>
      <c r="P503" t="s">
        <v>41</v>
      </c>
      <c r="Q503" t="s">
        <v>49</v>
      </c>
    </row>
    <row r="504" spans="1:17" x14ac:dyDescent="0.3">
      <c r="A504" t="s">
        <v>1057</v>
      </c>
      <c r="B504" s="1">
        <v>45769</v>
      </c>
      <c r="C504" t="s">
        <v>35</v>
      </c>
      <c r="D504" t="s">
        <v>36</v>
      </c>
      <c r="E504" t="s">
        <v>120</v>
      </c>
      <c r="F504" t="s">
        <v>37</v>
      </c>
      <c r="G504" t="s">
        <v>38</v>
      </c>
      <c r="H504" t="s">
        <v>106</v>
      </c>
      <c r="I504" t="s">
        <v>1058</v>
      </c>
      <c r="J504">
        <v>7</v>
      </c>
      <c r="K504" s="2">
        <v>4390.59</v>
      </c>
      <c r="L504">
        <v>5</v>
      </c>
      <c r="M504" s="2">
        <v>29197.42</v>
      </c>
      <c r="N504" s="2">
        <v>19896.82</v>
      </c>
      <c r="O504" s="2">
        <v>9300.6</v>
      </c>
      <c r="P504" t="s">
        <v>48</v>
      </c>
      <c r="Q504" t="s">
        <v>28</v>
      </c>
    </row>
    <row r="505" spans="1:17" x14ac:dyDescent="0.3">
      <c r="A505" t="s">
        <v>1059</v>
      </c>
      <c r="B505" s="1">
        <v>46073</v>
      </c>
      <c r="C505" t="s">
        <v>20</v>
      </c>
      <c r="D505" t="s">
        <v>55</v>
      </c>
      <c r="E505" t="s">
        <v>170</v>
      </c>
      <c r="F505" t="s">
        <v>23</v>
      </c>
      <c r="G505" t="s">
        <v>45</v>
      </c>
      <c r="H505" t="s">
        <v>52</v>
      </c>
      <c r="I505" t="s">
        <v>1060</v>
      </c>
      <c r="J505">
        <v>7</v>
      </c>
      <c r="K505" s="2">
        <v>2977.62</v>
      </c>
      <c r="L505">
        <v>15</v>
      </c>
      <c r="M505" s="2">
        <v>17716.84</v>
      </c>
      <c r="N505" s="2">
        <v>13466.86</v>
      </c>
      <c r="O505" s="2">
        <v>4249.9799999999996</v>
      </c>
      <c r="P505" t="s">
        <v>41</v>
      </c>
      <c r="Q505" t="s">
        <v>49</v>
      </c>
    </row>
    <row r="506" spans="1:17" x14ac:dyDescent="0.3">
      <c r="A506" t="s">
        <v>1061</v>
      </c>
      <c r="B506" s="1">
        <v>46093</v>
      </c>
      <c r="C506" t="s">
        <v>20</v>
      </c>
      <c r="D506" t="s">
        <v>55</v>
      </c>
      <c r="E506" t="s">
        <v>66</v>
      </c>
      <c r="F506" t="s">
        <v>31</v>
      </c>
      <c r="G506" t="s">
        <v>45</v>
      </c>
      <c r="H506" t="s">
        <v>159</v>
      </c>
      <c r="I506" t="s">
        <v>1062</v>
      </c>
      <c r="J506">
        <v>2</v>
      </c>
      <c r="K506" s="2">
        <v>2162.0700000000002</v>
      </c>
      <c r="L506">
        <v>15</v>
      </c>
      <c r="M506" s="2">
        <v>3675.52</v>
      </c>
      <c r="N506" s="2">
        <v>2416.6</v>
      </c>
      <c r="O506" s="2">
        <v>1258.92</v>
      </c>
      <c r="P506" t="s">
        <v>48</v>
      </c>
      <c r="Q506" t="s">
        <v>42</v>
      </c>
    </row>
    <row r="507" spans="1:17" x14ac:dyDescent="0.3">
      <c r="A507" t="s">
        <v>1063</v>
      </c>
      <c r="B507" s="1">
        <v>45940</v>
      </c>
      <c r="C507" t="s">
        <v>70</v>
      </c>
      <c r="D507" t="s">
        <v>75</v>
      </c>
      <c r="E507" t="s">
        <v>44</v>
      </c>
      <c r="F507" t="s">
        <v>23</v>
      </c>
      <c r="G507" t="s">
        <v>45</v>
      </c>
      <c r="H507" t="s">
        <v>52</v>
      </c>
      <c r="I507" t="s">
        <v>1064</v>
      </c>
      <c r="J507">
        <v>5</v>
      </c>
      <c r="K507" s="2">
        <v>593.47</v>
      </c>
      <c r="L507">
        <v>20</v>
      </c>
      <c r="M507" s="2">
        <v>2373.88</v>
      </c>
      <c r="N507" s="2">
        <v>1523.38</v>
      </c>
      <c r="O507" s="2">
        <v>850.5</v>
      </c>
      <c r="P507" t="s">
        <v>41</v>
      </c>
      <c r="Q507" t="s">
        <v>28</v>
      </c>
    </row>
    <row r="508" spans="1:17" x14ac:dyDescent="0.3">
      <c r="A508" t="s">
        <v>1065</v>
      </c>
      <c r="B508" s="1">
        <v>46162</v>
      </c>
      <c r="C508" t="s">
        <v>86</v>
      </c>
      <c r="D508" t="s">
        <v>87</v>
      </c>
      <c r="E508" t="s">
        <v>30</v>
      </c>
      <c r="F508" t="s">
        <v>37</v>
      </c>
      <c r="G508" t="s">
        <v>45</v>
      </c>
      <c r="H508" t="s">
        <v>52</v>
      </c>
      <c r="I508" t="s">
        <v>1066</v>
      </c>
      <c r="J508">
        <v>3</v>
      </c>
      <c r="K508" s="2">
        <v>3120.5</v>
      </c>
      <c r="L508">
        <v>5</v>
      </c>
      <c r="M508" s="2">
        <v>8893.42</v>
      </c>
      <c r="N508" s="2">
        <v>5801.61</v>
      </c>
      <c r="O508" s="2">
        <v>3091.81</v>
      </c>
      <c r="P508" t="s">
        <v>27</v>
      </c>
      <c r="Q508" t="s">
        <v>28</v>
      </c>
    </row>
    <row r="509" spans="1:17" x14ac:dyDescent="0.3">
      <c r="A509" t="s">
        <v>1067</v>
      </c>
      <c r="B509" s="1">
        <v>45680</v>
      </c>
      <c r="C509" t="s">
        <v>86</v>
      </c>
      <c r="D509" t="s">
        <v>90</v>
      </c>
      <c r="E509" t="s">
        <v>51</v>
      </c>
      <c r="F509" t="s">
        <v>31</v>
      </c>
      <c r="G509" t="s">
        <v>38</v>
      </c>
      <c r="H509" t="s">
        <v>106</v>
      </c>
      <c r="I509" t="s">
        <v>1068</v>
      </c>
      <c r="J509">
        <v>4</v>
      </c>
      <c r="K509" s="2">
        <v>4819.82</v>
      </c>
      <c r="L509">
        <v>20</v>
      </c>
      <c r="M509" s="2">
        <v>15423.42</v>
      </c>
      <c r="N509" s="2">
        <v>8716.2199999999993</v>
      </c>
      <c r="O509" s="2">
        <v>6707.2</v>
      </c>
      <c r="P509" t="s">
        <v>27</v>
      </c>
      <c r="Q509" t="s">
        <v>42</v>
      </c>
    </row>
    <row r="510" spans="1:17" x14ac:dyDescent="0.3">
      <c r="A510" t="s">
        <v>1069</v>
      </c>
      <c r="B510" s="1">
        <v>46006</v>
      </c>
      <c r="C510" t="s">
        <v>35</v>
      </c>
      <c r="D510" t="s">
        <v>59</v>
      </c>
      <c r="E510" t="s">
        <v>44</v>
      </c>
      <c r="F510" t="s">
        <v>23</v>
      </c>
      <c r="G510" t="s">
        <v>24</v>
      </c>
      <c r="H510" t="s">
        <v>171</v>
      </c>
      <c r="I510" t="s">
        <v>1070</v>
      </c>
      <c r="J510">
        <v>11</v>
      </c>
      <c r="K510" s="2">
        <v>663.69</v>
      </c>
      <c r="L510">
        <v>0</v>
      </c>
      <c r="M510" s="2">
        <v>7300.59</v>
      </c>
      <c r="N510" s="2">
        <v>4015.62</v>
      </c>
      <c r="O510" s="2">
        <v>3284.97</v>
      </c>
      <c r="P510" t="s">
        <v>41</v>
      </c>
      <c r="Q510" t="s">
        <v>42</v>
      </c>
    </row>
    <row r="511" spans="1:17" x14ac:dyDescent="0.3">
      <c r="A511" t="s">
        <v>1071</v>
      </c>
      <c r="B511" s="1">
        <v>46005</v>
      </c>
      <c r="C511" t="s">
        <v>35</v>
      </c>
      <c r="D511" t="s">
        <v>59</v>
      </c>
      <c r="E511" t="s">
        <v>44</v>
      </c>
      <c r="F511" t="s">
        <v>23</v>
      </c>
      <c r="G511" t="s">
        <v>24</v>
      </c>
      <c r="H511" t="s">
        <v>25</v>
      </c>
      <c r="I511" t="s">
        <v>1072</v>
      </c>
      <c r="J511">
        <v>1</v>
      </c>
      <c r="K511" s="2">
        <v>2695.22</v>
      </c>
      <c r="L511">
        <v>0</v>
      </c>
      <c r="M511" s="2">
        <v>2695.22</v>
      </c>
      <c r="N511" s="2">
        <v>1581.35</v>
      </c>
      <c r="O511" s="2">
        <v>1113.8699999999999</v>
      </c>
      <c r="P511" t="s">
        <v>41</v>
      </c>
      <c r="Q511" t="s">
        <v>61</v>
      </c>
    </row>
    <row r="512" spans="1:17" x14ac:dyDescent="0.3">
      <c r="A512" t="s">
        <v>1073</v>
      </c>
      <c r="B512" s="1">
        <v>46081</v>
      </c>
      <c r="C512" t="s">
        <v>35</v>
      </c>
      <c r="D512" t="s">
        <v>36</v>
      </c>
      <c r="E512" t="s">
        <v>51</v>
      </c>
      <c r="F512" t="s">
        <v>23</v>
      </c>
      <c r="G512" t="s">
        <v>24</v>
      </c>
      <c r="H512" t="s">
        <v>32</v>
      </c>
      <c r="I512" t="s">
        <v>1074</v>
      </c>
      <c r="J512">
        <v>8</v>
      </c>
      <c r="K512" s="2">
        <v>4921.0200000000004</v>
      </c>
      <c r="L512">
        <v>0</v>
      </c>
      <c r="M512" s="2">
        <v>39368.160000000003</v>
      </c>
      <c r="N512" s="2">
        <v>21769.61</v>
      </c>
      <c r="O512" s="2">
        <v>17598.55</v>
      </c>
      <c r="P512" t="s">
        <v>48</v>
      </c>
      <c r="Q512" t="s">
        <v>28</v>
      </c>
    </row>
    <row r="513" spans="1:17" x14ac:dyDescent="0.3">
      <c r="A513" t="s">
        <v>1075</v>
      </c>
      <c r="B513" s="1">
        <v>46124</v>
      </c>
      <c r="C513" t="s">
        <v>86</v>
      </c>
      <c r="D513" t="s">
        <v>90</v>
      </c>
      <c r="E513" t="s">
        <v>170</v>
      </c>
      <c r="F513" t="s">
        <v>31</v>
      </c>
      <c r="G513" t="s">
        <v>24</v>
      </c>
      <c r="H513" t="s">
        <v>25</v>
      </c>
      <c r="I513" t="s">
        <v>1076</v>
      </c>
      <c r="J513">
        <v>10</v>
      </c>
      <c r="K513" s="2">
        <v>4186.7700000000004</v>
      </c>
      <c r="L513">
        <v>0</v>
      </c>
      <c r="M513" s="2">
        <v>41867.699999999997</v>
      </c>
      <c r="N513" s="2">
        <v>32985.949999999997</v>
      </c>
      <c r="O513" s="2">
        <v>8881.75</v>
      </c>
      <c r="P513" t="s">
        <v>41</v>
      </c>
      <c r="Q513" t="s">
        <v>28</v>
      </c>
    </row>
    <row r="514" spans="1:17" x14ac:dyDescent="0.3">
      <c r="A514" t="s">
        <v>1077</v>
      </c>
      <c r="B514" s="1">
        <v>45964</v>
      </c>
      <c r="C514" t="s">
        <v>86</v>
      </c>
      <c r="D514" t="s">
        <v>90</v>
      </c>
      <c r="E514" t="s">
        <v>170</v>
      </c>
      <c r="F514" t="s">
        <v>37</v>
      </c>
      <c r="G514" t="s">
        <v>38</v>
      </c>
      <c r="H514" t="s">
        <v>106</v>
      </c>
      <c r="I514" t="s">
        <v>561</v>
      </c>
      <c r="J514">
        <v>5</v>
      </c>
      <c r="K514" s="2">
        <v>1494.98</v>
      </c>
      <c r="L514">
        <v>20</v>
      </c>
      <c r="M514" s="2">
        <v>5979.92</v>
      </c>
      <c r="N514" s="2">
        <v>3881.45</v>
      </c>
      <c r="O514" s="2">
        <v>2098.4699999999998</v>
      </c>
      <c r="P514" t="s">
        <v>27</v>
      </c>
      <c r="Q514" t="s">
        <v>28</v>
      </c>
    </row>
    <row r="515" spans="1:17" x14ac:dyDescent="0.3">
      <c r="A515" t="s">
        <v>1078</v>
      </c>
      <c r="B515" s="1">
        <v>46156</v>
      </c>
      <c r="C515" t="s">
        <v>70</v>
      </c>
      <c r="D515" t="s">
        <v>71</v>
      </c>
      <c r="E515" t="s">
        <v>22</v>
      </c>
      <c r="F515" t="s">
        <v>23</v>
      </c>
      <c r="G515" t="s">
        <v>38</v>
      </c>
      <c r="H515" t="s">
        <v>39</v>
      </c>
      <c r="I515" t="s">
        <v>1079</v>
      </c>
      <c r="J515">
        <v>3</v>
      </c>
      <c r="K515" s="2">
        <v>1054.0899999999999</v>
      </c>
      <c r="L515">
        <v>20</v>
      </c>
      <c r="M515" s="2">
        <v>2529.8200000000002</v>
      </c>
      <c r="N515" s="2">
        <v>1831.83</v>
      </c>
      <c r="O515" s="2">
        <v>697.99</v>
      </c>
      <c r="P515" t="s">
        <v>41</v>
      </c>
      <c r="Q515" t="s">
        <v>28</v>
      </c>
    </row>
    <row r="516" spans="1:17" x14ac:dyDescent="0.3">
      <c r="A516" t="s">
        <v>1080</v>
      </c>
      <c r="B516" s="1">
        <v>45715</v>
      </c>
      <c r="C516" t="s">
        <v>20</v>
      </c>
      <c r="D516" t="s">
        <v>21</v>
      </c>
      <c r="E516" t="s">
        <v>66</v>
      </c>
      <c r="F516" t="s">
        <v>31</v>
      </c>
      <c r="G516" t="s">
        <v>24</v>
      </c>
      <c r="H516" t="s">
        <v>171</v>
      </c>
      <c r="I516" t="s">
        <v>1081</v>
      </c>
      <c r="J516">
        <v>12</v>
      </c>
      <c r="K516" s="2">
        <v>376.24</v>
      </c>
      <c r="L516">
        <v>0</v>
      </c>
      <c r="M516" s="2">
        <v>4514.88</v>
      </c>
      <c r="N516" s="2">
        <v>3517.56</v>
      </c>
      <c r="O516" s="2">
        <v>997.32</v>
      </c>
      <c r="P516" t="s">
        <v>48</v>
      </c>
      <c r="Q516" t="s">
        <v>49</v>
      </c>
    </row>
    <row r="517" spans="1:17" x14ac:dyDescent="0.3">
      <c r="A517" t="s">
        <v>1082</v>
      </c>
      <c r="B517" s="1">
        <v>46098</v>
      </c>
      <c r="C517" t="s">
        <v>35</v>
      </c>
      <c r="D517" t="s">
        <v>59</v>
      </c>
      <c r="E517" t="s">
        <v>66</v>
      </c>
      <c r="F517" t="s">
        <v>37</v>
      </c>
      <c r="G517" t="s">
        <v>24</v>
      </c>
      <c r="H517" t="s">
        <v>134</v>
      </c>
      <c r="I517" t="s">
        <v>1083</v>
      </c>
      <c r="J517">
        <v>12</v>
      </c>
      <c r="K517" s="2">
        <v>1440.45</v>
      </c>
      <c r="L517">
        <v>20</v>
      </c>
      <c r="M517" s="2">
        <v>13828.32</v>
      </c>
      <c r="N517" s="2">
        <v>7910.99</v>
      </c>
      <c r="O517" s="2">
        <v>5917.33</v>
      </c>
      <c r="P517" t="s">
        <v>48</v>
      </c>
      <c r="Q517" t="s">
        <v>49</v>
      </c>
    </row>
    <row r="518" spans="1:17" x14ac:dyDescent="0.3">
      <c r="A518" t="s">
        <v>1084</v>
      </c>
      <c r="B518" s="1">
        <v>45767</v>
      </c>
      <c r="C518" t="s">
        <v>35</v>
      </c>
      <c r="D518" t="s">
        <v>59</v>
      </c>
      <c r="E518" t="s">
        <v>51</v>
      </c>
      <c r="F518" t="s">
        <v>23</v>
      </c>
      <c r="G518" t="s">
        <v>38</v>
      </c>
      <c r="H518" t="s">
        <v>63</v>
      </c>
      <c r="I518" t="s">
        <v>1085</v>
      </c>
      <c r="J518">
        <v>14</v>
      </c>
      <c r="K518" s="2">
        <v>370.02</v>
      </c>
      <c r="L518">
        <v>0</v>
      </c>
      <c r="M518" s="2">
        <v>5180.28</v>
      </c>
      <c r="N518" s="2">
        <v>2909.05</v>
      </c>
      <c r="O518" s="2">
        <v>2271.23</v>
      </c>
      <c r="P518" t="s">
        <v>27</v>
      </c>
      <c r="Q518" t="s">
        <v>61</v>
      </c>
    </row>
    <row r="519" spans="1:17" x14ac:dyDescent="0.3">
      <c r="A519" t="s">
        <v>1086</v>
      </c>
      <c r="B519" s="1">
        <v>45755</v>
      </c>
      <c r="C519" t="s">
        <v>35</v>
      </c>
      <c r="D519" t="s">
        <v>36</v>
      </c>
      <c r="E519" t="s">
        <v>66</v>
      </c>
      <c r="F519" t="s">
        <v>31</v>
      </c>
      <c r="G519" t="s">
        <v>45</v>
      </c>
      <c r="H519" t="s">
        <v>123</v>
      </c>
      <c r="I519" t="s">
        <v>1087</v>
      </c>
      <c r="J519">
        <v>8</v>
      </c>
      <c r="K519" s="2">
        <v>1817.22</v>
      </c>
      <c r="L519">
        <v>20</v>
      </c>
      <c r="M519" s="2">
        <v>11630.21</v>
      </c>
      <c r="N519" s="2">
        <v>8694.68</v>
      </c>
      <c r="O519" s="2">
        <v>2935.53</v>
      </c>
      <c r="P519" t="s">
        <v>27</v>
      </c>
      <c r="Q519" t="s">
        <v>61</v>
      </c>
    </row>
    <row r="520" spans="1:17" x14ac:dyDescent="0.3">
      <c r="A520" t="s">
        <v>1088</v>
      </c>
      <c r="B520" s="1">
        <v>46001</v>
      </c>
      <c r="C520" t="s">
        <v>86</v>
      </c>
      <c r="D520" t="s">
        <v>90</v>
      </c>
      <c r="E520" t="s">
        <v>22</v>
      </c>
      <c r="F520" t="s">
        <v>23</v>
      </c>
      <c r="G520" t="s">
        <v>38</v>
      </c>
      <c r="H520" t="s">
        <v>63</v>
      </c>
      <c r="I520" t="s">
        <v>1089</v>
      </c>
      <c r="J520">
        <v>2</v>
      </c>
      <c r="K520" s="2">
        <v>2746.65</v>
      </c>
      <c r="L520">
        <v>15</v>
      </c>
      <c r="M520" s="2">
        <v>4669.3100000000004</v>
      </c>
      <c r="N520" s="2">
        <v>3629.4</v>
      </c>
      <c r="O520" s="2">
        <v>1039.9100000000001</v>
      </c>
      <c r="P520" t="s">
        <v>27</v>
      </c>
      <c r="Q520" t="s">
        <v>49</v>
      </c>
    </row>
    <row r="521" spans="1:17" x14ac:dyDescent="0.3">
      <c r="A521" t="s">
        <v>1090</v>
      </c>
      <c r="B521" s="1">
        <v>45849</v>
      </c>
      <c r="C521" t="s">
        <v>70</v>
      </c>
      <c r="D521" t="s">
        <v>71</v>
      </c>
      <c r="E521" t="s">
        <v>30</v>
      </c>
      <c r="F521" t="s">
        <v>37</v>
      </c>
      <c r="G521" t="s">
        <v>24</v>
      </c>
      <c r="H521" t="s">
        <v>171</v>
      </c>
      <c r="I521" t="s">
        <v>1091</v>
      </c>
      <c r="J521">
        <v>8</v>
      </c>
      <c r="K521" s="2">
        <v>2983.82</v>
      </c>
      <c r="L521">
        <v>20</v>
      </c>
      <c r="M521" s="2">
        <v>19096.45</v>
      </c>
      <c r="N521" s="2">
        <v>15006.67</v>
      </c>
      <c r="O521" s="2">
        <v>4089.78</v>
      </c>
      <c r="P521" t="s">
        <v>27</v>
      </c>
      <c r="Q521" t="s">
        <v>61</v>
      </c>
    </row>
    <row r="522" spans="1:17" x14ac:dyDescent="0.3">
      <c r="A522" t="s">
        <v>1092</v>
      </c>
      <c r="B522" s="1">
        <v>46009</v>
      </c>
      <c r="C522" t="s">
        <v>20</v>
      </c>
      <c r="D522" t="s">
        <v>55</v>
      </c>
      <c r="E522" t="s">
        <v>66</v>
      </c>
      <c r="F522" t="s">
        <v>37</v>
      </c>
      <c r="G522" t="s">
        <v>45</v>
      </c>
      <c r="H522" t="s">
        <v>67</v>
      </c>
      <c r="I522" t="s">
        <v>1093</v>
      </c>
      <c r="J522">
        <v>14</v>
      </c>
      <c r="K522" s="2">
        <v>602.59</v>
      </c>
      <c r="L522">
        <v>15</v>
      </c>
      <c r="M522" s="2">
        <v>7170.82</v>
      </c>
      <c r="N522" s="2">
        <v>4065.63</v>
      </c>
      <c r="O522" s="2">
        <v>3105.19</v>
      </c>
      <c r="P522" t="s">
        <v>27</v>
      </c>
      <c r="Q522" t="s">
        <v>61</v>
      </c>
    </row>
    <row r="523" spans="1:17" x14ac:dyDescent="0.3">
      <c r="A523" t="s">
        <v>1094</v>
      </c>
      <c r="B523" s="1">
        <v>45763</v>
      </c>
      <c r="C523" t="s">
        <v>86</v>
      </c>
      <c r="D523" t="s">
        <v>87</v>
      </c>
      <c r="E523" t="s">
        <v>51</v>
      </c>
      <c r="F523" t="s">
        <v>37</v>
      </c>
      <c r="G523" t="s">
        <v>45</v>
      </c>
      <c r="H523" t="s">
        <v>52</v>
      </c>
      <c r="I523" t="s">
        <v>1095</v>
      </c>
      <c r="J523">
        <v>6</v>
      </c>
      <c r="K523" s="2">
        <v>4499.67</v>
      </c>
      <c r="L523">
        <v>10</v>
      </c>
      <c r="M523" s="2">
        <v>24298.22</v>
      </c>
      <c r="N523" s="2">
        <v>19798.64</v>
      </c>
      <c r="O523" s="2">
        <v>4499.58</v>
      </c>
      <c r="P523" t="s">
        <v>41</v>
      </c>
      <c r="Q523" t="s">
        <v>42</v>
      </c>
    </row>
    <row r="524" spans="1:17" x14ac:dyDescent="0.3">
      <c r="A524" t="s">
        <v>1096</v>
      </c>
      <c r="B524" s="1">
        <v>45903</v>
      </c>
      <c r="C524" t="s">
        <v>86</v>
      </c>
      <c r="D524" t="s">
        <v>87</v>
      </c>
      <c r="E524" t="s">
        <v>170</v>
      </c>
      <c r="F524" t="s">
        <v>37</v>
      </c>
      <c r="G524" t="s">
        <v>45</v>
      </c>
      <c r="H524" t="s">
        <v>123</v>
      </c>
      <c r="I524" t="s">
        <v>1097</v>
      </c>
      <c r="J524">
        <v>11</v>
      </c>
      <c r="K524" s="2">
        <v>1801.26</v>
      </c>
      <c r="L524">
        <v>0</v>
      </c>
      <c r="M524" s="2">
        <v>19813.86</v>
      </c>
      <c r="N524" s="2">
        <v>13708.89</v>
      </c>
      <c r="O524" s="2">
        <v>6104.97</v>
      </c>
      <c r="P524" t="s">
        <v>48</v>
      </c>
      <c r="Q524" t="s">
        <v>61</v>
      </c>
    </row>
    <row r="525" spans="1:17" x14ac:dyDescent="0.3">
      <c r="A525" t="s">
        <v>1098</v>
      </c>
      <c r="B525" s="1">
        <v>45921</v>
      </c>
      <c r="C525" t="s">
        <v>35</v>
      </c>
      <c r="D525" t="s">
        <v>36</v>
      </c>
      <c r="E525" t="s">
        <v>113</v>
      </c>
      <c r="F525" t="s">
        <v>37</v>
      </c>
      <c r="G525" t="s">
        <v>24</v>
      </c>
      <c r="H525" t="s">
        <v>171</v>
      </c>
      <c r="I525" t="s">
        <v>1099</v>
      </c>
      <c r="J525">
        <v>4</v>
      </c>
      <c r="K525" s="2">
        <v>1939.54</v>
      </c>
      <c r="L525">
        <v>15</v>
      </c>
      <c r="M525" s="2">
        <v>6594.44</v>
      </c>
      <c r="N525" s="2">
        <v>3980.17</v>
      </c>
      <c r="O525" s="2">
        <v>2614.27</v>
      </c>
      <c r="P525" t="s">
        <v>27</v>
      </c>
      <c r="Q525" t="s">
        <v>49</v>
      </c>
    </row>
    <row r="526" spans="1:17" x14ac:dyDescent="0.3">
      <c r="A526" t="s">
        <v>1100</v>
      </c>
      <c r="B526" s="1">
        <v>45985</v>
      </c>
      <c r="C526" t="s">
        <v>20</v>
      </c>
      <c r="D526" t="s">
        <v>55</v>
      </c>
      <c r="E526" t="s">
        <v>30</v>
      </c>
      <c r="F526" t="s">
        <v>37</v>
      </c>
      <c r="G526" t="s">
        <v>38</v>
      </c>
      <c r="H526" t="s">
        <v>63</v>
      </c>
      <c r="I526" t="s">
        <v>1101</v>
      </c>
      <c r="J526">
        <v>15</v>
      </c>
      <c r="K526" s="2">
        <v>277.14</v>
      </c>
      <c r="L526">
        <v>5</v>
      </c>
      <c r="M526" s="2">
        <v>3949.24</v>
      </c>
      <c r="N526" s="2">
        <v>3176.76</v>
      </c>
      <c r="O526" s="2">
        <v>772.48</v>
      </c>
      <c r="P526" t="s">
        <v>48</v>
      </c>
      <c r="Q526" t="s">
        <v>42</v>
      </c>
    </row>
    <row r="527" spans="1:17" x14ac:dyDescent="0.3">
      <c r="A527" t="s">
        <v>1102</v>
      </c>
      <c r="B527" s="1">
        <v>45833</v>
      </c>
      <c r="C527" t="s">
        <v>35</v>
      </c>
      <c r="D527" t="s">
        <v>59</v>
      </c>
      <c r="E527" t="s">
        <v>120</v>
      </c>
      <c r="F527" t="s">
        <v>23</v>
      </c>
      <c r="G527" t="s">
        <v>38</v>
      </c>
      <c r="H527" t="s">
        <v>63</v>
      </c>
      <c r="I527" t="s">
        <v>1103</v>
      </c>
      <c r="J527">
        <v>14</v>
      </c>
      <c r="K527" s="2">
        <v>1384.63</v>
      </c>
      <c r="L527">
        <v>20</v>
      </c>
      <c r="M527" s="2">
        <v>15507.86</v>
      </c>
      <c r="N527" s="2">
        <v>9878</v>
      </c>
      <c r="O527" s="2">
        <v>5629.86</v>
      </c>
      <c r="P527" t="s">
        <v>41</v>
      </c>
      <c r="Q527" t="s">
        <v>42</v>
      </c>
    </row>
    <row r="528" spans="1:17" x14ac:dyDescent="0.3">
      <c r="A528" t="s">
        <v>1104</v>
      </c>
      <c r="B528" s="1">
        <v>45882</v>
      </c>
      <c r="C528" t="s">
        <v>86</v>
      </c>
      <c r="D528" t="s">
        <v>90</v>
      </c>
      <c r="E528" t="s">
        <v>30</v>
      </c>
      <c r="F528" t="s">
        <v>31</v>
      </c>
      <c r="G528" t="s">
        <v>45</v>
      </c>
      <c r="H528" t="s">
        <v>67</v>
      </c>
      <c r="I528" t="s">
        <v>1105</v>
      </c>
      <c r="J528">
        <v>10</v>
      </c>
      <c r="K528" s="2">
        <v>1250.6300000000001</v>
      </c>
      <c r="L528">
        <v>20</v>
      </c>
      <c r="M528" s="2">
        <v>10005.040000000001</v>
      </c>
      <c r="N528" s="2">
        <v>7134.09</v>
      </c>
      <c r="O528" s="2">
        <v>2870.95</v>
      </c>
      <c r="P528" t="s">
        <v>48</v>
      </c>
      <c r="Q528" t="s">
        <v>61</v>
      </c>
    </row>
    <row r="529" spans="1:17" x14ac:dyDescent="0.3">
      <c r="A529" t="s">
        <v>1106</v>
      </c>
      <c r="B529" s="1">
        <v>46072</v>
      </c>
      <c r="C529" t="s">
        <v>70</v>
      </c>
      <c r="D529" t="s">
        <v>75</v>
      </c>
      <c r="E529" t="s">
        <v>44</v>
      </c>
      <c r="F529" t="s">
        <v>23</v>
      </c>
      <c r="G529" t="s">
        <v>45</v>
      </c>
      <c r="H529" t="s">
        <v>159</v>
      </c>
      <c r="I529" t="s">
        <v>1107</v>
      </c>
      <c r="J529">
        <v>9</v>
      </c>
      <c r="K529" s="2">
        <v>2233.1999999999998</v>
      </c>
      <c r="L529">
        <v>15</v>
      </c>
      <c r="M529" s="2">
        <v>17083.98</v>
      </c>
      <c r="N529" s="2">
        <v>11966.36</v>
      </c>
      <c r="O529" s="2">
        <v>5117.62</v>
      </c>
      <c r="P529" t="s">
        <v>27</v>
      </c>
      <c r="Q529" t="s">
        <v>61</v>
      </c>
    </row>
    <row r="530" spans="1:17" x14ac:dyDescent="0.3">
      <c r="A530" t="s">
        <v>1108</v>
      </c>
      <c r="B530" s="1">
        <v>46143</v>
      </c>
      <c r="C530" t="s">
        <v>70</v>
      </c>
      <c r="D530" t="s">
        <v>75</v>
      </c>
      <c r="E530" t="s">
        <v>44</v>
      </c>
      <c r="F530" t="s">
        <v>37</v>
      </c>
      <c r="G530" t="s">
        <v>24</v>
      </c>
      <c r="H530" t="s">
        <v>25</v>
      </c>
      <c r="I530" t="s">
        <v>1109</v>
      </c>
      <c r="J530">
        <v>5</v>
      </c>
      <c r="K530" s="2">
        <v>319.8</v>
      </c>
      <c r="L530">
        <v>15</v>
      </c>
      <c r="M530" s="2">
        <v>1359.15</v>
      </c>
      <c r="N530" s="2">
        <v>775.82</v>
      </c>
      <c r="O530" s="2">
        <v>583.33000000000004</v>
      </c>
      <c r="P530" t="s">
        <v>41</v>
      </c>
      <c r="Q530" t="s">
        <v>28</v>
      </c>
    </row>
    <row r="531" spans="1:17" x14ac:dyDescent="0.3">
      <c r="A531" t="s">
        <v>1110</v>
      </c>
      <c r="B531" s="1">
        <v>45959</v>
      </c>
      <c r="C531" t="s">
        <v>35</v>
      </c>
      <c r="D531" t="s">
        <v>36</v>
      </c>
      <c r="E531" t="s">
        <v>44</v>
      </c>
      <c r="F531" t="s">
        <v>23</v>
      </c>
      <c r="G531" t="s">
        <v>45</v>
      </c>
      <c r="H531" t="s">
        <v>67</v>
      </c>
      <c r="I531" t="s">
        <v>1111</v>
      </c>
      <c r="J531">
        <v>14</v>
      </c>
      <c r="K531" s="2">
        <v>1421.4</v>
      </c>
      <c r="L531">
        <v>10</v>
      </c>
      <c r="M531" s="2">
        <v>17909.64</v>
      </c>
      <c r="N531" s="2">
        <v>11894.67</v>
      </c>
      <c r="O531" s="2">
        <v>6014.97</v>
      </c>
      <c r="P531" t="s">
        <v>48</v>
      </c>
      <c r="Q531" t="s">
        <v>49</v>
      </c>
    </row>
    <row r="532" spans="1:17" x14ac:dyDescent="0.3">
      <c r="A532" t="s">
        <v>1112</v>
      </c>
      <c r="B532" s="1">
        <v>46038</v>
      </c>
      <c r="C532" t="s">
        <v>86</v>
      </c>
      <c r="D532" t="s">
        <v>87</v>
      </c>
      <c r="E532" t="s">
        <v>51</v>
      </c>
      <c r="F532" t="s">
        <v>31</v>
      </c>
      <c r="G532" t="s">
        <v>24</v>
      </c>
      <c r="H532" t="s">
        <v>171</v>
      </c>
      <c r="I532" t="s">
        <v>1113</v>
      </c>
      <c r="J532">
        <v>13</v>
      </c>
      <c r="K532" s="2">
        <v>2601.71</v>
      </c>
      <c r="L532">
        <v>10</v>
      </c>
      <c r="M532" s="2">
        <v>30440.01</v>
      </c>
      <c r="N532" s="2">
        <v>23215.57</v>
      </c>
      <c r="O532" s="2">
        <v>7224.44</v>
      </c>
      <c r="P532" t="s">
        <v>41</v>
      </c>
      <c r="Q532" t="s">
        <v>61</v>
      </c>
    </row>
    <row r="533" spans="1:17" x14ac:dyDescent="0.3">
      <c r="A533" t="s">
        <v>1114</v>
      </c>
      <c r="B533" s="1">
        <v>46189</v>
      </c>
      <c r="C533" t="s">
        <v>35</v>
      </c>
      <c r="D533" t="s">
        <v>59</v>
      </c>
      <c r="E533" t="s">
        <v>113</v>
      </c>
      <c r="F533" t="s">
        <v>23</v>
      </c>
      <c r="G533" t="s">
        <v>24</v>
      </c>
      <c r="H533" t="s">
        <v>56</v>
      </c>
      <c r="I533" t="s">
        <v>1115</v>
      </c>
      <c r="J533">
        <v>1</v>
      </c>
      <c r="K533" s="2">
        <v>3839.89</v>
      </c>
      <c r="L533">
        <v>5</v>
      </c>
      <c r="M533" s="2">
        <v>3647.9</v>
      </c>
      <c r="N533" s="2">
        <v>2008.47</v>
      </c>
      <c r="O533" s="2">
        <v>1639.43</v>
      </c>
      <c r="P533" t="s">
        <v>48</v>
      </c>
      <c r="Q533" t="s">
        <v>49</v>
      </c>
    </row>
    <row r="534" spans="1:17" x14ac:dyDescent="0.3">
      <c r="A534" t="s">
        <v>1116</v>
      </c>
      <c r="B534" s="1">
        <v>45888</v>
      </c>
      <c r="C534" t="s">
        <v>86</v>
      </c>
      <c r="D534" t="s">
        <v>90</v>
      </c>
      <c r="E534" t="s">
        <v>170</v>
      </c>
      <c r="F534" t="s">
        <v>31</v>
      </c>
      <c r="G534" t="s">
        <v>38</v>
      </c>
      <c r="H534" t="s">
        <v>63</v>
      </c>
      <c r="I534" t="s">
        <v>1117</v>
      </c>
      <c r="J534">
        <v>7</v>
      </c>
      <c r="K534" s="2">
        <v>686.88</v>
      </c>
      <c r="L534">
        <v>5</v>
      </c>
      <c r="M534" s="2">
        <v>4567.75</v>
      </c>
      <c r="N534" s="2">
        <v>2821.73</v>
      </c>
      <c r="O534" s="2">
        <v>1746.02</v>
      </c>
      <c r="P534" t="s">
        <v>48</v>
      </c>
      <c r="Q534" t="s">
        <v>61</v>
      </c>
    </row>
    <row r="535" spans="1:17" x14ac:dyDescent="0.3">
      <c r="A535" t="s">
        <v>1118</v>
      </c>
      <c r="B535" s="1">
        <v>45953</v>
      </c>
      <c r="C535" t="s">
        <v>20</v>
      </c>
      <c r="D535" t="s">
        <v>55</v>
      </c>
      <c r="E535" t="s">
        <v>22</v>
      </c>
      <c r="F535" t="s">
        <v>23</v>
      </c>
      <c r="G535" t="s">
        <v>45</v>
      </c>
      <c r="H535" t="s">
        <v>46</v>
      </c>
      <c r="I535" t="s">
        <v>1119</v>
      </c>
      <c r="J535">
        <v>6</v>
      </c>
      <c r="K535" s="2">
        <v>4273.1899999999996</v>
      </c>
      <c r="L535">
        <v>15</v>
      </c>
      <c r="M535" s="2">
        <v>21793.27</v>
      </c>
      <c r="N535" s="2">
        <v>13437.89</v>
      </c>
      <c r="O535" s="2">
        <v>8355.3799999999992</v>
      </c>
      <c r="P535" t="s">
        <v>41</v>
      </c>
      <c r="Q535" t="s">
        <v>28</v>
      </c>
    </row>
    <row r="536" spans="1:17" x14ac:dyDescent="0.3">
      <c r="A536" t="s">
        <v>1120</v>
      </c>
      <c r="B536" s="1">
        <v>45764</v>
      </c>
      <c r="C536" t="s">
        <v>70</v>
      </c>
      <c r="D536" t="s">
        <v>75</v>
      </c>
      <c r="E536" t="s">
        <v>113</v>
      </c>
      <c r="F536" t="s">
        <v>37</v>
      </c>
      <c r="G536" t="s">
        <v>38</v>
      </c>
      <c r="H536" t="s">
        <v>63</v>
      </c>
      <c r="I536" t="s">
        <v>1121</v>
      </c>
      <c r="J536">
        <v>3</v>
      </c>
      <c r="K536" s="2">
        <v>1587.88</v>
      </c>
      <c r="L536">
        <v>20</v>
      </c>
      <c r="M536" s="2">
        <v>3810.91</v>
      </c>
      <c r="N536" s="2">
        <v>2723.57</v>
      </c>
      <c r="O536" s="2">
        <v>1087.3399999999999</v>
      </c>
      <c r="P536" t="s">
        <v>48</v>
      </c>
      <c r="Q536" t="s">
        <v>28</v>
      </c>
    </row>
    <row r="537" spans="1:17" x14ac:dyDescent="0.3">
      <c r="A537" t="s">
        <v>1122</v>
      </c>
      <c r="B537" s="1">
        <v>45665</v>
      </c>
      <c r="C537" t="s">
        <v>70</v>
      </c>
      <c r="D537" t="s">
        <v>71</v>
      </c>
      <c r="E537" t="s">
        <v>120</v>
      </c>
      <c r="F537" t="s">
        <v>23</v>
      </c>
      <c r="G537" t="s">
        <v>45</v>
      </c>
      <c r="H537" t="s">
        <v>52</v>
      </c>
      <c r="I537" t="s">
        <v>1123</v>
      </c>
      <c r="J537">
        <v>12</v>
      </c>
      <c r="K537" s="2">
        <v>1048.71</v>
      </c>
      <c r="L537">
        <v>10</v>
      </c>
      <c r="M537" s="2">
        <v>11326.07</v>
      </c>
      <c r="N537" s="2">
        <v>9219.19</v>
      </c>
      <c r="O537" s="2">
        <v>2106.88</v>
      </c>
      <c r="P537" t="s">
        <v>48</v>
      </c>
      <c r="Q537" t="s">
        <v>42</v>
      </c>
    </row>
    <row r="538" spans="1:17" x14ac:dyDescent="0.3">
      <c r="A538" t="s">
        <v>1124</v>
      </c>
      <c r="B538" s="1">
        <v>45667</v>
      </c>
      <c r="C538" t="s">
        <v>20</v>
      </c>
      <c r="D538" t="s">
        <v>21</v>
      </c>
      <c r="E538" t="s">
        <v>170</v>
      </c>
      <c r="F538" t="s">
        <v>23</v>
      </c>
      <c r="G538" t="s">
        <v>24</v>
      </c>
      <c r="H538" t="s">
        <v>32</v>
      </c>
      <c r="I538" t="s">
        <v>1125</v>
      </c>
      <c r="J538">
        <v>14</v>
      </c>
      <c r="K538" s="2">
        <v>2287.9499999999998</v>
      </c>
      <c r="L538">
        <v>0</v>
      </c>
      <c r="M538" s="2">
        <v>32031.3</v>
      </c>
      <c r="N538" s="2">
        <v>26108.53</v>
      </c>
      <c r="O538" s="2">
        <v>5922.77</v>
      </c>
      <c r="P538" t="s">
        <v>27</v>
      </c>
      <c r="Q538" t="s">
        <v>28</v>
      </c>
    </row>
    <row r="539" spans="1:17" x14ac:dyDescent="0.3">
      <c r="A539" t="s">
        <v>1126</v>
      </c>
      <c r="B539" s="1">
        <v>45893</v>
      </c>
      <c r="C539" t="s">
        <v>35</v>
      </c>
      <c r="D539" t="s">
        <v>36</v>
      </c>
      <c r="E539" t="s">
        <v>22</v>
      </c>
      <c r="F539" t="s">
        <v>23</v>
      </c>
      <c r="G539" t="s">
        <v>45</v>
      </c>
      <c r="H539" t="s">
        <v>46</v>
      </c>
      <c r="I539" t="s">
        <v>1127</v>
      </c>
      <c r="J539">
        <v>10</v>
      </c>
      <c r="K539" s="2">
        <v>3261.08</v>
      </c>
      <c r="L539">
        <v>0</v>
      </c>
      <c r="M539" s="2">
        <v>32610.799999999999</v>
      </c>
      <c r="N539" s="2">
        <v>23546.35</v>
      </c>
      <c r="O539" s="2">
        <v>9064.4500000000007</v>
      </c>
      <c r="P539" t="s">
        <v>41</v>
      </c>
      <c r="Q539" t="s">
        <v>42</v>
      </c>
    </row>
    <row r="540" spans="1:17" x14ac:dyDescent="0.3">
      <c r="A540" t="s">
        <v>1128</v>
      </c>
      <c r="B540" s="1">
        <v>45677</v>
      </c>
      <c r="C540" t="s">
        <v>20</v>
      </c>
      <c r="D540" t="s">
        <v>21</v>
      </c>
      <c r="E540" t="s">
        <v>120</v>
      </c>
      <c r="F540" t="s">
        <v>37</v>
      </c>
      <c r="G540" t="s">
        <v>24</v>
      </c>
      <c r="H540" t="s">
        <v>171</v>
      </c>
      <c r="I540" t="s">
        <v>1129</v>
      </c>
      <c r="J540">
        <v>2</v>
      </c>
      <c r="K540" s="2">
        <v>1526.1</v>
      </c>
      <c r="L540">
        <v>0</v>
      </c>
      <c r="M540" s="2">
        <v>3052.2</v>
      </c>
      <c r="N540" s="2">
        <v>1864.46</v>
      </c>
      <c r="O540" s="2">
        <v>1187.74</v>
      </c>
      <c r="P540" t="s">
        <v>27</v>
      </c>
      <c r="Q540" t="s">
        <v>61</v>
      </c>
    </row>
    <row r="541" spans="1:17" x14ac:dyDescent="0.3">
      <c r="A541" t="s">
        <v>1130</v>
      </c>
      <c r="B541" s="1">
        <v>45976</v>
      </c>
      <c r="C541" t="s">
        <v>35</v>
      </c>
      <c r="D541" t="s">
        <v>36</v>
      </c>
      <c r="E541" t="s">
        <v>170</v>
      </c>
      <c r="F541" t="s">
        <v>31</v>
      </c>
      <c r="G541" t="s">
        <v>45</v>
      </c>
      <c r="H541" t="s">
        <v>159</v>
      </c>
      <c r="I541" t="s">
        <v>1131</v>
      </c>
      <c r="J541">
        <v>6</v>
      </c>
      <c r="K541" s="2">
        <v>2447.25</v>
      </c>
      <c r="L541">
        <v>10</v>
      </c>
      <c r="M541" s="2">
        <v>13215.15</v>
      </c>
      <c r="N541" s="2">
        <v>8458.56</v>
      </c>
      <c r="O541" s="2">
        <v>4756.59</v>
      </c>
      <c r="P541" t="s">
        <v>41</v>
      </c>
      <c r="Q541" t="s">
        <v>28</v>
      </c>
    </row>
    <row r="542" spans="1:17" x14ac:dyDescent="0.3">
      <c r="A542" t="s">
        <v>1132</v>
      </c>
      <c r="B542" s="1">
        <v>45751</v>
      </c>
      <c r="C542" t="s">
        <v>70</v>
      </c>
      <c r="D542" t="s">
        <v>75</v>
      </c>
      <c r="E542" t="s">
        <v>120</v>
      </c>
      <c r="F542" t="s">
        <v>23</v>
      </c>
      <c r="G542" t="s">
        <v>24</v>
      </c>
      <c r="H542" t="s">
        <v>134</v>
      </c>
      <c r="I542" t="s">
        <v>1133</v>
      </c>
      <c r="J542">
        <v>10</v>
      </c>
      <c r="K542" s="2">
        <v>2725.49</v>
      </c>
      <c r="L542">
        <v>0</v>
      </c>
      <c r="M542" s="2">
        <v>27254.9</v>
      </c>
      <c r="N542" s="2">
        <v>17455.55</v>
      </c>
      <c r="O542" s="2">
        <v>9799.35</v>
      </c>
      <c r="P542" t="s">
        <v>27</v>
      </c>
      <c r="Q542" t="s">
        <v>42</v>
      </c>
    </row>
    <row r="543" spans="1:17" x14ac:dyDescent="0.3">
      <c r="A543" t="s">
        <v>1134</v>
      </c>
      <c r="B543" s="1">
        <v>45976</v>
      </c>
      <c r="C543" t="s">
        <v>86</v>
      </c>
      <c r="D543" t="s">
        <v>87</v>
      </c>
      <c r="E543" t="s">
        <v>66</v>
      </c>
      <c r="F543" t="s">
        <v>23</v>
      </c>
      <c r="G543" t="s">
        <v>38</v>
      </c>
      <c r="H543" t="s">
        <v>72</v>
      </c>
      <c r="I543" t="s">
        <v>1135</v>
      </c>
      <c r="J543">
        <v>8</v>
      </c>
      <c r="K543" s="2">
        <v>3650.86</v>
      </c>
      <c r="L543">
        <v>15</v>
      </c>
      <c r="M543" s="2">
        <v>24825.85</v>
      </c>
      <c r="N543" s="2">
        <v>19017.86</v>
      </c>
      <c r="O543" s="2">
        <v>5807.99</v>
      </c>
      <c r="P543" t="s">
        <v>41</v>
      </c>
      <c r="Q543" t="s">
        <v>28</v>
      </c>
    </row>
    <row r="544" spans="1:17" x14ac:dyDescent="0.3">
      <c r="A544" t="s">
        <v>1136</v>
      </c>
      <c r="B544" s="1">
        <v>46022</v>
      </c>
      <c r="C544" t="s">
        <v>70</v>
      </c>
      <c r="D544" t="s">
        <v>71</v>
      </c>
      <c r="E544" t="s">
        <v>44</v>
      </c>
      <c r="F544" t="s">
        <v>23</v>
      </c>
      <c r="G544" t="s">
        <v>38</v>
      </c>
      <c r="H544" t="s">
        <v>91</v>
      </c>
      <c r="I544" t="s">
        <v>1137</v>
      </c>
      <c r="J544">
        <v>15</v>
      </c>
      <c r="K544" s="2">
        <v>1564.11</v>
      </c>
      <c r="L544">
        <v>0</v>
      </c>
      <c r="M544" s="2">
        <v>23461.65</v>
      </c>
      <c r="N544" s="2">
        <v>13881.79</v>
      </c>
      <c r="O544" s="2">
        <v>9579.86</v>
      </c>
      <c r="P544" t="s">
        <v>27</v>
      </c>
      <c r="Q544" t="s">
        <v>61</v>
      </c>
    </row>
    <row r="545" spans="1:17" x14ac:dyDescent="0.3">
      <c r="A545" t="s">
        <v>1138</v>
      </c>
      <c r="B545" s="1">
        <v>45933</v>
      </c>
      <c r="C545" t="s">
        <v>86</v>
      </c>
      <c r="D545" t="s">
        <v>87</v>
      </c>
      <c r="E545" t="s">
        <v>51</v>
      </c>
      <c r="F545" t="s">
        <v>31</v>
      </c>
      <c r="G545" t="s">
        <v>24</v>
      </c>
      <c r="H545" t="s">
        <v>25</v>
      </c>
      <c r="I545" t="s">
        <v>1139</v>
      </c>
      <c r="J545">
        <v>10</v>
      </c>
      <c r="K545" s="2">
        <v>517.16</v>
      </c>
      <c r="L545">
        <v>0</v>
      </c>
      <c r="M545" s="2">
        <v>5171.6000000000004</v>
      </c>
      <c r="N545" s="2">
        <v>4138.12</v>
      </c>
      <c r="O545" s="2">
        <v>1033.48</v>
      </c>
      <c r="P545" t="s">
        <v>41</v>
      </c>
      <c r="Q545" t="s">
        <v>49</v>
      </c>
    </row>
    <row r="546" spans="1:17" x14ac:dyDescent="0.3">
      <c r="A546" t="s">
        <v>1140</v>
      </c>
      <c r="B546" s="1">
        <v>45859</v>
      </c>
      <c r="C546" t="s">
        <v>70</v>
      </c>
      <c r="D546" t="s">
        <v>75</v>
      </c>
      <c r="E546" t="s">
        <v>44</v>
      </c>
      <c r="F546" t="s">
        <v>37</v>
      </c>
      <c r="G546" t="s">
        <v>45</v>
      </c>
      <c r="H546" t="s">
        <v>67</v>
      </c>
      <c r="I546" t="s">
        <v>1141</v>
      </c>
      <c r="J546">
        <v>8</v>
      </c>
      <c r="K546" s="2">
        <v>2817.15</v>
      </c>
      <c r="L546">
        <v>20</v>
      </c>
      <c r="M546" s="2">
        <v>18029.759999999998</v>
      </c>
      <c r="N546" s="2">
        <v>11285.77</v>
      </c>
      <c r="O546" s="2">
        <v>6743.99</v>
      </c>
      <c r="P546" t="s">
        <v>27</v>
      </c>
      <c r="Q546" t="s">
        <v>61</v>
      </c>
    </row>
    <row r="547" spans="1:17" x14ac:dyDescent="0.3">
      <c r="A547" t="s">
        <v>1142</v>
      </c>
      <c r="B547" s="1">
        <v>45695</v>
      </c>
      <c r="C547" t="s">
        <v>70</v>
      </c>
      <c r="D547" t="s">
        <v>75</v>
      </c>
      <c r="E547" t="s">
        <v>120</v>
      </c>
      <c r="F547" t="s">
        <v>31</v>
      </c>
      <c r="G547" t="s">
        <v>45</v>
      </c>
      <c r="H547" t="s">
        <v>67</v>
      </c>
      <c r="I547" t="s">
        <v>1143</v>
      </c>
      <c r="J547">
        <v>12</v>
      </c>
      <c r="K547" s="2">
        <v>310.95</v>
      </c>
      <c r="L547">
        <v>15</v>
      </c>
      <c r="M547" s="2">
        <v>3171.69</v>
      </c>
      <c r="N547" s="2">
        <v>2390.88</v>
      </c>
      <c r="O547" s="2">
        <v>780.81</v>
      </c>
      <c r="P547" t="s">
        <v>27</v>
      </c>
      <c r="Q547" t="s">
        <v>28</v>
      </c>
    </row>
    <row r="548" spans="1:17" x14ac:dyDescent="0.3">
      <c r="A548" t="s">
        <v>1144</v>
      </c>
      <c r="B548" s="1">
        <v>45708</v>
      </c>
      <c r="C548" t="s">
        <v>86</v>
      </c>
      <c r="D548" t="s">
        <v>87</v>
      </c>
      <c r="E548" t="s">
        <v>44</v>
      </c>
      <c r="F548" t="s">
        <v>23</v>
      </c>
      <c r="G548" t="s">
        <v>38</v>
      </c>
      <c r="H548" t="s">
        <v>91</v>
      </c>
      <c r="I548" t="s">
        <v>1145</v>
      </c>
      <c r="J548">
        <v>8</v>
      </c>
      <c r="K548" s="2">
        <v>4616.58</v>
      </c>
      <c r="L548">
        <v>0</v>
      </c>
      <c r="M548" s="2">
        <v>36932.639999999999</v>
      </c>
      <c r="N548" s="2">
        <v>21904.93</v>
      </c>
      <c r="O548" s="2">
        <v>15027.71</v>
      </c>
      <c r="P548" t="s">
        <v>48</v>
      </c>
      <c r="Q548" t="s">
        <v>49</v>
      </c>
    </row>
    <row r="549" spans="1:17" x14ac:dyDescent="0.3">
      <c r="A549" t="s">
        <v>1146</v>
      </c>
      <c r="B549" s="1">
        <v>45681</v>
      </c>
      <c r="C549" t="s">
        <v>86</v>
      </c>
      <c r="D549" t="s">
        <v>87</v>
      </c>
      <c r="E549" t="s">
        <v>113</v>
      </c>
      <c r="F549" t="s">
        <v>23</v>
      </c>
      <c r="G549" t="s">
        <v>24</v>
      </c>
      <c r="H549" t="s">
        <v>56</v>
      </c>
      <c r="I549" t="s">
        <v>1147</v>
      </c>
      <c r="J549">
        <v>5</v>
      </c>
      <c r="K549" s="2">
        <v>4546.04</v>
      </c>
      <c r="L549">
        <v>20</v>
      </c>
      <c r="M549" s="2">
        <v>18184.16</v>
      </c>
      <c r="N549" s="2">
        <v>10159.209999999999</v>
      </c>
      <c r="O549" s="2">
        <v>8024.95</v>
      </c>
      <c r="P549" t="s">
        <v>48</v>
      </c>
      <c r="Q549" t="s">
        <v>42</v>
      </c>
    </row>
    <row r="550" spans="1:17" x14ac:dyDescent="0.3">
      <c r="A550" t="s">
        <v>1148</v>
      </c>
      <c r="B550" s="1">
        <v>45753</v>
      </c>
      <c r="C550" t="s">
        <v>20</v>
      </c>
      <c r="D550" t="s">
        <v>55</v>
      </c>
      <c r="E550" t="s">
        <v>30</v>
      </c>
      <c r="F550" t="s">
        <v>23</v>
      </c>
      <c r="G550" t="s">
        <v>45</v>
      </c>
      <c r="H550" t="s">
        <v>123</v>
      </c>
      <c r="I550" t="s">
        <v>1149</v>
      </c>
      <c r="J550">
        <v>4</v>
      </c>
      <c r="K550" s="2">
        <v>2496.6999999999998</v>
      </c>
      <c r="L550">
        <v>10</v>
      </c>
      <c r="M550" s="2">
        <v>8988.1200000000008</v>
      </c>
      <c r="N550" s="2">
        <v>5220.8500000000004</v>
      </c>
      <c r="O550" s="2">
        <v>3767.27</v>
      </c>
      <c r="P550" t="s">
        <v>48</v>
      </c>
      <c r="Q550" t="s">
        <v>42</v>
      </c>
    </row>
    <row r="551" spans="1:17" x14ac:dyDescent="0.3">
      <c r="A551" t="s">
        <v>1150</v>
      </c>
      <c r="B551" s="1">
        <v>45736</v>
      </c>
      <c r="C551" t="s">
        <v>70</v>
      </c>
      <c r="D551" t="s">
        <v>71</v>
      </c>
      <c r="E551" t="s">
        <v>170</v>
      </c>
      <c r="F551" t="s">
        <v>23</v>
      </c>
      <c r="G551" t="s">
        <v>45</v>
      </c>
      <c r="H551" t="s">
        <v>67</v>
      </c>
      <c r="I551" t="s">
        <v>1151</v>
      </c>
      <c r="J551">
        <v>4</v>
      </c>
      <c r="K551" s="2">
        <v>3057.92</v>
      </c>
      <c r="L551">
        <v>5</v>
      </c>
      <c r="M551" s="2">
        <v>11620.1</v>
      </c>
      <c r="N551" s="2">
        <v>6462.33</v>
      </c>
      <c r="O551" s="2">
        <v>5157.7700000000004</v>
      </c>
      <c r="P551" t="s">
        <v>41</v>
      </c>
      <c r="Q551" t="s">
        <v>28</v>
      </c>
    </row>
    <row r="552" spans="1:17" x14ac:dyDescent="0.3">
      <c r="A552" t="s">
        <v>1152</v>
      </c>
      <c r="B552" s="1">
        <v>45948</v>
      </c>
      <c r="C552" t="s">
        <v>35</v>
      </c>
      <c r="D552" t="s">
        <v>59</v>
      </c>
      <c r="E552" t="s">
        <v>51</v>
      </c>
      <c r="F552" t="s">
        <v>23</v>
      </c>
      <c r="G552" t="s">
        <v>38</v>
      </c>
      <c r="H552" t="s">
        <v>39</v>
      </c>
      <c r="I552" t="s">
        <v>1153</v>
      </c>
      <c r="J552">
        <v>5</v>
      </c>
      <c r="K552" s="2">
        <v>3620.19</v>
      </c>
      <c r="L552">
        <v>10</v>
      </c>
      <c r="M552" s="2">
        <v>16290.86</v>
      </c>
      <c r="N552" s="2">
        <v>9264.18</v>
      </c>
      <c r="O552" s="2">
        <v>7026.68</v>
      </c>
      <c r="P552" t="s">
        <v>48</v>
      </c>
      <c r="Q552" t="s">
        <v>61</v>
      </c>
    </row>
    <row r="553" spans="1:17" x14ac:dyDescent="0.3">
      <c r="A553" t="s">
        <v>1154</v>
      </c>
      <c r="B553" s="1">
        <v>46186</v>
      </c>
      <c r="C553" t="s">
        <v>35</v>
      </c>
      <c r="D553" t="s">
        <v>59</v>
      </c>
      <c r="E553" t="s">
        <v>22</v>
      </c>
      <c r="F553" t="s">
        <v>37</v>
      </c>
      <c r="G553" t="s">
        <v>38</v>
      </c>
      <c r="H553" t="s">
        <v>91</v>
      </c>
      <c r="I553" t="s">
        <v>1155</v>
      </c>
      <c r="J553">
        <v>4</v>
      </c>
      <c r="K553" s="2">
        <v>1909.95</v>
      </c>
      <c r="L553">
        <v>10</v>
      </c>
      <c r="M553" s="2">
        <v>6875.82</v>
      </c>
      <c r="N553" s="2">
        <v>5233.3100000000004</v>
      </c>
      <c r="O553" s="2">
        <v>1642.51</v>
      </c>
      <c r="P553" t="s">
        <v>48</v>
      </c>
      <c r="Q553" t="s">
        <v>42</v>
      </c>
    </row>
    <row r="554" spans="1:17" x14ac:dyDescent="0.3">
      <c r="A554" t="s">
        <v>1156</v>
      </c>
      <c r="B554" s="1">
        <v>45986</v>
      </c>
      <c r="C554" t="s">
        <v>86</v>
      </c>
      <c r="D554" t="s">
        <v>87</v>
      </c>
      <c r="E554" t="s">
        <v>170</v>
      </c>
      <c r="F554" t="s">
        <v>37</v>
      </c>
      <c r="G554" t="s">
        <v>45</v>
      </c>
      <c r="H554" t="s">
        <v>123</v>
      </c>
      <c r="I554" t="s">
        <v>1157</v>
      </c>
      <c r="J554">
        <v>15</v>
      </c>
      <c r="K554" s="2">
        <v>2091.11</v>
      </c>
      <c r="L554">
        <v>20</v>
      </c>
      <c r="M554" s="2">
        <v>25093.32</v>
      </c>
      <c r="N554" s="2">
        <v>18770.009999999998</v>
      </c>
      <c r="O554" s="2">
        <v>6323.31</v>
      </c>
      <c r="P554" t="s">
        <v>48</v>
      </c>
      <c r="Q554" t="s">
        <v>61</v>
      </c>
    </row>
    <row r="555" spans="1:17" x14ac:dyDescent="0.3">
      <c r="A555" t="s">
        <v>1158</v>
      </c>
      <c r="B555" s="1">
        <v>45729</v>
      </c>
      <c r="C555" t="s">
        <v>86</v>
      </c>
      <c r="D555" t="s">
        <v>87</v>
      </c>
      <c r="E555" t="s">
        <v>113</v>
      </c>
      <c r="F555" t="s">
        <v>31</v>
      </c>
      <c r="G555" t="s">
        <v>38</v>
      </c>
      <c r="H555" t="s">
        <v>39</v>
      </c>
      <c r="I555" t="s">
        <v>1159</v>
      </c>
      <c r="J555">
        <v>4</v>
      </c>
      <c r="K555" s="2">
        <v>3277.44</v>
      </c>
      <c r="L555">
        <v>5</v>
      </c>
      <c r="M555" s="2">
        <v>12454.27</v>
      </c>
      <c r="N555" s="2">
        <v>8496.83</v>
      </c>
      <c r="O555" s="2">
        <v>3957.44</v>
      </c>
      <c r="P555" t="s">
        <v>48</v>
      </c>
      <c r="Q555" t="s">
        <v>28</v>
      </c>
    </row>
    <row r="556" spans="1:17" x14ac:dyDescent="0.3">
      <c r="A556" t="s">
        <v>1160</v>
      </c>
      <c r="B556" s="1">
        <v>45825</v>
      </c>
      <c r="C556" t="s">
        <v>20</v>
      </c>
      <c r="D556" t="s">
        <v>21</v>
      </c>
      <c r="E556" t="s">
        <v>66</v>
      </c>
      <c r="F556" t="s">
        <v>37</v>
      </c>
      <c r="G556" t="s">
        <v>38</v>
      </c>
      <c r="H556" t="s">
        <v>72</v>
      </c>
      <c r="I556" t="s">
        <v>1161</v>
      </c>
      <c r="J556">
        <v>8</v>
      </c>
      <c r="K556" s="2">
        <v>1018.18</v>
      </c>
      <c r="L556">
        <v>15</v>
      </c>
      <c r="M556" s="2">
        <v>6923.62</v>
      </c>
      <c r="N556" s="2">
        <v>4793.6000000000004</v>
      </c>
      <c r="O556" s="2">
        <v>2130.02</v>
      </c>
      <c r="P556" t="s">
        <v>27</v>
      </c>
      <c r="Q556" t="s">
        <v>42</v>
      </c>
    </row>
    <row r="557" spans="1:17" x14ac:dyDescent="0.3">
      <c r="A557" t="s">
        <v>1162</v>
      </c>
      <c r="B557" s="1">
        <v>45817</v>
      </c>
      <c r="C557" t="s">
        <v>86</v>
      </c>
      <c r="D557" t="s">
        <v>90</v>
      </c>
      <c r="E557" t="s">
        <v>66</v>
      </c>
      <c r="F557" t="s">
        <v>31</v>
      </c>
      <c r="G557" t="s">
        <v>24</v>
      </c>
      <c r="H557" t="s">
        <v>25</v>
      </c>
      <c r="I557" t="s">
        <v>1163</v>
      </c>
      <c r="J557">
        <v>12</v>
      </c>
      <c r="K557" s="2">
        <v>2809.73</v>
      </c>
      <c r="L557">
        <v>10</v>
      </c>
      <c r="M557" s="2">
        <v>30345.08</v>
      </c>
      <c r="N557" s="2">
        <v>18680.72</v>
      </c>
      <c r="O557" s="2">
        <v>11664.36</v>
      </c>
      <c r="P557" t="s">
        <v>41</v>
      </c>
      <c r="Q557" t="s">
        <v>42</v>
      </c>
    </row>
    <row r="558" spans="1:17" x14ac:dyDescent="0.3">
      <c r="A558" t="s">
        <v>1164</v>
      </c>
      <c r="B558" s="1">
        <v>46017</v>
      </c>
      <c r="C558" t="s">
        <v>86</v>
      </c>
      <c r="D558" t="s">
        <v>87</v>
      </c>
      <c r="E558" t="s">
        <v>170</v>
      </c>
      <c r="F558" t="s">
        <v>37</v>
      </c>
      <c r="G558" t="s">
        <v>38</v>
      </c>
      <c r="H558" t="s">
        <v>106</v>
      </c>
      <c r="I558" t="s">
        <v>1165</v>
      </c>
      <c r="J558">
        <v>13</v>
      </c>
      <c r="K558" s="2">
        <v>3905.35</v>
      </c>
      <c r="L558">
        <v>0</v>
      </c>
      <c r="M558" s="2">
        <v>50769.55</v>
      </c>
      <c r="N558" s="2">
        <v>29547.43</v>
      </c>
      <c r="O558" s="2">
        <v>21222.12</v>
      </c>
      <c r="P558" t="s">
        <v>41</v>
      </c>
      <c r="Q558" t="s">
        <v>28</v>
      </c>
    </row>
    <row r="559" spans="1:17" x14ac:dyDescent="0.3">
      <c r="A559" t="s">
        <v>1166</v>
      </c>
      <c r="B559" s="1">
        <v>45967</v>
      </c>
      <c r="C559" t="s">
        <v>86</v>
      </c>
      <c r="D559" t="s">
        <v>90</v>
      </c>
      <c r="E559" t="s">
        <v>30</v>
      </c>
      <c r="F559" t="s">
        <v>31</v>
      </c>
      <c r="G559" t="s">
        <v>45</v>
      </c>
      <c r="H559" t="s">
        <v>46</v>
      </c>
      <c r="I559" t="s">
        <v>1167</v>
      </c>
      <c r="J559">
        <v>11</v>
      </c>
      <c r="K559" s="2">
        <v>1490.27</v>
      </c>
      <c r="L559">
        <v>5</v>
      </c>
      <c r="M559" s="2">
        <v>15573.32</v>
      </c>
      <c r="N559" s="2">
        <v>9553.1299999999992</v>
      </c>
      <c r="O559" s="2">
        <v>6020.19</v>
      </c>
      <c r="P559" t="s">
        <v>48</v>
      </c>
      <c r="Q559" t="s">
        <v>49</v>
      </c>
    </row>
    <row r="560" spans="1:17" x14ac:dyDescent="0.3">
      <c r="A560" t="s">
        <v>1168</v>
      </c>
      <c r="B560" s="1">
        <v>46164</v>
      </c>
      <c r="C560" t="s">
        <v>20</v>
      </c>
      <c r="D560" t="s">
        <v>21</v>
      </c>
      <c r="E560" t="s">
        <v>66</v>
      </c>
      <c r="F560" t="s">
        <v>23</v>
      </c>
      <c r="G560" t="s">
        <v>45</v>
      </c>
      <c r="H560" t="s">
        <v>159</v>
      </c>
      <c r="I560" t="s">
        <v>1169</v>
      </c>
      <c r="J560">
        <v>15</v>
      </c>
      <c r="K560" s="2">
        <v>4315.8599999999997</v>
      </c>
      <c r="L560">
        <v>10</v>
      </c>
      <c r="M560" s="2">
        <v>58264.11</v>
      </c>
      <c r="N560" s="2">
        <v>37481.86</v>
      </c>
      <c r="O560" s="2">
        <v>20782.25</v>
      </c>
      <c r="P560" t="s">
        <v>27</v>
      </c>
      <c r="Q560" t="s">
        <v>28</v>
      </c>
    </row>
    <row r="561" spans="1:17" x14ac:dyDescent="0.3">
      <c r="A561" t="s">
        <v>1170</v>
      </c>
      <c r="B561" s="1">
        <v>46003</v>
      </c>
      <c r="C561" t="s">
        <v>20</v>
      </c>
      <c r="D561" t="s">
        <v>21</v>
      </c>
      <c r="E561" t="s">
        <v>22</v>
      </c>
      <c r="F561" t="s">
        <v>31</v>
      </c>
      <c r="G561" t="s">
        <v>38</v>
      </c>
      <c r="H561" t="s">
        <v>72</v>
      </c>
      <c r="I561" t="s">
        <v>1171</v>
      </c>
      <c r="J561">
        <v>1</v>
      </c>
      <c r="K561" s="2">
        <v>3028.46</v>
      </c>
      <c r="L561">
        <v>0</v>
      </c>
      <c r="M561" s="2">
        <v>3028.46</v>
      </c>
      <c r="N561" s="2">
        <v>1679.58</v>
      </c>
      <c r="O561" s="2">
        <v>1348.88</v>
      </c>
      <c r="P561" t="s">
        <v>27</v>
      </c>
      <c r="Q561" t="s">
        <v>28</v>
      </c>
    </row>
    <row r="562" spans="1:17" x14ac:dyDescent="0.3">
      <c r="A562" t="s">
        <v>1172</v>
      </c>
      <c r="B562" s="1">
        <v>45699</v>
      </c>
      <c r="C562" t="s">
        <v>86</v>
      </c>
      <c r="D562" t="s">
        <v>90</v>
      </c>
      <c r="E562" t="s">
        <v>170</v>
      </c>
      <c r="F562" t="s">
        <v>23</v>
      </c>
      <c r="G562" t="s">
        <v>45</v>
      </c>
      <c r="H562" t="s">
        <v>46</v>
      </c>
      <c r="I562" t="s">
        <v>1173</v>
      </c>
      <c r="J562">
        <v>11</v>
      </c>
      <c r="K562" s="2">
        <v>2211.58</v>
      </c>
      <c r="L562">
        <v>20</v>
      </c>
      <c r="M562" s="2">
        <v>19461.900000000001</v>
      </c>
      <c r="N562" s="2">
        <v>14721.47</v>
      </c>
      <c r="O562" s="2">
        <v>4740.43</v>
      </c>
      <c r="P562" t="s">
        <v>27</v>
      </c>
      <c r="Q562" t="s">
        <v>42</v>
      </c>
    </row>
    <row r="563" spans="1:17" x14ac:dyDescent="0.3">
      <c r="A563" t="s">
        <v>1174</v>
      </c>
      <c r="B563" s="1">
        <v>46026</v>
      </c>
      <c r="C563" t="s">
        <v>70</v>
      </c>
      <c r="D563" t="s">
        <v>71</v>
      </c>
      <c r="E563" t="s">
        <v>66</v>
      </c>
      <c r="F563" t="s">
        <v>23</v>
      </c>
      <c r="G563" t="s">
        <v>24</v>
      </c>
      <c r="H563" t="s">
        <v>32</v>
      </c>
      <c r="I563" t="s">
        <v>1175</v>
      </c>
      <c r="J563">
        <v>5</v>
      </c>
      <c r="K563" s="2">
        <v>1723.27</v>
      </c>
      <c r="L563">
        <v>15</v>
      </c>
      <c r="M563" s="2">
        <v>7323.9</v>
      </c>
      <c r="N563" s="2">
        <v>4311.29</v>
      </c>
      <c r="O563" s="2">
        <v>3012.61</v>
      </c>
      <c r="P563" t="s">
        <v>48</v>
      </c>
      <c r="Q563" t="s">
        <v>28</v>
      </c>
    </row>
    <row r="564" spans="1:17" x14ac:dyDescent="0.3">
      <c r="A564" t="s">
        <v>1176</v>
      </c>
      <c r="B564" s="1">
        <v>45885</v>
      </c>
      <c r="C564" t="s">
        <v>35</v>
      </c>
      <c r="D564" t="s">
        <v>36</v>
      </c>
      <c r="E564" t="s">
        <v>66</v>
      </c>
      <c r="F564" t="s">
        <v>37</v>
      </c>
      <c r="G564" t="s">
        <v>38</v>
      </c>
      <c r="H564" t="s">
        <v>63</v>
      </c>
      <c r="I564" t="s">
        <v>1177</v>
      </c>
      <c r="J564">
        <v>3</v>
      </c>
      <c r="K564" s="2">
        <v>1375.02</v>
      </c>
      <c r="L564">
        <v>20</v>
      </c>
      <c r="M564" s="2">
        <v>3300.05</v>
      </c>
      <c r="N564" s="2">
        <v>2553.9699999999998</v>
      </c>
      <c r="O564" s="2">
        <v>746.08</v>
      </c>
      <c r="P564" t="s">
        <v>41</v>
      </c>
      <c r="Q564" t="s">
        <v>49</v>
      </c>
    </row>
    <row r="565" spans="1:17" x14ac:dyDescent="0.3">
      <c r="A565" t="s">
        <v>1178</v>
      </c>
      <c r="B565" s="1">
        <v>46101</v>
      </c>
      <c r="C565" t="s">
        <v>70</v>
      </c>
      <c r="D565" t="s">
        <v>75</v>
      </c>
      <c r="E565" t="s">
        <v>113</v>
      </c>
      <c r="F565" t="s">
        <v>31</v>
      </c>
      <c r="G565" t="s">
        <v>45</v>
      </c>
      <c r="H565" t="s">
        <v>67</v>
      </c>
      <c r="I565" t="s">
        <v>1179</v>
      </c>
      <c r="J565">
        <v>3</v>
      </c>
      <c r="K565" s="2">
        <v>4699.3500000000004</v>
      </c>
      <c r="L565">
        <v>15</v>
      </c>
      <c r="M565" s="2">
        <v>11983.34</v>
      </c>
      <c r="N565" s="2">
        <v>7477.64</v>
      </c>
      <c r="O565" s="2">
        <v>4505.7</v>
      </c>
      <c r="P565" t="s">
        <v>27</v>
      </c>
      <c r="Q565" t="s">
        <v>49</v>
      </c>
    </row>
    <row r="566" spans="1:17" x14ac:dyDescent="0.3">
      <c r="A566" t="s">
        <v>1180</v>
      </c>
      <c r="B566" s="1">
        <v>45776</v>
      </c>
      <c r="C566" t="s">
        <v>20</v>
      </c>
      <c r="D566" t="s">
        <v>21</v>
      </c>
      <c r="E566" t="s">
        <v>170</v>
      </c>
      <c r="F566" t="s">
        <v>31</v>
      </c>
      <c r="G566" t="s">
        <v>38</v>
      </c>
      <c r="H566" t="s">
        <v>63</v>
      </c>
      <c r="I566" t="s">
        <v>1181</v>
      </c>
      <c r="J566">
        <v>6</v>
      </c>
      <c r="K566" s="2">
        <v>519.87</v>
      </c>
      <c r="L566">
        <v>20</v>
      </c>
      <c r="M566" s="2">
        <v>2495.38</v>
      </c>
      <c r="N566" s="2">
        <v>1998.98</v>
      </c>
      <c r="O566" s="2">
        <v>496.4</v>
      </c>
      <c r="P566" t="s">
        <v>48</v>
      </c>
      <c r="Q566" t="s">
        <v>49</v>
      </c>
    </row>
    <row r="567" spans="1:17" x14ac:dyDescent="0.3">
      <c r="A567" t="s">
        <v>1182</v>
      </c>
      <c r="B567" s="1">
        <v>46203</v>
      </c>
      <c r="C567" t="s">
        <v>35</v>
      </c>
      <c r="D567" t="s">
        <v>59</v>
      </c>
      <c r="E567" t="s">
        <v>22</v>
      </c>
      <c r="F567" t="s">
        <v>23</v>
      </c>
      <c r="G567" t="s">
        <v>24</v>
      </c>
      <c r="H567" t="s">
        <v>171</v>
      </c>
      <c r="I567" t="s">
        <v>1183</v>
      </c>
      <c r="J567">
        <v>9</v>
      </c>
      <c r="K567" s="2">
        <v>3551.77</v>
      </c>
      <c r="L567">
        <v>15</v>
      </c>
      <c r="M567" s="2">
        <v>27171.040000000001</v>
      </c>
      <c r="N567" s="2">
        <v>21956.16</v>
      </c>
      <c r="O567" s="2">
        <v>5214.88</v>
      </c>
      <c r="P567" t="s">
        <v>41</v>
      </c>
      <c r="Q567" t="s">
        <v>42</v>
      </c>
    </row>
    <row r="568" spans="1:17" x14ac:dyDescent="0.3">
      <c r="A568" t="s">
        <v>1184</v>
      </c>
      <c r="B568" s="1">
        <v>45844</v>
      </c>
      <c r="C568" t="s">
        <v>70</v>
      </c>
      <c r="D568" t="s">
        <v>71</v>
      </c>
      <c r="E568" t="s">
        <v>51</v>
      </c>
      <c r="F568" t="s">
        <v>31</v>
      </c>
      <c r="G568" t="s">
        <v>24</v>
      </c>
      <c r="H568" t="s">
        <v>56</v>
      </c>
      <c r="I568" t="s">
        <v>1185</v>
      </c>
      <c r="J568">
        <v>7</v>
      </c>
      <c r="K568" s="2">
        <v>2588.41</v>
      </c>
      <c r="L568">
        <v>15</v>
      </c>
      <c r="M568" s="2">
        <v>15401.04</v>
      </c>
      <c r="N568" s="2">
        <v>12068.67</v>
      </c>
      <c r="O568" s="2">
        <v>3332.37</v>
      </c>
      <c r="P568" t="s">
        <v>48</v>
      </c>
      <c r="Q568" t="s">
        <v>49</v>
      </c>
    </row>
    <row r="569" spans="1:17" x14ac:dyDescent="0.3">
      <c r="A569" t="s">
        <v>1186</v>
      </c>
      <c r="B569" s="1">
        <v>46040</v>
      </c>
      <c r="C569" t="s">
        <v>20</v>
      </c>
      <c r="D569" t="s">
        <v>55</v>
      </c>
      <c r="E569" t="s">
        <v>113</v>
      </c>
      <c r="F569" t="s">
        <v>37</v>
      </c>
      <c r="G569" t="s">
        <v>24</v>
      </c>
      <c r="H569" t="s">
        <v>171</v>
      </c>
      <c r="I569" t="s">
        <v>1187</v>
      </c>
      <c r="J569">
        <v>8</v>
      </c>
      <c r="K569" s="2">
        <v>3612.76</v>
      </c>
      <c r="L569">
        <v>15</v>
      </c>
      <c r="M569" s="2">
        <v>24566.77</v>
      </c>
      <c r="N569" s="2">
        <v>15657.97</v>
      </c>
      <c r="O569" s="2">
        <v>8908.7999999999993</v>
      </c>
      <c r="P569" t="s">
        <v>41</v>
      </c>
      <c r="Q569" t="s">
        <v>61</v>
      </c>
    </row>
    <row r="570" spans="1:17" x14ac:dyDescent="0.3">
      <c r="A570" t="s">
        <v>1188</v>
      </c>
      <c r="B570" s="1">
        <v>45958</v>
      </c>
      <c r="C570" t="s">
        <v>20</v>
      </c>
      <c r="D570" t="s">
        <v>21</v>
      </c>
      <c r="E570" t="s">
        <v>51</v>
      </c>
      <c r="F570" t="s">
        <v>23</v>
      </c>
      <c r="G570" t="s">
        <v>38</v>
      </c>
      <c r="H570" t="s">
        <v>72</v>
      </c>
      <c r="I570" t="s">
        <v>1189</v>
      </c>
      <c r="J570">
        <v>4</v>
      </c>
      <c r="K570" s="2">
        <v>822.78</v>
      </c>
      <c r="L570">
        <v>20</v>
      </c>
      <c r="M570" s="2">
        <v>2632.9</v>
      </c>
      <c r="N570" s="2">
        <v>1525.58</v>
      </c>
      <c r="O570" s="2">
        <v>1107.32</v>
      </c>
      <c r="P570" t="s">
        <v>41</v>
      </c>
      <c r="Q570" t="s">
        <v>61</v>
      </c>
    </row>
    <row r="571" spans="1:17" x14ac:dyDescent="0.3">
      <c r="A571" t="s">
        <v>1190</v>
      </c>
      <c r="B571" s="1">
        <v>45902</v>
      </c>
      <c r="C571" t="s">
        <v>86</v>
      </c>
      <c r="D571" t="s">
        <v>87</v>
      </c>
      <c r="E571" t="s">
        <v>66</v>
      </c>
      <c r="F571" t="s">
        <v>37</v>
      </c>
      <c r="G571" t="s">
        <v>24</v>
      </c>
      <c r="H571" t="s">
        <v>134</v>
      </c>
      <c r="I571" t="s">
        <v>1191</v>
      </c>
      <c r="J571">
        <v>8</v>
      </c>
      <c r="K571" s="2">
        <v>4742.8</v>
      </c>
      <c r="L571">
        <v>15</v>
      </c>
      <c r="M571" s="2">
        <v>32251.040000000001</v>
      </c>
      <c r="N571" s="2">
        <v>24546.97</v>
      </c>
      <c r="O571" s="2">
        <v>7704.07</v>
      </c>
      <c r="P571" t="s">
        <v>48</v>
      </c>
      <c r="Q571" t="s">
        <v>28</v>
      </c>
    </row>
    <row r="572" spans="1:17" x14ac:dyDescent="0.3">
      <c r="A572" t="s">
        <v>1192</v>
      </c>
      <c r="B572" s="1">
        <v>46022</v>
      </c>
      <c r="C572" t="s">
        <v>70</v>
      </c>
      <c r="D572" t="s">
        <v>71</v>
      </c>
      <c r="E572" t="s">
        <v>66</v>
      </c>
      <c r="F572" t="s">
        <v>23</v>
      </c>
      <c r="G572" t="s">
        <v>38</v>
      </c>
      <c r="H572" t="s">
        <v>106</v>
      </c>
      <c r="I572" t="s">
        <v>1193</v>
      </c>
      <c r="J572">
        <v>12</v>
      </c>
      <c r="K572" s="2">
        <v>3477.69</v>
      </c>
      <c r="L572">
        <v>15</v>
      </c>
      <c r="M572" s="2">
        <v>35472.44</v>
      </c>
      <c r="N572" s="2">
        <v>20973.11</v>
      </c>
      <c r="O572" s="2">
        <v>14499.33</v>
      </c>
      <c r="P572" t="s">
        <v>41</v>
      </c>
      <c r="Q572" t="s">
        <v>42</v>
      </c>
    </row>
    <row r="573" spans="1:17" x14ac:dyDescent="0.3">
      <c r="A573" t="s">
        <v>1194</v>
      </c>
      <c r="B573" s="1">
        <v>46096</v>
      </c>
      <c r="C573" t="s">
        <v>35</v>
      </c>
      <c r="D573" t="s">
        <v>36</v>
      </c>
      <c r="E573" t="s">
        <v>30</v>
      </c>
      <c r="F573" t="s">
        <v>37</v>
      </c>
      <c r="G573" t="s">
        <v>38</v>
      </c>
      <c r="H573" t="s">
        <v>72</v>
      </c>
      <c r="I573" t="s">
        <v>1195</v>
      </c>
      <c r="J573">
        <v>13</v>
      </c>
      <c r="K573" s="2">
        <v>4276.16</v>
      </c>
      <c r="L573">
        <v>20</v>
      </c>
      <c r="M573" s="2">
        <v>44472.06</v>
      </c>
      <c r="N573" s="2">
        <v>31372.05</v>
      </c>
      <c r="O573" s="2">
        <v>13100.01</v>
      </c>
      <c r="P573" t="s">
        <v>48</v>
      </c>
      <c r="Q573" t="s">
        <v>49</v>
      </c>
    </row>
    <row r="574" spans="1:17" x14ac:dyDescent="0.3">
      <c r="A574" t="s">
        <v>1196</v>
      </c>
      <c r="B574" s="1">
        <v>45939</v>
      </c>
      <c r="C574" t="s">
        <v>70</v>
      </c>
      <c r="D574" t="s">
        <v>71</v>
      </c>
      <c r="E574" t="s">
        <v>22</v>
      </c>
      <c r="F574" t="s">
        <v>37</v>
      </c>
      <c r="G574" t="s">
        <v>45</v>
      </c>
      <c r="H574" t="s">
        <v>159</v>
      </c>
      <c r="I574" t="s">
        <v>1197</v>
      </c>
      <c r="J574">
        <v>3</v>
      </c>
      <c r="K574" s="2">
        <v>4160.55</v>
      </c>
      <c r="L574">
        <v>20</v>
      </c>
      <c r="M574" s="2">
        <v>9985.32</v>
      </c>
      <c r="N574" s="2">
        <v>7455.24</v>
      </c>
      <c r="O574" s="2">
        <v>2530.08</v>
      </c>
      <c r="P574" t="s">
        <v>41</v>
      </c>
      <c r="Q574" t="s">
        <v>61</v>
      </c>
    </row>
    <row r="575" spans="1:17" x14ac:dyDescent="0.3">
      <c r="A575" t="s">
        <v>1198</v>
      </c>
      <c r="B575" s="1">
        <v>46096</v>
      </c>
      <c r="C575" t="s">
        <v>86</v>
      </c>
      <c r="D575" t="s">
        <v>87</v>
      </c>
      <c r="E575" t="s">
        <v>44</v>
      </c>
      <c r="F575" t="s">
        <v>23</v>
      </c>
      <c r="G575" t="s">
        <v>38</v>
      </c>
      <c r="H575" t="s">
        <v>63</v>
      </c>
      <c r="I575" t="s">
        <v>82</v>
      </c>
      <c r="J575">
        <v>1</v>
      </c>
      <c r="K575" s="2">
        <v>3693.58</v>
      </c>
      <c r="L575">
        <v>10</v>
      </c>
      <c r="M575" s="2">
        <v>3324.22</v>
      </c>
      <c r="N575" s="2">
        <v>2051.77</v>
      </c>
      <c r="O575" s="2">
        <v>1272.45</v>
      </c>
      <c r="P575" t="s">
        <v>48</v>
      </c>
      <c r="Q575" t="s">
        <v>49</v>
      </c>
    </row>
    <row r="576" spans="1:17" x14ac:dyDescent="0.3">
      <c r="A576" t="s">
        <v>1199</v>
      </c>
      <c r="B576" s="1">
        <v>46131</v>
      </c>
      <c r="C576" t="s">
        <v>20</v>
      </c>
      <c r="D576" t="s">
        <v>55</v>
      </c>
      <c r="E576" t="s">
        <v>22</v>
      </c>
      <c r="F576" t="s">
        <v>23</v>
      </c>
      <c r="G576" t="s">
        <v>38</v>
      </c>
      <c r="H576" t="s">
        <v>91</v>
      </c>
      <c r="I576" t="s">
        <v>1200</v>
      </c>
      <c r="J576">
        <v>15</v>
      </c>
      <c r="K576" s="2">
        <v>3251.79</v>
      </c>
      <c r="L576">
        <v>10</v>
      </c>
      <c r="M576" s="2">
        <v>43899.17</v>
      </c>
      <c r="N576" s="2">
        <v>27292.06</v>
      </c>
      <c r="O576" s="2">
        <v>16607.11</v>
      </c>
      <c r="P576" t="s">
        <v>27</v>
      </c>
      <c r="Q576" t="s">
        <v>28</v>
      </c>
    </row>
    <row r="577" spans="1:17" x14ac:dyDescent="0.3">
      <c r="A577" t="s">
        <v>1201</v>
      </c>
      <c r="B577" s="1">
        <v>46178</v>
      </c>
      <c r="C577" t="s">
        <v>86</v>
      </c>
      <c r="D577" t="s">
        <v>90</v>
      </c>
      <c r="E577" t="s">
        <v>51</v>
      </c>
      <c r="F577" t="s">
        <v>23</v>
      </c>
      <c r="G577" t="s">
        <v>45</v>
      </c>
      <c r="H577" t="s">
        <v>67</v>
      </c>
      <c r="I577" t="s">
        <v>1202</v>
      </c>
      <c r="J577">
        <v>3</v>
      </c>
      <c r="K577" s="2">
        <v>1886.34</v>
      </c>
      <c r="L577">
        <v>20</v>
      </c>
      <c r="M577" s="2">
        <v>4527.22</v>
      </c>
      <c r="N577" s="2">
        <v>3094.79</v>
      </c>
      <c r="O577" s="2">
        <v>1432.43</v>
      </c>
      <c r="P577" t="s">
        <v>48</v>
      </c>
      <c r="Q577" t="s">
        <v>61</v>
      </c>
    </row>
    <row r="578" spans="1:17" x14ac:dyDescent="0.3">
      <c r="A578" t="s">
        <v>1203</v>
      </c>
      <c r="B578" s="1">
        <v>45914</v>
      </c>
      <c r="C578" t="s">
        <v>86</v>
      </c>
      <c r="D578" t="s">
        <v>90</v>
      </c>
      <c r="E578" t="s">
        <v>113</v>
      </c>
      <c r="F578" t="s">
        <v>23</v>
      </c>
      <c r="G578" t="s">
        <v>24</v>
      </c>
      <c r="H578" t="s">
        <v>25</v>
      </c>
      <c r="I578" t="s">
        <v>1204</v>
      </c>
      <c r="J578">
        <v>10</v>
      </c>
      <c r="K578" s="2">
        <v>4066.21</v>
      </c>
      <c r="L578">
        <v>0</v>
      </c>
      <c r="M578" s="2">
        <v>40662.1</v>
      </c>
      <c r="N578" s="2">
        <v>22712.83</v>
      </c>
      <c r="O578" s="2">
        <v>17949.27</v>
      </c>
      <c r="P578" t="s">
        <v>48</v>
      </c>
      <c r="Q578" t="s">
        <v>42</v>
      </c>
    </row>
    <row r="579" spans="1:17" x14ac:dyDescent="0.3">
      <c r="A579" t="s">
        <v>1205</v>
      </c>
      <c r="B579" s="1">
        <v>45658</v>
      </c>
      <c r="C579" t="s">
        <v>86</v>
      </c>
      <c r="D579" t="s">
        <v>87</v>
      </c>
      <c r="E579" t="s">
        <v>113</v>
      </c>
      <c r="F579" t="s">
        <v>23</v>
      </c>
      <c r="G579" t="s">
        <v>45</v>
      </c>
      <c r="H579" t="s">
        <v>67</v>
      </c>
      <c r="I579" t="s">
        <v>1206</v>
      </c>
      <c r="J579">
        <v>15</v>
      </c>
      <c r="K579" s="2">
        <v>2482.91</v>
      </c>
      <c r="L579">
        <v>15</v>
      </c>
      <c r="M579" s="2">
        <v>31657.1</v>
      </c>
      <c r="N579" s="2">
        <v>20666.169999999998</v>
      </c>
      <c r="O579" s="2">
        <v>10990.93</v>
      </c>
      <c r="P579" t="s">
        <v>48</v>
      </c>
      <c r="Q579" t="s">
        <v>49</v>
      </c>
    </row>
    <row r="580" spans="1:17" x14ac:dyDescent="0.3">
      <c r="A580" t="s">
        <v>1207</v>
      </c>
      <c r="B580" s="1">
        <v>46004</v>
      </c>
      <c r="C580" t="s">
        <v>70</v>
      </c>
      <c r="D580" t="s">
        <v>75</v>
      </c>
      <c r="E580" t="s">
        <v>30</v>
      </c>
      <c r="F580" t="s">
        <v>31</v>
      </c>
      <c r="G580" t="s">
        <v>24</v>
      </c>
      <c r="H580" t="s">
        <v>171</v>
      </c>
      <c r="I580" t="s">
        <v>1208</v>
      </c>
      <c r="J580">
        <v>5</v>
      </c>
      <c r="K580" s="2">
        <v>371.74</v>
      </c>
      <c r="L580">
        <v>5</v>
      </c>
      <c r="M580" s="2">
        <v>1765.76</v>
      </c>
      <c r="N580" s="2">
        <v>1084.56</v>
      </c>
      <c r="O580" s="2">
        <v>681.2</v>
      </c>
      <c r="P580" t="s">
        <v>41</v>
      </c>
      <c r="Q580" t="s">
        <v>28</v>
      </c>
    </row>
    <row r="581" spans="1:17" x14ac:dyDescent="0.3">
      <c r="A581" t="s">
        <v>1209</v>
      </c>
      <c r="B581" s="1">
        <v>45794</v>
      </c>
      <c r="C581" t="s">
        <v>86</v>
      </c>
      <c r="D581" t="s">
        <v>90</v>
      </c>
      <c r="E581" t="s">
        <v>44</v>
      </c>
      <c r="F581" t="s">
        <v>23</v>
      </c>
      <c r="G581" t="s">
        <v>24</v>
      </c>
      <c r="H581" t="s">
        <v>171</v>
      </c>
      <c r="I581" t="s">
        <v>1210</v>
      </c>
      <c r="J581">
        <v>7</v>
      </c>
      <c r="K581" s="2">
        <v>407.62</v>
      </c>
      <c r="L581">
        <v>5</v>
      </c>
      <c r="M581" s="2">
        <v>2710.67</v>
      </c>
      <c r="N581" s="2">
        <v>1615</v>
      </c>
      <c r="O581" s="2">
        <v>1095.67</v>
      </c>
      <c r="P581" t="s">
        <v>48</v>
      </c>
      <c r="Q581" t="s">
        <v>61</v>
      </c>
    </row>
    <row r="582" spans="1:17" x14ac:dyDescent="0.3">
      <c r="A582" t="s">
        <v>1211</v>
      </c>
      <c r="B582" s="1">
        <v>45856</v>
      </c>
      <c r="C582" t="s">
        <v>86</v>
      </c>
      <c r="D582" t="s">
        <v>90</v>
      </c>
      <c r="E582" t="s">
        <v>66</v>
      </c>
      <c r="F582" t="s">
        <v>31</v>
      </c>
      <c r="G582" t="s">
        <v>38</v>
      </c>
      <c r="H582" t="s">
        <v>72</v>
      </c>
      <c r="I582" t="s">
        <v>1212</v>
      </c>
      <c r="J582">
        <v>6</v>
      </c>
      <c r="K582" s="2">
        <v>3808</v>
      </c>
      <c r="L582">
        <v>15</v>
      </c>
      <c r="M582" s="2">
        <v>19420.8</v>
      </c>
      <c r="N582" s="2">
        <v>11004.32</v>
      </c>
      <c r="O582" s="2">
        <v>8416.48</v>
      </c>
      <c r="P582" t="s">
        <v>48</v>
      </c>
      <c r="Q582" t="s">
        <v>49</v>
      </c>
    </row>
    <row r="583" spans="1:17" x14ac:dyDescent="0.3">
      <c r="A583" t="s">
        <v>1213</v>
      </c>
      <c r="B583" s="1">
        <v>45885</v>
      </c>
      <c r="C583" t="s">
        <v>20</v>
      </c>
      <c r="D583" t="s">
        <v>55</v>
      </c>
      <c r="E583" t="s">
        <v>30</v>
      </c>
      <c r="F583" t="s">
        <v>31</v>
      </c>
      <c r="G583" t="s">
        <v>38</v>
      </c>
      <c r="H583" t="s">
        <v>106</v>
      </c>
      <c r="I583" t="s">
        <v>1214</v>
      </c>
      <c r="J583">
        <v>4</v>
      </c>
      <c r="K583" s="2">
        <v>1275.0899999999999</v>
      </c>
      <c r="L583">
        <v>5</v>
      </c>
      <c r="M583" s="2">
        <v>4845.34</v>
      </c>
      <c r="N583" s="2">
        <v>3538.89</v>
      </c>
      <c r="O583" s="2">
        <v>1306.45</v>
      </c>
      <c r="P583" t="s">
        <v>27</v>
      </c>
      <c r="Q583" t="s">
        <v>49</v>
      </c>
    </row>
    <row r="584" spans="1:17" x14ac:dyDescent="0.3">
      <c r="A584" t="s">
        <v>1215</v>
      </c>
      <c r="B584" s="1">
        <v>45894</v>
      </c>
      <c r="C584" t="s">
        <v>35</v>
      </c>
      <c r="D584" t="s">
        <v>59</v>
      </c>
      <c r="E584" t="s">
        <v>22</v>
      </c>
      <c r="F584" t="s">
        <v>23</v>
      </c>
      <c r="G584" t="s">
        <v>45</v>
      </c>
      <c r="H584" t="s">
        <v>123</v>
      </c>
      <c r="I584" t="s">
        <v>1216</v>
      </c>
      <c r="J584">
        <v>3</v>
      </c>
      <c r="K584" s="2">
        <v>1597.7</v>
      </c>
      <c r="L584">
        <v>5</v>
      </c>
      <c r="M584" s="2">
        <v>4553.4399999999996</v>
      </c>
      <c r="N584" s="2">
        <v>2585.77</v>
      </c>
      <c r="O584" s="2">
        <v>1967.67</v>
      </c>
      <c r="P584" t="s">
        <v>48</v>
      </c>
      <c r="Q584" t="s">
        <v>28</v>
      </c>
    </row>
    <row r="585" spans="1:17" x14ac:dyDescent="0.3">
      <c r="A585" t="s">
        <v>1217</v>
      </c>
      <c r="B585" s="1">
        <v>45891</v>
      </c>
      <c r="C585" t="s">
        <v>86</v>
      </c>
      <c r="D585" t="s">
        <v>90</v>
      </c>
      <c r="E585" t="s">
        <v>44</v>
      </c>
      <c r="F585" t="s">
        <v>37</v>
      </c>
      <c r="G585" t="s">
        <v>38</v>
      </c>
      <c r="H585" t="s">
        <v>91</v>
      </c>
      <c r="I585" t="s">
        <v>1218</v>
      </c>
      <c r="J585">
        <v>3</v>
      </c>
      <c r="K585" s="2">
        <v>4034.23</v>
      </c>
      <c r="L585">
        <v>0</v>
      </c>
      <c r="M585" s="2">
        <v>12102.69</v>
      </c>
      <c r="N585" s="2">
        <v>9422.15</v>
      </c>
      <c r="O585" s="2">
        <v>2680.54</v>
      </c>
      <c r="P585" t="s">
        <v>48</v>
      </c>
      <c r="Q585" t="s">
        <v>28</v>
      </c>
    </row>
    <row r="586" spans="1:17" x14ac:dyDescent="0.3">
      <c r="A586" t="s">
        <v>1219</v>
      </c>
      <c r="B586" s="1">
        <v>46009</v>
      </c>
      <c r="C586" t="s">
        <v>20</v>
      </c>
      <c r="D586" t="s">
        <v>55</v>
      </c>
      <c r="E586" t="s">
        <v>66</v>
      </c>
      <c r="F586" t="s">
        <v>31</v>
      </c>
      <c r="G586" t="s">
        <v>38</v>
      </c>
      <c r="H586" t="s">
        <v>106</v>
      </c>
      <c r="I586" t="s">
        <v>1220</v>
      </c>
      <c r="J586">
        <v>7</v>
      </c>
      <c r="K586" s="2">
        <v>1644.52</v>
      </c>
      <c r="L586">
        <v>15</v>
      </c>
      <c r="M586" s="2">
        <v>9784.89</v>
      </c>
      <c r="N586" s="2">
        <v>6898.24</v>
      </c>
      <c r="O586" s="2">
        <v>2886.65</v>
      </c>
      <c r="P586" t="s">
        <v>41</v>
      </c>
      <c r="Q586" t="s">
        <v>61</v>
      </c>
    </row>
    <row r="587" spans="1:17" x14ac:dyDescent="0.3">
      <c r="A587" t="s">
        <v>1221</v>
      </c>
      <c r="B587" s="1">
        <v>46105</v>
      </c>
      <c r="C587" t="s">
        <v>70</v>
      </c>
      <c r="D587" t="s">
        <v>75</v>
      </c>
      <c r="E587" t="s">
        <v>120</v>
      </c>
      <c r="F587" t="s">
        <v>31</v>
      </c>
      <c r="G587" t="s">
        <v>45</v>
      </c>
      <c r="H587" t="s">
        <v>159</v>
      </c>
      <c r="I587" t="s">
        <v>1222</v>
      </c>
      <c r="J587">
        <v>15</v>
      </c>
      <c r="K587" s="2">
        <v>4446.4399999999996</v>
      </c>
      <c r="L587">
        <v>5</v>
      </c>
      <c r="M587" s="2">
        <v>63361.77</v>
      </c>
      <c r="N587" s="2">
        <v>39953.96</v>
      </c>
      <c r="O587" s="2">
        <v>23407.81</v>
      </c>
      <c r="P587" t="s">
        <v>41</v>
      </c>
      <c r="Q587" t="s">
        <v>61</v>
      </c>
    </row>
    <row r="588" spans="1:17" x14ac:dyDescent="0.3">
      <c r="A588" t="s">
        <v>1223</v>
      </c>
      <c r="B588" s="1">
        <v>46169</v>
      </c>
      <c r="C588" t="s">
        <v>35</v>
      </c>
      <c r="D588" t="s">
        <v>59</v>
      </c>
      <c r="E588" t="s">
        <v>44</v>
      </c>
      <c r="F588" t="s">
        <v>37</v>
      </c>
      <c r="G588" t="s">
        <v>24</v>
      </c>
      <c r="H588" t="s">
        <v>32</v>
      </c>
      <c r="I588" t="s">
        <v>1224</v>
      </c>
      <c r="J588">
        <v>13</v>
      </c>
      <c r="K588" s="2">
        <v>4730.75</v>
      </c>
      <c r="L588">
        <v>15</v>
      </c>
      <c r="M588" s="2">
        <v>52274.79</v>
      </c>
      <c r="N588" s="2">
        <v>37583.31</v>
      </c>
      <c r="O588" s="2">
        <v>14691.48</v>
      </c>
      <c r="P588" t="s">
        <v>41</v>
      </c>
      <c r="Q588" t="s">
        <v>49</v>
      </c>
    </row>
    <row r="589" spans="1:17" x14ac:dyDescent="0.3">
      <c r="A589" t="s">
        <v>1225</v>
      </c>
      <c r="B589" s="1">
        <v>46085</v>
      </c>
      <c r="C589" t="s">
        <v>20</v>
      </c>
      <c r="D589" t="s">
        <v>21</v>
      </c>
      <c r="E589" t="s">
        <v>113</v>
      </c>
      <c r="F589" t="s">
        <v>31</v>
      </c>
      <c r="G589" t="s">
        <v>38</v>
      </c>
      <c r="H589" t="s">
        <v>91</v>
      </c>
      <c r="I589" t="s">
        <v>1226</v>
      </c>
      <c r="J589">
        <v>14</v>
      </c>
      <c r="K589" s="2">
        <v>3585.11</v>
      </c>
      <c r="L589">
        <v>10</v>
      </c>
      <c r="M589" s="2">
        <v>45172.39</v>
      </c>
      <c r="N589" s="2">
        <v>34495.5</v>
      </c>
      <c r="O589" s="2">
        <v>10676.89</v>
      </c>
      <c r="P589" t="s">
        <v>48</v>
      </c>
      <c r="Q589" t="s">
        <v>42</v>
      </c>
    </row>
    <row r="590" spans="1:17" x14ac:dyDescent="0.3">
      <c r="A590" t="s">
        <v>1227</v>
      </c>
      <c r="B590" s="1">
        <v>45889</v>
      </c>
      <c r="C590" t="s">
        <v>70</v>
      </c>
      <c r="D590" t="s">
        <v>75</v>
      </c>
      <c r="E590" t="s">
        <v>44</v>
      </c>
      <c r="F590" t="s">
        <v>37</v>
      </c>
      <c r="G590" t="s">
        <v>24</v>
      </c>
      <c r="H590" t="s">
        <v>25</v>
      </c>
      <c r="I590" t="s">
        <v>1228</v>
      </c>
      <c r="J590">
        <v>12</v>
      </c>
      <c r="K590" s="2">
        <v>921.73</v>
      </c>
      <c r="L590">
        <v>0</v>
      </c>
      <c r="M590" s="2">
        <v>11060.76</v>
      </c>
      <c r="N590" s="2">
        <v>8393.98</v>
      </c>
      <c r="O590" s="2">
        <v>2666.78</v>
      </c>
      <c r="P590" t="s">
        <v>48</v>
      </c>
      <c r="Q590" t="s">
        <v>61</v>
      </c>
    </row>
    <row r="591" spans="1:17" x14ac:dyDescent="0.3">
      <c r="A591" t="s">
        <v>1229</v>
      </c>
      <c r="B591" s="1">
        <v>45912</v>
      </c>
      <c r="C591" t="s">
        <v>86</v>
      </c>
      <c r="D591" t="s">
        <v>90</v>
      </c>
      <c r="E591" t="s">
        <v>22</v>
      </c>
      <c r="F591" t="s">
        <v>31</v>
      </c>
      <c r="G591" t="s">
        <v>24</v>
      </c>
      <c r="H591" t="s">
        <v>32</v>
      </c>
      <c r="I591" t="s">
        <v>1230</v>
      </c>
      <c r="J591">
        <v>11</v>
      </c>
      <c r="K591" s="2">
        <v>1578.5</v>
      </c>
      <c r="L591">
        <v>0</v>
      </c>
      <c r="M591" s="2">
        <v>17363.5</v>
      </c>
      <c r="N591" s="2">
        <v>10847.63</v>
      </c>
      <c r="O591" s="2">
        <v>6515.87</v>
      </c>
      <c r="P591" t="s">
        <v>27</v>
      </c>
      <c r="Q591" t="s">
        <v>49</v>
      </c>
    </row>
    <row r="592" spans="1:17" x14ac:dyDescent="0.3">
      <c r="A592" t="s">
        <v>1231</v>
      </c>
      <c r="B592" s="1">
        <v>46086</v>
      </c>
      <c r="C592" t="s">
        <v>86</v>
      </c>
      <c r="D592" t="s">
        <v>90</v>
      </c>
      <c r="E592" t="s">
        <v>66</v>
      </c>
      <c r="F592" t="s">
        <v>37</v>
      </c>
      <c r="G592" t="s">
        <v>24</v>
      </c>
      <c r="H592" t="s">
        <v>56</v>
      </c>
      <c r="I592" t="s">
        <v>1232</v>
      </c>
      <c r="J592">
        <v>15</v>
      </c>
      <c r="K592" s="2">
        <v>1919.77</v>
      </c>
      <c r="L592">
        <v>20</v>
      </c>
      <c r="M592" s="2">
        <v>23037.24</v>
      </c>
      <c r="N592" s="2">
        <v>14868.56</v>
      </c>
      <c r="O592" s="2">
        <v>8168.68</v>
      </c>
      <c r="P592" t="s">
        <v>48</v>
      </c>
      <c r="Q592" t="s">
        <v>42</v>
      </c>
    </row>
    <row r="593" spans="1:17" x14ac:dyDescent="0.3">
      <c r="A593" t="s">
        <v>1233</v>
      </c>
      <c r="B593" s="1">
        <v>46031</v>
      </c>
      <c r="C593" t="s">
        <v>70</v>
      </c>
      <c r="D593" t="s">
        <v>75</v>
      </c>
      <c r="E593" t="s">
        <v>170</v>
      </c>
      <c r="F593" t="s">
        <v>37</v>
      </c>
      <c r="G593" t="s">
        <v>24</v>
      </c>
      <c r="H593" t="s">
        <v>56</v>
      </c>
      <c r="I593" t="s">
        <v>1234</v>
      </c>
      <c r="J593">
        <v>14</v>
      </c>
      <c r="K593" s="2">
        <v>4140.03</v>
      </c>
      <c r="L593">
        <v>10</v>
      </c>
      <c r="M593" s="2">
        <v>52164.38</v>
      </c>
      <c r="N593" s="2">
        <v>40888.69</v>
      </c>
      <c r="O593" s="2">
        <v>11275.69</v>
      </c>
      <c r="P593" t="s">
        <v>27</v>
      </c>
      <c r="Q593" t="s">
        <v>28</v>
      </c>
    </row>
    <row r="594" spans="1:17" x14ac:dyDescent="0.3">
      <c r="A594" t="s">
        <v>1235</v>
      </c>
      <c r="B594" s="1">
        <v>45689</v>
      </c>
      <c r="C594" t="s">
        <v>35</v>
      </c>
      <c r="D594" t="s">
        <v>59</v>
      </c>
      <c r="E594" t="s">
        <v>170</v>
      </c>
      <c r="F594" t="s">
        <v>23</v>
      </c>
      <c r="G594" t="s">
        <v>45</v>
      </c>
      <c r="H594" t="s">
        <v>123</v>
      </c>
      <c r="I594" t="s">
        <v>1236</v>
      </c>
      <c r="J594">
        <v>9</v>
      </c>
      <c r="K594" s="2">
        <v>4982.3100000000004</v>
      </c>
      <c r="L594">
        <v>0</v>
      </c>
      <c r="M594" s="2">
        <v>44840.79</v>
      </c>
      <c r="N594" s="2">
        <v>33591.410000000003</v>
      </c>
      <c r="O594" s="2">
        <v>11249.38</v>
      </c>
      <c r="P594" t="s">
        <v>27</v>
      </c>
      <c r="Q594" t="s">
        <v>49</v>
      </c>
    </row>
    <row r="595" spans="1:17" x14ac:dyDescent="0.3">
      <c r="A595" t="s">
        <v>1237</v>
      </c>
      <c r="B595" s="1">
        <v>46201</v>
      </c>
      <c r="C595" t="s">
        <v>86</v>
      </c>
      <c r="D595" t="s">
        <v>87</v>
      </c>
      <c r="E595" t="s">
        <v>44</v>
      </c>
      <c r="F595" t="s">
        <v>31</v>
      </c>
      <c r="G595" t="s">
        <v>45</v>
      </c>
      <c r="H595" t="s">
        <v>46</v>
      </c>
      <c r="I595" t="s">
        <v>1238</v>
      </c>
      <c r="J595">
        <v>1</v>
      </c>
      <c r="K595" s="2">
        <v>706.01</v>
      </c>
      <c r="L595">
        <v>5</v>
      </c>
      <c r="M595" s="2">
        <v>670.71</v>
      </c>
      <c r="N595" s="2">
        <v>384.53</v>
      </c>
      <c r="O595" s="2">
        <v>286.18</v>
      </c>
      <c r="P595" t="s">
        <v>41</v>
      </c>
      <c r="Q595" t="s">
        <v>42</v>
      </c>
    </row>
    <row r="596" spans="1:17" x14ac:dyDescent="0.3">
      <c r="A596" t="s">
        <v>1239</v>
      </c>
      <c r="B596" s="1">
        <v>45893</v>
      </c>
      <c r="C596" t="s">
        <v>70</v>
      </c>
      <c r="D596" t="s">
        <v>75</v>
      </c>
      <c r="E596" t="s">
        <v>30</v>
      </c>
      <c r="F596" t="s">
        <v>23</v>
      </c>
      <c r="G596" t="s">
        <v>38</v>
      </c>
      <c r="H596" t="s">
        <v>72</v>
      </c>
      <c r="I596" t="s">
        <v>1240</v>
      </c>
      <c r="J596">
        <v>4</v>
      </c>
      <c r="K596" s="2">
        <v>900.4</v>
      </c>
      <c r="L596">
        <v>10</v>
      </c>
      <c r="M596" s="2">
        <v>3241.44</v>
      </c>
      <c r="N596" s="2">
        <v>2232.44</v>
      </c>
      <c r="O596" s="2">
        <v>1009</v>
      </c>
      <c r="P596" t="s">
        <v>48</v>
      </c>
      <c r="Q596" t="s">
        <v>42</v>
      </c>
    </row>
    <row r="597" spans="1:17" x14ac:dyDescent="0.3">
      <c r="A597" t="s">
        <v>1241</v>
      </c>
      <c r="B597" s="1">
        <v>45711</v>
      </c>
      <c r="C597" t="s">
        <v>35</v>
      </c>
      <c r="D597" t="s">
        <v>59</v>
      </c>
      <c r="E597" t="s">
        <v>44</v>
      </c>
      <c r="F597" t="s">
        <v>37</v>
      </c>
      <c r="G597" t="s">
        <v>38</v>
      </c>
      <c r="H597" t="s">
        <v>39</v>
      </c>
      <c r="I597" t="s">
        <v>1242</v>
      </c>
      <c r="J597">
        <v>13</v>
      </c>
      <c r="K597" s="2">
        <v>559.86</v>
      </c>
      <c r="L597">
        <v>0</v>
      </c>
      <c r="M597" s="2">
        <v>7278.18</v>
      </c>
      <c r="N597" s="2">
        <v>4847.4399999999996</v>
      </c>
      <c r="O597" s="2">
        <v>2430.7399999999998</v>
      </c>
      <c r="P597" t="s">
        <v>41</v>
      </c>
      <c r="Q597" t="s">
        <v>42</v>
      </c>
    </row>
    <row r="598" spans="1:17" x14ac:dyDescent="0.3">
      <c r="A598" t="s">
        <v>1243</v>
      </c>
      <c r="B598" s="1">
        <v>46026</v>
      </c>
      <c r="C598" t="s">
        <v>35</v>
      </c>
      <c r="D598" t="s">
        <v>36</v>
      </c>
      <c r="E598" t="s">
        <v>51</v>
      </c>
      <c r="F598" t="s">
        <v>23</v>
      </c>
      <c r="G598" t="s">
        <v>24</v>
      </c>
      <c r="H598" t="s">
        <v>32</v>
      </c>
      <c r="I598" t="s">
        <v>1244</v>
      </c>
      <c r="J598">
        <v>11</v>
      </c>
      <c r="K598" s="2">
        <v>4985.49</v>
      </c>
      <c r="L598">
        <v>20</v>
      </c>
      <c r="M598" s="2">
        <v>43872.31</v>
      </c>
      <c r="N598" s="2">
        <v>29196.73</v>
      </c>
      <c r="O598" s="2">
        <v>14675.58</v>
      </c>
      <c r="P598" t="s">
        <v>27</v>
      </c>
      <c r="Q598" t="s">
        <v>49</v>
      </c>
    </row>
    <row r="599" spans="1:17" x14ac:dyDescent="0.3">
      <c r="A599" t="s">
        <v>1245</v>
      </c>
      <c r="B599" s="1">
        <v>46202</v>
      </c>
      <c r="C599" t="s">
        <v>35</v>
      </c>
      <c r="D599" t="s">
        <v>36</v>
      </c>
      <c r="E599" t="s">
        <v>44</v>
      </c>
      <c r="F599" t="s">
        <v>23</v>
      </c>
      <c r="G599" t="s">
        <v>24</v>
      </c>
      <c r="H599" t="s">
        <v>25</v>
      </c>
      <c r="I599" t="s">
        <v>1246</v>
      </c>
      <c r="J599">
        <v>8</v>
      </c>
      <c r="K599" s="2">
        <v>248.85</v>
      </c>
      <c r="L599">
        <v>0</v>
      </c>
      <c r="M599" s="2">
        <v>1990.8</v>
      </c>
      <c r="N599" s="2">
        <v>1611.61</v>
      </c>
      <c r="O599" s="2">
        <v>379.19</v>
      </c>
      <c r="P599" t="s">
        <v>27</v>
      </c>
      <c r="Q599" t="s">
        <v>49</v>
      </c>
    </row>
    <row r="600" spans="1:17" x14ac:dyDescent="0.3">
      <c r="A600" t="s">
        <v>1247</v>
      </c>
      <c r="B600" s="1">
        <v>45920</v>
      </c>
      <c r="C600" t="s">
        <v>70</v>
      </c>
      <c r="D600" t="s">
        <v>71</v>
      </c>
      <c r="E600" t="s">
        <v>44</v>
      </c>
      <c r="F600" t="s">
        <v>23</v>
      </c>
      <c r="G600" t="s">
        <v>38</v>
      </c>
      <c r="H600" t="s">
        <v>63</v>
      </c>
      <c r="I600" t="s">
        <v>1248</v>
      </c>
      <c r="J600">
        <v>15</v>
      </c>
      <c r="K600" s="2">
        <v>2253.36</v>
      </c>
      <c r="L600">
        <v>5</v>
      </c>
      <c r="M600" s="2">
        <v>32110.38</v>
      </c>
      <c r="N600" s="2">
        <v>24383.53</v>
      </c>
      <c r="O600" s="2">
        <v>7726.85</v>
      </c>
      <c r="P600" t="s">
        <v>41</v>
      </c>
      <c r="Q600" t="s">
        <v>49</v>
      </c>
    </row>
    <row r="601" spans="1:17" x14ac:dyDescent="0.3">
      <c r="A601" t="s">
        <v>1249</v>
      </c>
      <c r="B601" s="1">
        <v>46031</v>
      </c>
      <c r="C601" t="s">
        <v>86</v>
      </c>
      <c r="D601" t="s">
        <v>87</v>
      </c>
      <c r="E601" t="s">
        <v>22</v>
      </c>
      <c r="F601" t="s">
        <v>23</v>
      </c>
      <c r="G601" t="s">
        <v>45</v>
      </c>
      <c r="H601" t="s">
        <v>52</v>
      </c>
      <c r="I601" t="s">
        <v>1250</v>
      </c>
      <c r="J601">
        <v>1</v>
      </c>
      <c r="K601" s="2">
        <v>3955.97</v>
      </c>
      <c r="L601">
        <v>0</v>
      </c>
      <c r="M601" s="2">
        <v>3955.97</v>
      </c>
      <c r="N601" s="2">
        <v>3236.12</v>
      </c>
      <c r="O601" s="2">
        <v>719.85</v>
      </c>
      <c r="P601" t="s">
        <v>27</v>
      </c>
      <c r="Q601" t="s">
        <v>28</v>
      </c>
    </row>
    <row r="602" spans="1:17" x14ac:dyDescent="0.3">
      <c r="A602" t="s">
        <v>1251</v>
      </c>
      <c r="B602" s="1">
        <v>45699</v>
      </c>
      <c r="C602" t="s">
        <v>70</v>
      </c>
      <c r="D602" t="s">
        <v>75</v>
      </c>
      <c r="E602" t="s">
        <v>22</v>
      </c>
      <c r="F602" t="s">
        <v>23</v>
      </c>
      <c r="G602" t="s">
        <v>45</v>
      </c>
      <c r="H602" t="s">
        <v>159</v>
      </c>
      <c r="I602" t="s">
        <v>1252</v>
      </c>
      <c r="J602">
        <v>3</v>
      </c>
      <c r="K602" s="2">
        <v>3239.74</v>
      </c>
      <c r="L602">
        <v>0</v>
      </c>
      <c r="M602" s="2">
        <v>9719.2199999999993</v>
      </c>
      <c r="N602" s="2">
        <v>6310.18</v>
      </c>
      <c r="O602" s="2">
        <v>3409.04</v>
      </c>
      <c r="P602" t="s">
        <v>48</v>
      </c>
      <c r="Q602" t="s">
        <v>49</v>
      </c>
    </row>
    <row r="603" spans="1:17" x14ac:dyDescent="0.3">
      <c r="A603" t="s">
        <v>1253</v>
      </c>
      <c r="B603" s="1">
        <v>45906</v>
      </c>
      <c r="C603" t="s">
        <v>35</v>
      </c>
      <c r="D603" t="s">
        <v>59</v>
      </c>
      <c r="E603" t="s">
        <v>51</v>
      </c>
      <c r="F603" t="s">
        <v>31</v>
      </c>
      <c r="G603" t="s">
        <v>24</v>
      </c>
      <c r="H603" t="s">
        <v>134</v>
      </c>
      <c r="I603" t="s">
        <v>1254</v>
      </c>
      <c r="J603">
        <v>6</v>
      </c>
      <c r="K603" s="2">
        <v>2696.91</v>
      </c>
      <c r="L603">
        <v>20</v>
      </c>
      <c r="M603" s="2">
        <v>12945.17</v>
      </c>
      <c r="N603" s="2">
        <v>7360.9</v>
      </c>
      <c r="O603" s="2">
        <v>5584.27</v>
      </c>
      <c r="P603" t="s">
        <v>41</v>
      </c>
      <c r="Q603" t="s">
        <v>61</v>
      </c>
    </row>
    <row r="604" spans="1:17" x14ac:dyDescent="0.3">
      <c r="A604" t="s">
        <v>1255</v>
      </c>
      <c r="B604" s="1">
        <v>45670</v>
      </c>
      <c r="C604" t="s">
        <v>70</v>
      </c>
      <c r="D604" t="s">
        <v>71</v>
      </c>
      <c r="E604" t="s">
        <v>113</v>
      </c>
      <c r="F604" t="s">
        <v>23</v>
      </c>
      <c r="G604" t="s">
        <v>38</v>
      </c>
      <c r="H604" t="s">
        <v>106</v>
      </c>
      <c r="I604" t="s">
        <v>1256</v>
      </c>
      <c r="J604">
        <v>14</v>
      </c>
      <c r="K604" s="2">
        <v>3288.99</v>
      </c>
      <c r="L604">
        <v>0</v>
      </c>
      <c r="M604" s="2">
        <v>46045.86</v>
      </c>
      <c r="N604" s="2">
        <v>25423.33</v>
      </c>
      <c r="O604" s="2">
        <v>20622.53</v>
      </c>
      <c r="P604" t="s">
        <v>41</v>
      </c>
      <c r="Q604" t="s">
        <v>42</v>
      </c>
    </row>
    <row r="605" spans="1:17" x14ac:dyDescent="0.3">
      <c r="A605" t="s">
        <v>1257</v>
      </c>
      <c r="B605" s="1">
        <v>46140</v>
      </c>
      <c r="C605" t="s">
        <v>35</v>
      </c>
      <c r="D605" t="s">
        <v>36</v>
      </c>
      <c r="E605" t="s">
        <v>113</v>
      </c>
      <c r="F605" t="s">
        <v>31</v>
      </c>
      <c r="G605" t="s">
        <v>38</v>
      </c>
      <c r="H605" t="s">
        <v>106</v>
      </c>
      <c r="I605" t="s">
        <v>1258</v>
      </c>
      <c r="J605">
        <v>15</v>
      </c>
      <c r="K605" s="2">
        <v>4284.8500000000004</v>
      </c>
      <c r="L605">
        <v>20</v>
      </c>
      <c r="M605" s="2">
        <v>51418.2</v>
      </c>
      <c r="N605" s="2">
        <v>30726.21</v>
      </c>
      <c r="O605" s="2">
        <v>20691.990000000002</v>
      </c>
      <c r="P605" t="s">
        <v>41</v>
      </c>
      <c r="Q605" t="s">
        <v>49</v>
      </c>
    </row>
    <row r="606" spans="1:17" x14ac:dyDescent="0.3">
      <c r="A606" t="s">
        <v>1259</v>
      </c>
      <c r="B606" s="1">
        <v>45766</v>
      </c>
      <c r="C606" t="s">
        <v>35</v>
      </c>
      <c r="D606" t="s">
        <v>59</v>
      </c>
      <c r="E606" t="s">
        <v>51</v>
      </c>
      <c r="F606" t="s">
        <v>31</v>
      </c>
      <c r="G606" t="s">
        <v>24</v>
      </c>
      <c r="H606" t="s">
        <v>56</v>
      </c>
      <c r="I606" t="s">
        <v>1260</v>
      </c>
      <c r="J606">
        <v>14</v>
      </c>
      <c r="K606" s="2">
        <v>1270.3499999999999</v>
      </c>
      <c r="L606">
        <v>15</v>
      </c>
      <c r="M606" s="2">
        <v>15117.16</v>
      </c>
      <c r="N606" s="2">
        <v>9886.5300000000007</v>
      </c>
      <c r="O606" s="2">
        <v>5230.63</v>
      </c>
      <c r="P606" t="s">
        <v>41</v>
      </c>
      <c r="Q606" t="s">
        <v>61</v>
      </c>
    </row>
    <row r="607" spans="1:17" x14ac:dyDescent="0.3">
      <c r="A607" t="s">
        <v>1261</v>
      </c>
      <c r="B607" s="1">
        <v>45681</v>
      </c>
      <c r="C607" t="s">
        <v>35</v>
      </c>
      <c r="D607" t="s">
        <v>59</v>
      </c>
      <c r="E607" t="s">
        <v>66</v>
      </c>
      <c r="F607" t="s">
        <v>37</v>
      </c>
      <c r="G607" t="s">
        <v>38</v>
      </c>
      <c r="H607" t="s">
        <v>72</v>
      </c>
      <c r="I607" t="s">
        <v>1262</v>
      </c>
      <c r="J607">
        <v>3</v>
      </c>
      <c r="K607" s="2">
        <v>1758.43</v>
      </c>
      <c r="L607">
        <v>5</v>
      </c>
      <c r="M607" s="2">
        <v>5011.53</v>
      </c>
      <c r="N607" s="2">
        <v>3423.1</v>
      </c>
      <c r="O607" s="2">
        <v>1588.43</v>
      </c>
      <c r="P607" t="s">
        <v>48</v>
      </c>
      <c r="Q607" t="s">
        <v>28</v>
      </c>
    </row>
    <row r="608" spans="1:17" x14ac:dyDescent="0.3">
      <c r="A608" t="s">
        <v>1263</v>
      </c>
      <c r="B608" s="1">
        <v>46087</v>
      </c>
      <c r="C608" t="s">
        <v>70</v>
      </c>
      <c r="D608" t="s">
        <v>71</v>
      </c>
      <c r="E608" t="s">
        <v>66</v>
      </c>
      <c r="F608" t="s">
        <v>37</v>
      </c>
      <c r="G608" t="s">
        <v>38</v>
      </c>
      <c r="H608" t="s">
        <v>106</v>
      </c>
      <c r="I608" t="s">
        <v>1264</v>
      </c>
      <c r="J608">
        <v>9</v>
      </c>
      <c r="K608" s="2">
        <v>1019.51</v>
      </c>
      <c r="L608">
        <v>20</v>
      </c>
      <c r="M608" s="2">
        <v>7340.47</v>
      </c>
      <c r="N608" s="2">
        <v>4813.37</v>
      </c>
      <c r="O608" s="2">
        <v>2527.1</v>
      </c>
      <c r="P608" t="s">
        <v>27</v>
      </c>
      <c r="Q608" t="s">
        <v>28</v>
      </c>
    </row>
    <row r="609" spans="1:17" x14ac:dyDescent="0.3">
      <c r="A609" t="s">
        <v>1265</v>
      </c>
      <c r="B609" s="1">
        <v>45800</v>
      </c>
      <c r="C609" t="s">
        <v>70</v>
      </c>
      <c r="D609" t="s">
        <v>75</v>
      </c>
      <c r="E609" t="s">
        <v>113</v>
      </c>
      <c r="F609" t="s">
        <v>23</v>
      </c>
      <c r="G609" t="s">
        <v>38</v>
      </c>
      <c r="H609" t="s">
        <v>106</v>
      </c>
      <c r="I609" t="s">
        <v>1266</v>
      </c>
      <c r="J609">
        <v>3</v>
      </c>
      <c r="K609" s="2">
        <v>2521.31</v>
      </c>
      <c r="L609">
        <v>0</v>
      </c>
      <c r="M609" s="2">
        <v>7563.93</v>
      </c>
      <c r="N609" s="2">
        <v>5156</v>
      </c>
      <c r="O609" s="2">
        <v>2407.9299999999998</v>
      </c>
      <c r="P609" t="s">
        <v>27</v>
      </c>
      <c r="Q609" t="s">
        <v>61</v>
      </c>
    </row>
    <row r="610" spans="1:17" x14ac:dyDescent="0.3">
      <c r="A610" t="s">
        <v>1267</v>
      </c>
      <c r="B610" s="1">
        <v>45969</v>
      </c>
      <c r="C610" t="s">
        <v>35</v>
      </c>
      <c r="D610" t="s">
        <v>36</v>
      </c>
      <c r="E610" t="s">
        <v>170</v>
      </c>
      <c r="F610" t="s">
        <v>31</v>
      </c>
      <c r="G610" t="s">
        <v>45</v>
      </c>
      <c r="H610" t="s">
        <v>123</v>
      </c>
      <c r="I610" t="s">
        <v>1268</v>
      </c>
      <c r="J610">
        <v>6</v>
      </c>
      <c r="K610" s="2">
        <v>1496.44</v>
      </c>
      <c r="L610">
        <v>10</v>
      </c>
      <c r="M610" s="2">
        <v>8080.78</v>
      </c>
      <c r="N610" s="2">
        <v>6086.03</v>
      </c>
      <c r="O610" s="2">
        <v>1994.75</v>
      </c>
      <c r="P610" t="s">
        <v>27</v>
      </c>
      <c r="Q610" t="s">
        <v>42</v>
      </c>
    </row>
    <row r="611" spans="1:17" x14ac:dyDescent="0.3">
      <c r="A611" t="s">
        <v>1269</v>
      </c>
      <c r="B611" s="1">
        <v>45794</v>
      </c>
      <c r="C611" t="s">
        <v>20</v>
      </c>
      <c r="D611" t="s">
        <v>21</v>
      </c>
      <c r="E611" t="s">
        <v>170</v>
      </c>
      <c r="F611" t="s">
        <v>23</v>
      </c>
      <c r="G611" t="s">
        <v>38</v>
      </c>
      <c r="H611" t="s">
        <v>63</v>
      </c>
      <c r="I611" t="s">
        <v>1270</v>
      </c>
      <c r="J611">
        <v>5</v>
      </c>
      <c r="K611" s="2">
        <v>4477.79</v>
      </c>
      <c r="L611">
        <v>15</v>
      </c>
      <c r="M611" s="2">
        <v>19030.61</v>
      </c>
      <c r="N611" s="2">
        <v>14536.99</v>
      </c>
      <c r="O611" s="2">
        <v>4493.62</v>
      </c>
      <c r="P611" t="s">
        <v>41</v>
      </c>
      <c r="Q611" t="s">
        <v>49</v>
      </c>
    </row>
    <row r="612" spans="1:17" x14ac:dyDescent="0.3">
      <c r="A612" t="s">
        <v>1271</v>
      </c>
      <c r="B612" s="1">
        <v>45851</v>
      </c>
      <c r="C612" t="s">
        <v>35</v>
      </c>
      <c r="D612" t="s">
        <v>59</v>
      </c>
      <c r="E612" t="s">
        <v>51</v>
      </c>
      <c r="F612" t="s">
        <v>23</v>
      </c>
      <c r="G612" t="s">
        <v>24</v>
      </c>
      <c r="H612" t="s">
        <v>25</v>
      </c>
      <c r="I612" t="s">
        <v>331</v>
      </c>
      <c r="J612">
        <v>3</v>
      </c>
      <c r="K612" s="2">
        <v>1080.5899999999999</v>
      </c>
      <c r="L612">
        <v>15</v>
      </c>
      <c r="M612" s="2">
        <v>2755.5</v>
      </c>
      <c r="N612" s="2">
        <v>1917.87</v>
      </c>
      <c r="O612" s="2">
        <v>837.63</v>
      </c>
      <c r="P612" t="s">
        <v>27</v>
      </c>
      <c r="Q612" t="s">
        <v>28</v>
      </c>
    </row>
    <row r="613" spans="1:17" x14ac:dyDescent="0.3">
      <c r="A613" t="s">
        <v>1272</v>
      </c>
      <c r="B613" s="1">
        <v>45927</v>
      </c>
      <c r="C613" t="s">
        <v>20</v>
      </c>
      <c r="D613" t="s">
        <v>55</v>
      </c>
      <c r="E613" t="s">
        <v>66</v>
      </c>
      <c r="F613" t="s">
        <v>31</v>
      </c>
      <c r="G613" t="s">
        <v>38</v>
      </c>
      <c r="H613" t="s">
        <v>91</v>
      </c>
      <c r="I613" t="s">
        <v>1273</v>
      </c>
      <c r="J613">
        <v>7</v>
      </c>
      <c r="K613" s="2">
        <v>4044.83</v>
      </c>
      <c r="L613">
        <v>5</v>
      </c>
      <c r="M613" s="2">
        <v>26898.12</v>
      </c>
      <c r="N613" s="2">
        <v>18296.650000000001</v>
      </c>
      <c r="O613" s="2">
        <v>8601.4699999999993</v>
      </c>
      <c r="P613" t="s">
        <v>27</v>
      </c>
      <c r="Q613" t="s">
        <v>42</v>
      </c>
    </row>
    <row r="614" spans="1:17" x14ac:dyDescent="0.3">
      <c r="A614" t="s">
        <v>1274</v>
      </c>
      <c r="B614" s="1">
        <v>45671</v>
      </c>
      <c r="C614" t="s">
        <v>86</v>
      </c>
      <c r="D614" t="s">
        <v>87</v>
      </c>
      <c r="E614" t="s">
        <v>22</v>
      </c>
      <c r="F614" t="s">
        <v>31</v>
      </c>
      <c r="G614" t="s">
        <v>45</v>
      </c>
      <c r="H614" t="s">
        <v>159</v>
      </c>
      <c r="I614" t="s">
        <v>1275</v>
      </c>
      <c r="J614">
        <v>12</v>
      </c>
      <c r="K614" s="2">
        <v>4029.56</v>
      </c>
      <c r="L614">
        <v>5</v>
      </c>
      <c r="M614" s="2">
        <v>45936.98</v>
      </c>
      <c r="N614" s="2">
        <v>30928.17</v>
      </c>
      <c r="O614" s="2">
        <v>15008.81</v>
      </c>
      <c r="P614" t="s">
        <v>48</v>
      </c>
      <c r="Q614" t="s">
        <v>49</v>
      </c>
    </row>
    <row r="615" spans="1:17" x14ac:dyDescent="0.3">
      <c r="A615" t="s">
        <v>1276</v>
      </c>
      <c r="B615" s="1">
        <v>45974</v>
      </c>
      <c r="C615" t="s">
        <v>35</v>
      </c>
      <c r="D615" t="s">
        <v>36</v>
      </c>
      <c r="E615" t="s">
        <v>44</v>
      </c>
      <c r="F615" t="s">
        <v>23</v>
      </c>
      <c r="G615" t="s">
        <v>45</v>
      </c>
      <c r="H615" t="s">
        <v>52</v>
      </c>
      <c r="I615" t="s">
        <v>1277</v>
      </c>
      <c r="J615">
        <v>1</v>
      </c>
      <c r="K615" s="2">
        <v>2752.58</v>
      </c>
      <c r="L615">
        <v>15</v>
      </c>
      <c r="M615" s="2">
        <v>2339.69</v>
      </c>
      <c r="N615" s="2">
        <v>1835.81</v>
      </c>
      <c r="O615" s="2">
        <v>503.88</v>
      </c>
      <c r="P615" t="s">
        <v>41</v>
      </c>
      <c r="Q615" t="s">
        <v>28</v>
      </c>
    </row>
    <row r="616" spans="1:17" x14ac:dyDescent="0.3">
      <c r="A616" t="s">
        <v>1278</v>
      </c>
      <c r="B616" s="1">
        <v>45828</v>
      </c>
      <c r="C616" t="s">
        <v>70</v>
      </c>
      <c r="D616" t="s">
        <v>75</v>
      </c>
      <c r="E616" t="s">
        <v>51</v>
      </c>
      <c r="F616" t="s">
        <v>37</v>
      </c>
      <c r="G616" t="s">
        <v>45</v>
      </c>
      <c r="H616" t="s">
        <v>159</v>
      </c>
      <c r="I616" t="s">
        <v>1279</v>
      </c>
      <c r="J616">
        <v>9</v>
      </c>
      <c r="K616" s="2">
        <v>1598.38</v>
      </c>
      <c r="L616">
        <v>10</v>
      </c>
      <c r="M616" s="2">
        <v>12946.88</v>
      </c>
      <c r="N616" s="2">
        <v>10605.79</v>
      </c>
      <c r="O616" s="2">
        <v>2341.09</v>
      </c>
      <c r="P616" t="s">
        <v>41</v>
      </c>
      <c r="Q616" t="s">
        <v>61</v>
      </c>
    </row>
    <row r="617" spans="1:17" x14ac:dyDescent="0.3">
      <c r="A617" t="s">
        <v>1280</v>
      </c>
      <c r="B617" s="1">
        <v>46175</v>
      </c>
      <c r="C617" t="s">
        <v>70</v>
      </c>
      <c r="D617" t="s">
        <v>75</v>
      </c>
      <c r="E617" t="s">
        <v>170</v>
      </c>
      <c r="F617" t="s">
        <v>31</v>
      </c>
      <c r="G617" t="s">
        <v>38</v>
      </c>
      <c r="H617" t="s">
        <v>72</v>
      </c>
      <c r="I617" t="s">
        <v>1281</v>
      </c>
      <c r="J617">
        <v>10</v>
      </c>
      <c r="K617" s="2">
        <v>3311.76</v>
      </c>
      <c r="L617">
        <v>0</v>
      </c>
      <c r="M617" s="2">
        <v>33117.599999999999</v>
      </c>
      <c r="N617" s="2">
        <v>24494.85</v>
      </c>
      <c r="O617" s="2">
        <v>8622.75</v>
      </c>
      <c r="P617" t="s">
        <v>41</v>
      </c>
      <c r="Q617" t="s">
        <v>61</v>
      </c>
    </row>
    <row r="618" spans="1:17" x14ac:dyDescent="0.3">
      <c r="A618" t="s">
        <v>1282</v>
      </c>
      <c r="B618" s="1">
        <v>45988</v>
      </c>
      <c r="C618" t="s">
        <v>70</v>
      </c>
      <c r="D618" t="s">
        <v>71</v>
      </c>
      <c r="E618" t="s">
        <v>22</v>
      </c>
      <c r="F618" t="s">
        <v>37</v>
      </c>
      <c r="G618" t="s">
        <v>24</v>
      </c>
      <c r="H618" t="s">
        <v>134</v>
      </c>
      <c r="I618" t="s">
        <v>1283</v>
      </c>
      <c r="J618">
        <v>9</v>
      </c>
      <c r="K618" s="2">
        <v>4116.2299999999996</v>
      </c>
      <c r="L618">
        <v>5</v>
      </c>
      <c r="M618" s="2">
        <v>35193.769999999997</v>
      </c>
      <c r="N618" s="2">
        <v>20350.53</v>
      </c>
      <c r="O618" s="2">
        <v>14843.24</v>
      </c>
      <c r="P618" t="s">
        <v>48</v>
      </c>
      <c r="Q618" t="s">
        <v>61</v>
      </c>
    </row>
    <row r="619" spans="1:17" x14ac:dyDescent="0.3">
      <c r="A619" t="s">
        <v>1284</v>
      </c>
      <c r="B619" s="1">
        <v>45923</v>
      </c>
      <c r="C619" t="s">
        <v>20</v>
      </c>
      <c r="D619" t="s">
        <v>21</v>
      </c>
      <c r="E619" t="s">
        <v>44</v>
      </c>
      <c r="F619" t="s">
        <v>37</v>
      </c>
      <c r="G619" t="s">
        <v>45</v>
      </c>
      <c r="H619" t="s">
        <v>123</v>
      </c>
      <c r="I619" t="s">
        <v>1285</v>
      </c>
      <c r="J619">
        <v>6</v>
      </c>
      <c r="K619" s="2">
        <v>4932.3100000000004</v>
      </c>
      <c r="L619">
        <v>10</v>
      </c>
      <c r="M619" s="2">
        <v>26634.47</v>
      </c>
      <c r="N619" s="2">
        <v>20430.39</v>
      </c>
      <c r="O619" s="2">
        <v>6204.08</v>
      </c>
      <c r="P619" t="s">
        <v>48</v>
      </c>
      <c r="Q619" t="s">
        <v>49</v>
      </c>
    </row>
    <row r="620" spans="1:17" x14ac:dyDescent="0.3">
      <c r="A620" t="s">
        <v>1286</v>
      </c>
      <c r="B620" s="1">
        <v>46023</v>
      </c>
      <c r="C620" t="s">
        <v>86</v>
      </c>
      <c r="D620" t="s">
        <v>90</v>
      </c>
      <c r="E620" t="s">
        <v>44</v>
      </c>
      <c r="F620" t="s">
        <v>37</v>
      </c>
      <c r="G620" t="s">
        <v>24</v>
      </c>
      <c r="H620" t="s">
        <v>171</v>
      </c>
      <c r="I620" t="s">
        <v>1287</v>
      </c>
      <c r="J620">
        <v>11</v>
      </c>
      <c r="K620" s="2">
        <v>3579.65</v>
      </c>
      <c r="L620">
        <v>20</v>
      </c>
      <c r="M620" s="2">
        <v>31500.92</v>
      </c>
      <c r="N620" s="2">
        <v>18183.009999999998</v>
      </c>
      <c r="O620" s="2">
        <v>13317.91</v>
      </c>
      <c r="P620" t="s">
        <v>48</v>
      </c>
      <c r="Q620" t="s">
        <v>28</v>
      </c>
    </row>
    <row r="621" spans="1:17" x14ac:dyDescent="0.3">
      <c r="A621" t="s">
        <v>1288</v>
      </c>
      <c r="B621" s="1">
        <v>45900</v>
      </c>
      <c r="C621" t="s">
        <v>86</v>
      </c>
      <c r="D621" t="s">
        <v>90</v>
      </c>
      <c r="E621" t="s">
        <v>66</v>
      </c>
      <c r="F621" t="s">
        <v>31</v>
      </c>
      <c r="G621" t="s">
        <v>45</v>
      </c>
      <c r="H621" t="s">
        <v>67</v>
      </c>
      <c r="I621" t="s">
        <v>1289</v>
      </c>
      <c r="J621">
        <v>3</v>
      </c>
      <c r="K621" s="2">
        <v>1071.68</v>
      </c>
      <c r="L621">
        <v>0</v>
      </c>
      <c r="M621" s="2">
        <v>3215.04</v>
      </c>
      <c r="N621" s="2">
        <v>2474.9499999999998</v>
      </c>
      <c r="O621" s="2">
        <v>740.09</v>
      </c>
      <c r="P621" t="s">
        <v>27</v>
      </c>
      <c r="Q621" t="s">
        <v>28</v>
      </c>
    </row>
    <row r="622" spans="1:17" x14ac:dyDescent="0.3">
      <c r="A622" t="s">
        <v>1290</v>
      </c>
      <c r="B622" s="1">
        <v>46010</v>
      </c>
      <c r="C622" t="s">
        <v>35</v>
      </c>
      <c r="D622" t="s">
        <v>59</v>
      </c>
      <c r="E622" t="s">
        <v>30</v>
      </c>
      <c r="F622" t="s">
        <v>23</v>
      </c>
      <c r="G622" t="s">
        <v>38</v>
      </c>
      <c r="H622" t="s">
        <v>106</v>
      </c>
      <c r="I622" t="s">
        <v>1291</v>
      </c>
      <c r="J622">
        <v>14</v>
      </c>
      <c r="K622" s="2">
        <v>2013.69</v>
      </c>
      <c r="L622">
        <v>10</v>
      </c>
      <c r="M622" s="2">
        <v>25372.49</v>
      </c>
      <c r="N622" s="2">
        <v>17760.75</v>
      </c>
      <c r="O622" s="2">
        <v>7611.74</v>
      </c>
      <c r="P622" t="s">
        <v>27</v>
      </c>
      <c r="Q622" t="s">
        <v>61</v>
      </c>
    </row>
    <row r="623" spans="1:17" x14ac:dyDescent="0.3">
      <c r="A623" t="s">
        <v>1292</v>
      </c>
      <c r="B623" s="1">
        <v>45706</v>
      </c>
      <c r="C623" t="s">
        <v>86</v>
      </c>
      <c r="D623" t="s">
        <v>90</v>
      </c>
      <c r="E623" t="s">
        <v>44</v>
      </c>
      <c r="F623" t="s">
        <v>37</v>
      </c>
      <c r="G623" t="s">
        <v>24</v>
      </c>
      <c r="H623" t="s">
        <v>25</v>
      </c>
      <c r="I623" t="s">
        <v>1293</v>
      </c>
      <c r="J623">
        <v>8</v>
      </c>
      <c r="K623" s="2">
        <v>933.85</v>
      </c>
      <c r="L623">
        <v>5</v>
      </c>
      <c r="M623" s="2">
        <v>7097.26</v>
      </c>
      <c r="N623" s="2">
        <v>4920.08</v>
      </c>
      <c r="O623" s="2">
        <v>2177.1799999999998</v>
      </c>
      <c r="P623" t="s">
        <v>48</v>
      </c>
      <c r="Q623" t="s">
        <v>61</v>
      </c>
    </row>
    <row r="624" spans="1:17" x14ac:dyDescent="0.3">
      <c r="A624" t="s">
        <v>1294</v>
      </c>
      <c r="B624" s="1">
        <v>45934</v>
      </c>
      <c r="C624" t="s">
        <v>70</v>
      </c>
      <c r="D624" t="s">
        <v>75</v>
      </c>
      <c r="E624" t="s">
        <v>30</v>
      </c>
      <c r="F624" t="s">
        <v>23</v>
      </c>
      <c r="G624" t="s">
        <v>45</v>
      </c>
      <c r="H624" t="s">
        <v>123</v>
      </c>
      <c r="I624" t="s">
        <v>1295</v>
      </c>
      <c r="J624">
        <v>15</v>
      </c>
      <c r="K624" s="2">
        <v>1796.47</v>
      </c>
      <c r="L624">
        <v>10</v>
      </c>
      <c r="M624" s="2">
        <v>24252.35</v>
      </c>
      <c r="N624" s="2">
        <v>18549.240000000002</v>
      </c>
      <c r="O624" s="2">
        <v>5703.11</v>
      </c>
      <c r="P624" t="s">
        <v>48</v>
      </c>
      <c r="Q624" t="s">
        <v>28</v>
      </c>
    </row>
    <row r="625" spans="1:17" x14ac:dyDescent="0.3">
      <c r="A625" t="s">
        <v>1296</v>
      </c>
      <c r="B625" s="1">
        <v>45766</v>
      </c>
      <c r="C625" t="s">
        <v>35</v>
      </c>
      <c r="D625" t="s">
        <v>59</v>
      </c>
      <c r="E625" t="s">
        <v>66</v>
      </c>
      <c r="F625" t="s">
        <v>37</v>
      </c>
      <c r="G625" t="s">
        <v>38</v>
      </c>
      <c r="H625" t="s">
        <v>106</v>
      </c>
      <c r="I625" t="s">
        <v>1297</v>
      </c>
      <c r="J625">
        <v>3</v>
      </c>
      <c r="K625" s="2">
        <v>3913.97</v>
      </c>
      <c r="L625">
        <v>10</v>
      </c>
      <c r="M625" s="2">
        <v>10567.72</v>
      </c>
      <c r="N625" s="2">
        <v>7012.65</v>
      </c>
      <c r="O625" s="2">
        <v>3555.07</v>
      </c>
      <c r="P625" t="s">
        <v>41</v>
      </c>
      <c r="Q625" t="s">
        <v>28</v>
      </c>
    </row>
    <row r="626" spans="1:17" x14ac:dyDescent="0.3">
      <c r="A626" t="s">
        <v>1298</v>
      </c>
      <c r="B626" s="1">
        <v>46146</v>
      </c>
      <c r="C626" t="s">
        <v>86</v>
      </c>
      <c r="D626" t="s">
        <v>87</v>
      </c>
      <c r="E626" t="s">
        <v>120</v>
      </c>
      <c r="F626" t="s">
        <v>37</v>
      </c>
      <c r="G626" t="s">
        <v>38</v>
      </c>
      <c r="H626" t="s">
        <v>72</v>
      </c>
      <c r="I626" t="s">
        <v>1299</v>
      </c>
      <c r="J626">
        <v>2</v>
      </c>
      <c r="K626" s="2">
        <v>616.42999999999995</v>
      </c>
      <c r="L626">
        <v>20</v>
      </c>
      <c r="M626" s="2">
        <v>986.29</v>
      </c>
      <c r="N626" s="2">
        <v>708.12</v>
      </c>
      <c r="O626" s="2">
        <v>278.17</v>
      </c>
      <c r="P626" t="s">
        <v>41</v>
      </c>
      <c r="Q626" t="s">
        <v>42</v>
      </c>
    </row>
    <row r="627" spans="1:17" x14ac:dyDescent="0.3">
      <c r="A627" t="s">
        <v>1300</v>
      </c>
      <c r="B627" s="1">
        <v>45760</v>
      </c>
      <c r="C627" t="s">
        <v>70</v>
      </c>
      <c r="D627" t="s">
        <v>71</v>
      </c>
      <c r="E627" t="s">
        <v>113</v>
      </c>
      <c r="F627" t="s">
        <v>37</v>
      </c>
      <c r="G627" t="s">
        <v>24</v>
      </c>
      <c r="H627" t="s">
        <v>56</v>
      </c>
      <c r="I627" t="s">
        <v>1301</v>
      </c>
      <c r="J627">
        <v>14</v>
      </c>
      <c r="K627" s="2">
        <v>2973.84</v>
      </c>
      <c r="L627">
        <v>0</v>
      </c>
      <c r="M627" s="2">
        <v>41633.760000000002</v>
      </c>
      <c r="N627" s="2">
        <v>25093.27</v>
      </c>
      <c r="O627" s="2">
        <v>16540.490000000002</v>
      </c>
      <c r="P627" t="s">
        <v>48</v>
      </c>
      <c r="Q627" t="s">
        <v>28</v>
      </c>
    </row>
    <row r="628" spans="1:17" x14ac:dyDescent="0.3">
      <c r="A628" t="s">
        <v>1302</v>
      </c>
      <c r="B628" s="1">
        <v>46146</v>
      </c>
      <c r="C628" t="s">
        <v>35</v>
      </c>
      <c r="D628" t="s">
        <v>59</v>
      </c>
      <c r="E628" t="s">
        <v>51</v>
      </c>
      <c r="F628" t="s">
        <v>31</v>
      </c>
      <c r="G628" t="s">
        <v>45</v>
      </c>
      <c r="H628" t="s">
        <v>46</v>
      </c>
      <c r="I628" t="s">
        <v>1303</v>
      </c>
      <c r="J628">
        <v>13</v>
      </c>
      <c r="K628" s="2">
        <v>333.56</v>
      </c>
      <c r="L628">
        <v>15</v>
      </c>
      <c r="M628" s="2">
        <v>3685.84</v>
      </c>
      <c r="N628" s="2">
        <v>2542.7800000000002</v>
      </c>
      <c r="O628" s="2">
        <v>1143.06</v>
      </c>
      <c r="P628" t="s">
        <v>27</v>
      </c>
      <c r="Q628" t="s">
        <v>61</v>
      </c>
    </row>
    <row r="629" spans="1:17" x14ac:dyDescent="0.3">
      <c r="A629" t="s">
        <v>1304</v>
      </c>
      <c r="B629" s="1">
        <v>46141</v>
      </c>
      <c r="C629" t="s">
        <v>86</v>
      </c>
      <c r="D629" t="s">
        <v>87</v>
      </c>
      <c r="E629" t="s">
        <v>22</v>
      </c>
      <c r="F629" t="s">
        <v>31</v>
      </c>
      <c r="G629" t="s">
        <v>38</v>
      </c>
      <c r="H629" t="s">
        <v>63</v>
      </c>
      <c r="I629" t="s">
        <v>1305</v>
      </c>
      <c r="J629">
        <v>15</v>
      </c>
      <c r="K629" s="2">
        <v>2582.2399999999998</v>
      </c>
      <c r="L629">
        <v>10</v>
      </c>
      <c r="M629" s="2">
        <v>34860.239999999998</v>
      </c>
      <c r="N629" s="2">
        <v>20410.2</v>
      </c>
      <c r="O629" s="2">
        <v>14450.04</v>
      </c>
      <c r="P629" t="s">
        <v>48</v>
      </c>
      <c r="Q629" t="s">
        <v>28</v>
      </c>
    </row>
    <row r="630" spans="1:17" x14ac:dyDescent="0.3">
      <c r="A630" t="s">
        <v>1306</v>
      </c>
      <c r="B630" s="1">
        <v>46010</v>
      </c>
      <c r="C630" t="s">
        <v>35</v>
      </c>
      <c r="D630" t="s">
        <v>36</v>
      </c>
      <c r="E630" t="s">
        <v>51</v>
      </c>
      <c r="F630" t="s">
        <v>31</v>
      </c>
      <c r="G630" t="s">
        <v>24</v>
      </c>
      <c r="H630" t="s">
        <v>32</v>
      </c>
      <c r="I630" t="s">
        <v>1307</v>
      </c>
      <c r="J630">
        <v>2</v>
      </c>
      <c r="K630" s="2">
        <v>3294.08</v>
      </c>
      <c r="L630">
        <v>10</v>
      </c>
      <c r="M630" s="2">
        <v>5929.34</v>
      </c>
      <c r="N630" s="2">
        <v>4268.84</v>
      </c>
      <c r="O630" s="2">
        <v>1660.5</v>
      </c>
      <c r="P630" t="s">
        <v>48</v>
      </c>
      <c r="Q630" t="s">
        <v>61</v>
      </c>
    </row>
    <row r="631" spans="1:17" x14ac:dyDescent="0.3">
      <c r="A631" t="s">
        <v>1308</v>
      </c>
      <c r="B631" s="1">
        <v>45834</v>
      </c>
      <c r="C631" t="s">
        <v>70</v>
      </c>
      <c r="D631" t="s">
        <v>71</v>
      </c>
      <c r="E631" t="s">
        <v>30</v>
      </c>
      <c r="F631" t="s">
        <v>23</v>
      </c>
      <c r="G631" t="s">
        <v>24</v>
      </c>
      <c r="H631" t="s">
        <v>25</v>
      </c>
      <c r="I631" t="s">
        <v>1309</v>
      </c>
      <c r="J631">
        <v>8</v>
      </c>
      <c r="K631" s="2">
        <v>2422.38</v>
      </c>
      <c r="L631">
        <v>20</v>
      </c>
      <c r="M631" s="2">
        <v>15503.23</v>
      </c>
      <c r="N631" s="2">
        <v>9918.43</v>
      </c>
      <c r="O631" s="2">
        <v>5584.8</v>
      </c>
      <c r="P631" t="s">
        <v>27</v>
      </c>
      <c r="Q631" t="s">
        <v>61</v>
      </c>
    </row>
    <row r="632" spans="1:17" x14ac:dyDescent="0.3">
      <c r="A632" t="s">
        <v>1310</v>
      </c>
      <c r="B632" s="1">
        <v>45904</v>
      </c>
      <c r="C632" t="s">
        <v>70</v>
      </c>
      <c r="D632" t="s">
        <v>71</v>
      </c>
      <c r="E632" t="s">
        <v>170</v>
      </c>
      <c r="F632" t="s">
        <v>37</v>
      </c>
      <c r="G632" t="s">
        <v>45</v>
      </c>
      <c r="H632" t="s">
        <v>123</v>
      </c>
      <c r="I632" t="s">
        <v>1311</v>
      </c>
      <c r="J632">
        <v>10</v>
      </c>
      <c r="K632" s="2">
        <v>3747.69</v>
      </c>
      <c r="L632">
        <v>15</v>
      </c>
      <c r="M632" s="2">
        <v>31855.37</v>
      </c>
      <c r="N632" s="2">
        <v>22542.77</v>
      </c>
      <c r="O632" s="2">
        <v>9312.6</v>
      </c>
      <c r="P632" t="s">
        <v>27</v>
      </c>
      <c r="Q632" t="s">
        <v>42</v>
      </c>
    </row>
    <row r="633" spans="1:17" x14ac:dyDescent="0.3">
      <c r="A633" t="s">
        <v>1312</v>
      </c>
      <c r="B633" s="1">
        <v>45810</v>
      </c>
      <c r="C633" t="s">
        <v>70</v>
      </c>
      <c r="D633" t="s">
        <v>75</v>
      </c>
      <c r="E633" t="s">
        <v>170</v>
      </c>
      <c r="F633" t="s">
        <v>23</v>
      </c>
      <c r="G633" t="s">
        <v>38</v>
      </c>
      <c r="H633" t="s">
        <v>91</v>
      </c>
      <c r="I633" t="s">
        <v>1313</v>
      </c>
      <c r="J633">
        <v>9</v>
      </c>
      <c r="K633" s="2">
        <v>2807.73</v>
      </c>
      <c r="L633">
        <v>15</v>
      </c>
      <c r="M633" s="2">
        <v>21479.13</v>
      </c>
      <c r="N633" s="2">
        <v>12461.2</v>
      </c>
      <c r="O633" s="2">
        <v>9017.93</v>
      </c>
      <c r="P633" t="s">
        <v>27</v>
      </c>
      <c r="Q633" t="s">
        <v>42</v>
      </c>
    </row>
    <row r="634" spans="1:17" x14ac:dyDescent="0.3">
      <c r="A634" t="s">
        <v>1314</v>
      </c>
      <c r="B634" s="1">
        <v>46165</v>
      </c>
      <c r="C634" t="s">
        <v>20</v>
      </c>
      <c r="D634" t="s">
        <v>21</v>
      </c>
      <c r="E634" t="s">
        <v>30</v>
      </c>
      <c r="F634" t="s">
        <v>31</v>
      </c>
      <c r="G634" t="s">
        <v>45</v>
      </c>
      <c r="H634" t="s">
        <v>67</v>
      </c>
      <c r="I634" t="s">
        <v>1315</v>
      </c>
      <c r="J634">
        <v>5</v>
      </c>
      <c r="K634" s="2">
        <v>4207.33</v>
      </c>
      <c r="L634">
        <v>0</v>
      </c>
      <c r="M634" s="2">
        <v>21036.65</v>
      </c>
      <c r="N634" s="2">
        <v>15938.1</v>
      </c>
      <c r="O634" s="2">
        <v>5098.55</v>
      </c>
      <c r="P634" t="s">
        <v>41</v>
      </c>
      <c r="Q634" t="s">
        <v>49</v>
      </c>
    </row>
    <row r="635" spans="1:17" x14ac:dyDescent="0.3">
      <c r="A635" t="s">
        <v>1316</v>
      </c>
      <c r="B635" s="1">
        <v>45777</v>
      </c>
      <c r="C635" t="s">
        <v>86</v>
      </c>
      <c r="D635" t="s">
        <v>90</v>
      </c>
      <c r="E635" t="s">
        <v>22</v>
      </c>
      <c r="F635" t="s">
        <v>23</v>
      </c>
      <c r="G635" t="s">
        <v>38</v>
      </c>
      <c r="H635" t="s">
        <v>72</v>
      </c>
      <c r="I635" t="s">
        <v>1317</v>
      </c>
      <c r="J635">
        <v>1</v>
      </c>
      <c r="K635" s="2">
        <v>1645</v>
      </c>
      <c r="L635">
        <v>0</v>
      </c>
      <c r="M635" s="2">
        <v>1645</v>
      </c>
      <c r="N635" s="2">
        <v>1263.23</v>
      </c>
      <c r="O635" s="2">
        <v>381.77</v>
      </c>
      <c r="P635" t="s">
        <v>48</v>
      </c>
      <c r="Q635" t="s">
        <v>61</v>
      </c>
    </row>
    <row r="636" spans="1:17" x14ac:dyDescent="0.3">
      <c r="A636" t="s">
        <v>1318</v>
      </c>
      <c r="B636" s="1">
        <v>46077</v>
      </c>
      <c r="C636" t="s">
        <v>35</v>
      </c>
      <c r="D636" t="s">
        <v>36</v>
      </c>
      <c r="E636" t="s">
        <v>51</v>
      </c>
      <c r="F636" t="s">
        <v>23</v>
      </c>
      <c r="G636" t="s">
        <v>24</v>
      </c>
      <c r="H636" t="s">
        <v>56</v>
      </c>
      <c r="I636" t="s">
        <v>1319</v>
      </c>
      <c r="J636">
        <v>2</v>
      </c>
      <c r="K636" s="2">
        <v>1670.47</v>
      </c>
      <c r="L636">
        <v>0</v>
      </c>
      <c r="M636" s="2">
        <v>3340.94</v>
      </c>
      <c r="N636" s="2">
        <v>2258.91</v>
      </c>
      <c r="O636" s="2">
        <v>1082.03</v>
      </c>
      <c r="P636" t="s">
        <v>48</v>
      </c>
      <c r="Q636" t="s">
        <v>42</v>
      </c>
    </row>
    <row r="637" spans="1:17" x14ac:dyDescent="0.3">
      <c r="A637" t="s">
        <v>1320</v>
      </c>
      <c r="B637" s="1">
        <v>45723</v>
      </c>
      <c r="C637" t="s">
        <v>35</v>
      </c>
      <c r="D637" t="s">
        <v>59</v>
      </c>
      <c r="E637" t="s">
        <v>22</v>
      </c>
      <c r="F637" t="s">
        <v>37</v>
      </c>
      <c r="G637" t="s">
        <v>38</v>
      </c>
      <c r="H637" t="s">
        <v>106</v>
      </c>
      <c r="I637" t="s">
        <v>1321</v>
      </c>
      <c r="J637">
        <v>13</v>
      </c>
      <c r="K637" s="2">
        <v>695.78</v>
      </c>
      <c r="L637">
        <v>10</v>
      </c>
      <c r="M637" s="2">
        <v>8140.63</v>
      </c>
      <c r="N637" s="2">
        <v>6287.12</v>
      </c>
      <c r="O637" s="2">
        <v>1853.51</v>
      </c>
      <c r="P637" t="s">
        <v>48</v>
      </c>
      <c r="Q637" t="s">
        <v>61</v>
      </c>
    </row>
    <row r="638" spans="1:17" x14ac:dyDescent="0.3">
      <c r="A638" t="s">
        <v>1322</v>
      </c>
      <c r="B638" s="1">
        <v>46181</v>
      </c>
      <c r="C638" t="s">
        <v>20</v>
      </c>
      <c r="D638" t="s">
        <v>21</v>
      </c>
      <c r="E638" t="s">
        <v>120</v>
      </c>
      <c r="F638" t="s">
        <v>23</v>
      </c>
      <c r="G638" t="s">
        <v>45</v>
      </c>
      <c r="H638" t="s">
        <v>52</v>
      </c>
      <c r="I638" t="s">
        <v>1323</v>
      </c>
      <c r="J638">
        <v>12</v>
      </c>
      <c r="K638" s="2">
        <v>3983.85</v>
      </c>
      <c r="L638">
        <v>15</v>
      </c>
      <c r="M638" s="2">
        <v>40635.269999999997</v>
      </c>
      <c r="N638" s="2">
        <v>28733.82</v>
      </c>
      <c r="O638" s="2">
        <v>11901.45</v>
      </c>
      <c r="P638" t="s">
        <v>41</v>
      </c>
      <c r="Q638" t="s">
        <v>28</v>
      </c>
    </row>
    <row r="639" spans="1:17" x14ac:dyDescent="0.3">
      <c r="A639" t="s">
        <v>1324</v>
      </c>
      <c r="B639" s="1">
        <v>46155</v>
      </c>
      <c r="C639" t="s">
        <v>20</v>
      </c>
      <c r="D639" t="s">
        <v>55</v>
      </c>
      <c r="E639" t="s">
        <v>170</v>
      </c>
      <c r="F639" t="s">
        <v>37</v>
      </c>
      <c r="G639" t="s">
        <v>45</v>
      </c>
      <c r="H639" t="s">
        <v>123</v>
      </c>
      <c r="I639" t="s">
        <v>1325</v>
      </c>
      <c r="J639">
        <v>1</v>
      </c>
      <c r="K639" s="2">
        <v>646.11</v>
      </c>
      <c r="L639">
        <v>0</v>
      </c>
      <c r="M639" s="2">
        <v>646.11</v>
      </c>
      <c r="N639" s="2">
        <v>434.49</v>
      </c>
      <c r="O639" s="2">
        <v>211.62</v>
      </c>
      <c r="P639" t="s">
        <v>48</v>
      </c>
      <c r="Q639" t="s">
        <v>42</v>
      </c>
    </row>
    <row r="640" spans="1:17" x14ac:dyDescent="0.3">
      <c r="A640" t="s">
        <v>1326</v>
      </c>
      <c r="B640" s="1">
        <v>45993</v>
      </c>
      <c r="C640" t="s">
        <v>35</v>
      </c>
      <c r="D640" t="s">
        <v>36</v>
      </c>
      <c r="E640" t="s">
        <v>22</v>
      </c>
      <c r="F640" t="s">
        <v>31</v>
      </c>
      <c r="G640" t="s">
        <v>38</v>
      </c>
      <c r="H640" t="s">
        <v>63</v>
      </c>
      <c r="I640" t="s">
        <v>1327</v>
      </c>
      <c r="J640">
        <v>3</v>
      </c>
      <c r="K640" s="2">
        <v>2679.82</v>
      </c>
      <c r="L640">
        <v>0</v>
      </c>
      <c r="M640" s="2">
        <v>8039.46</v>
      </c>
      <c r="N640" s="2">
        <v>5922.13</v>
      </c>
      <c r="O640" s="2">
        <v>2117.33</v>
      </c>
      <c r="P640" t="s">
        <v>41</v>
      </c>
      <c r="Q640" t="s">
        <v>28</v>
      </c>
    </row>
    <row r="641" spans="1:17" x14ac:dyDescent="0.3">
      <c r="A641" t="s">
        <v>1328</v>
      </c>
      <c r="B641" s="1">
        <v>46109</v>
      </c>
      <c r="C641" t="s">
        <v>20</v>
      </c>
      <c r="D641" t="s">
        <v>21</v>
      </c>
      <c r="E641" t="s">
        <v>113</v>
      </c>
      <c r="F641" t="s">
        <v>37</v>
      </c>
      <c r="G641" t="s">
        <v>45</v>
      </c>
      <c r="H641" t="s">
        <v>46</v>
      </c>
      <c r="I641" t="s">
        <v>1329</v>
      </c>
      <c r="J641">
        <v>5</v>
      </c>
      <c r="K641" s="2">
        <v>3288</v>
      </c>
      <c r="L641">
        <v>0</v>
      </c>
      <c r="M641" s="2">
        <v>16440</v>
      </c>
      <c r="N641" s="2">
        <v>11696.84</v>
      </c>
      <c r="O641" s="2">
        <v>4743.16</v>
      </c>
      <c r="P641" t="s">
        <v>48</v>
      </c>
      <c r="Q641" t="s">
        <v>28</v>
      </c>
    </row>
    <row r="642" spans="1:17" x14ac:dyDescent="0.3">
      <c r="A642" t="s">
        <v>1330</v>
      </c>
      <c r="B642" s="1">
        <v>45678</v>
      </c>
      <c r="C642" t="s">
        <v>86</v>
      </c>
      <c r="D642" t="s">
        <v>87</v>
      </c>
      <c r="E642" t="s">
        <v>170</v>
      </c>
      <c r="F642" t="s">
        <v>37</v>
      </c>
      <c r="G642" t="s">
        <v>24</v>
      </c>
      <c r="H642" t="s">
        <v>56</v>
      </c>
      <c r="I642" t="s">
        <v>1331</v>
      </c>
      <c r="J642">
        <v>1</v>
      </c>
      <c r="K642" s="2">
        <v>912.68</v>
      </c>
      <c r="L642">
        <v>15</v>
      </c>
      <c r="M642" s="2">
        <v>775.78</v>
      </c>
      <c r="N642" s="2">
        <v>577.49</v>
      </c>
      <c r="O642" s="2">
        <v>198.29</v>
      </c>
      <c r="P642" t="s">
        <v>41</v>
      </c>
      <c r="Q642" t="s">
        <v>61</v>
      </c>
    </row>
    <row r="643" spans="1:17" x14ac:dyDescent="0.3">
      <c r="A643" t="s">
        <v>1332</v>
      </c>
      <c r="B643" s="1">
        <v>45917</v>
      </c>
      <c r="C643" t="s">
        <v>20</v>
      </c>
      <c r="D643" t="s">
        <v>21</v>
      </c>
      <c r="E643" t="s">
        <v>170</v>
      </c>
      <c r="F643" t="s">
        <v>31</v>
      </c>
      <c r="G643" t="s">
        <v>38</v>
      </c>
      <c r="H643" t="s">
        <v>91</v>
      </c>
      <c r="I643" t="s">
        <v>1333</v>
      </c>
      <c r="J643">
        <v>9</v>
      </c>
      <c r="K643" s="2">
        <v>4010.43</v>
      </c>
      <c r="L643">
        <v>0</v>
      </c>
      <c r="M643" s="2">
        <v>36093.870000000003</v>
      </c>
      <c r="N643" s="2">
        <v>20465.04</v>
      </c>
      <c r="O643" s="2">
        <v>15628.83</v>
      </c>
      <c r="P643" t="s">
        <v>48</v>
      </c>
      <c r="Q643" t="s">
        <v>28</v>
      </c>
    </row>
    <row r="644" spans="1:17" x14ac:dyDescent="0.3">
      <c r="A644" t="s">
        <v>1334</v>
      </c>
      <c r="B644" s="1">
        <v>45707</v>
      </c>
      <c r="C644" t="s">
        <v>70</v>
      </c>
      <c r="D644" t="s">
        <v>75</v>
      </c>
      <c r="E644" t="s">
        <v>44</v>
      </c>
      <c r="F644" t="s">
        <v>37</v>
      </c>
      <c r="G644" t="s">
        <v>24</v>
      </c>
      <c r="H644" t="s">
        <v>134</v>
      </c>
      <c r="I644" t="s">
        <v>1335</v>
      </c>
      <c r="J644">
        <v>8</v>
      </c>
      <c r="K644" s="2">
        <v>2931.3</v>
      </c>
      <c r="L644">
        <v>20</v>
      </c>
      <c r="M644" s="2">
        <v>18760.32</v>
      </c>
      <c r="N644" s="2">
        <v>10625.15</v>
      </c>
      <c r="O644" s="2">
        <v>8135.17</v>
      </c>
      <c r="P644" t="s">
        <v>48</v>
      </c>
      <c r="Q644" t="s">
        <v>61</v>
      </c>
    </row>
    <row r="645" spans="1:17" x14ac:dyDescent="0.3">
      <c r="A645" t="s">
        <v>1336</v>
      </c>
      <c r="B645" s="1">
        <v>46187</v>
      </c>
      <c r="C645" t="s">
        <v>70</v>
      </c>
      <c r="D645" t="s">
        <v>71</v>
      </c>
      <c r="E645" t="s">
        <v>44</v>
      </c>
      <c r="F645" t="s">
        <v>37</v>
      </c>
      <c r="G645" t="s">
        <v>24</v>
      </c>
      <c r="H645" t="s">
        <v>25</v>
      </c>
      <c r="I645" t="s">
        <v>1337</v>
      </c>
      <c r="J645">
        <v>10</v>
      </c>
      <c r="K645" s="2">
        <v>4774.8900000000003</v>
      </c>
      <c r="L645">
        <v>20</v>
      </c>
      <c r="M645" s="2">
        <v>38199.120000000003</v>
      </c>
      <c r="N645" s="2">
        <v>24113.279999999999</v>
      </c>
      <c r="O645" s="2">
        <v>14085.84</v>
      </c>
      <c r="P645" t="s">
        <v>48</v>
      </c>
      <c r="Q645" t="s">
        <v>49</v>
      </c>
    </row>
    <row r="646" spans="1:17" x14ac:dyDescent="0.3">
      <c r="A646" t="s">
        <v>1338</v>
      </c>
      <c r="B646" s="1">
        <v>45901</v>
      </c>
      <c r="C646" t="s">
        <v>35</v>
      </c>
      <c r="D646" t="s">
        <v>59</v>
      </c>
      <c r="E646" t="s">
        <v>113</v>
      </c>
      <c r="F646" t="s">
        <v>31</v>
      </c>
      <c r="G646" t="s">
        <v>38</v>
      </c>
      <c r="H646" t="s">
        <v>39</v>
      </c>
      <c r="I646" t="s">
        <v>1339</v>
      </c>
      <c r="J646">
        <v>12</v>
      </c>
      <c r="K646" s="2">
        <v>1047.17</v>
      </c>
      <c r="L646">
        <v>0</v>
      </c>
      <c r="M646" s="2">
        <v>12566.04</v>
      </c>
      <c r="N646" s="2">
        <v>9971.75</v>
      </c>
      <c r="O646" s="2">
        <v>2594.29</v>
      </c>
      <c r="P646" t="s">
        <v>27</v>
      </c>
      <c r="Q646" t="s">
        <v>49</v>
      </c>
    </row>
    <row r="647" spans="1:17" x14ac:dyDescent="0.3">
      <c r="A647" t="s">
        <v>1340</v>
      </c>
      <c r="B647" s="1">
        <v>45724</v>
      </c>
      <c r="C647" t="s">
        <v>35</v>
      </c>
      <c r="D647" t="s">
        <v>36</v>
      </c>
      <c r="E647" t="s">
        <v>120</v>
      </c>
      <c r="F647" t="s">
        <v>23</v>
      </c>
      <c r="G647" t="s">
        <v>45</v>
      </c>
      <c r="H647" t="s">
        <v>159</v>
      </c>
      <c r="I647" t="s">
        <v>1341</v>
      </c>
      <c r="J647">
        <v>11</v>
      </c>
      <c r="K647" s="2">
        <v>294.62</v>
      </c>
      <c r="L647">
        <v>15</v>
      </c>
      <c r="M647" s="2">
        <v>2754.7</v>
      </c>
      <c r="N647" s="2">
        <v>2209.29</v>
      </c>
      <c r="O647" s="2">
        <v>545.41</v>
      </c>
      <c r="P647" t="s">
        <v>48</v>
      </c>
      <c r="Q647" t="s">
        <v>42</v>
      </c>
    </row>
    <row r="648" spans="1:17" x14ac:dyDescent="0.3">
      <c r="A648" t="s">
        <v>1342</v>
      </c>
      <c r="B648" s="1">
        <v>46036</v>
      </c>
      <c r="C648" t="s">
        <v>20</v>
      </c>
      <c r="D648" t="s">
        <v>21</v>
      </c>
      <c r="E648" t="s">
        <v>51</v>
      </c>
      <c r="F648" t="s">
        <v>31</v>
      </c>
      <c r="G648" t="s">
        <v>38</v>
      </c>
      <c r="H648" t="s">
        <v>91</v>
      </c>
      <c r="I648" t="s">
        <v>1343</v>
      </c>
      <c r="J648">
        <v>14</v>
      </c>
      <c r="K648" s="2">
        <v>2603.02</v>
      </c>
      <c r="L648">
        <v>0</v>
      </c>
      <c r="M648" s="2">
        <v>36442.28</v>
      </c>
      <c r="N648" s="2">
        <v>20129.14</v>
      </c>
      <c r="O648" s="2">
        <v>16313.14</v>
      </c>
      <c r="P648" t="s">
        <v>48</v>
      </c>
      <c r="Q648" t="s">
        <v>28</v>
      </c>
    </row>
    <row r="649" spans="1:17" x14ac:dyDescent="0.3">
      <c r="A649" t="s">
        <v>1344</v>
      </c>
      <c r="B649" s="1">
        <v>46136</v>
      </c>
      <c r="C649" t="s">
        <v>86</v>
      </c>
      <c r="D649" t="s">
        <v>87</v>
      </c>
      <c r="E649" t="s">
        <v>22</v>
      </c>
      <c r="F649" t="s">
        <v>31</v>
      </c>
      <c r="G649" t="s">
        <v>45</v>
      </c>
      <c r="H649" t="s">
        <v>52</v>
      </c>
      <c r="I649" t="s">
        <v>1345</v>
      </c>
      <c r="J649">
        <v>8</v>
      </c>
      <c r="K649" s="2">
        <v>4738.54</v>
      </c>
      <c r="L649">
        <v>20</v>
      </c>
      <c r="M649" s="2">
        <v>30326.66</v>
      </c>
      <c r="N649" s="2">
        <v>24842.06</v>
      </c>
      <c r="O649" s="2">
        <v>5484.6</v>
      </c>
      <c r="P649" t="s">
        <v>27</v>
      </c>
      <c r="Q649" t="s">
        <v>61</v>
      </c>
    </row>
    <row r="650" spans="1:17" x14ac:dyDescent="0.3">
      <c r="A650" t="s">
        <v>1346</v>
      </c>
      <c r="B650" s="1">
        <v>46178</v>
      </c>
      <c r="C650" t="s">
        <v>35</v>
      </c>
      <c r="D650" t="s">
        <v>36</v>
      </c>
      <c r="E650" t="s">
        <v>66</v>
      </c>
      <c r="F650" t="s">
        <v>31</v>
      </c>
      <c r="G650" t="s">
        <v>45</v>
      </c>
      <c r="H650" t="s">
        <v>52</v>
      </c>
      <c r="I650" t="s">
        <v>1347</v>
      </c>
      <c r="J650">
        <v>2</v>
      </c>
      <c r="K650" s="2">
        <v>824.85</v>
      </c>
      <c r="L650">
        <v>15</v>
      </c>
      <c r="M650" s="2">
        <v>1402.24</v>
      </c>
      <c r="N650" s="2">
        <v>1090.01</v>
      </c>
      <c r="O650" s="2">
        <v>312.23</v>
      </c>
      <c r="P650" t="s">
        <v>27</v>
      </c>
      <c r="Q650" t="s">
        <v>49</v>
      </c>
    </row>
    <row r="651" spans="1:17" x14ac:dyDescent="0.3">
      <c r="A651" t="s">
        <v>1348</v>
      </c>
      <c r="B651" s="1">
        <v>46011</v>
      </c>
      <c r="C651" t="s">
        <v>86</v>
      </c>
      <c r="D651" t="s">
        <v>87</v>
      </c>
      <c r="E651" t="s">
        <v>120</v>
      </c>
      <c r="F651" t="s">
        <v>23</v>
      </c>
      <c r="G651" t="s">
        <v>38</v>
      </c>
      <c r="H651" t="s">
        <v>39</v>
      </c>
      <c r="I651" t="s">
        <v>1349</v>
      </c>
      <c r="J651">
        <v>9</v>
      </c>
      <c r="K651" s="2">
        <v>1572.12</v>
      </c>
      <c r="L651">
        <v>15</v>
      </c>
      <c r="M651" s="2">
        <v>12026.72</v>
      </c>
      <c r="N651" s="2">
        <v>8552.5400000000009</v>
      </c>
      <c r="O651" s="2">
        <v>3474.18</v>
      </c>
      <c r="P651" t="s">
        <v>41</v>
      </c>
      <c r="Q651" t="s">
        <v>28</v>
      </c>
    </row>
    <row r="652" spans="1:17" x14ac:dyDescent="0.3">
      <c r="A652" t="s">
        <v>1350</v>
      </c>
      <c r="B652" s="1">
        <v>46113</v>
      </c>
      <c r="C652" t="s">
        <v>86</v>
      </c>
      <c r="D652" t="s">
        <v>87</v>
      </c>
      <c r="E652" t="s">
        <v>113</v>
      </c>
      <c r="F652" t="s">
        <v>37</v>
      </c>
      <c r="G652" t="s">
        <v>38</v>
      </c>
      <c r="H652" t="s">
        <v>72</v>
      </c>
      <c r="I652" t="s">
        <v>1351</v>
      </c>
      <c r="J652">
        <v>15</v>
      </c>
      <c r="K652" s="2">
        <v>4765.1899999999996</v>
      </c>
      <c r="L652">
        <v>5</v>
      </c>
      <c r="M652" s="2">
        <v>67903.960000000006</v>
      </c>
      <c r="N652" s="2">
        <v>43344.65</v>
      </c>
      <c r="O652" s="2">
        <v>24559.31</v>
      </c>
      <c r="P652" t="s">
        <v>41</v>
      </c>
      <c r="Q652" t="s">
        <v>61</v>
      </c>
    </row>
    <row r="653" spans="1:17" x14ac:dyDescent="0.3">
      <c r="A653" t="s">
        <v>1352</v>
      </c>
      <c r="B653" s="1">
        <v>45933</v>
      </c>
      <c r="C653" t="s">
        <v>86</v>
      </c>
      <c r="D653" t="s">
        <v>87</v>
      </c>
      <c r="E653" t="s">
        <v>44</v>
      </c>
      <c r="F653" t="s">
        <v>31</v>
      </c>
      <c r="G653" t="s">
        <v>38</v>
      </c>
      <c r="H653" t="s">
        <v>39</v>
      </c>
      <c r="I653" t="s">
        <v>1353</v>
      </c>
      <c r="J653">
        <v>13</v>
      </c>
      <c r="K653" s="2">
        <v>2002.99</v>
      </c>
      <c r="L653">
        <v>15</v>
      </c>
      <c r="M653" s="2">
        <v>22133.040000000001</v>
      </c>
      <c r="N653" s="2">
        <v>17871.59</v>
      </c>
      <c r="O653" s="2">
        <v>4261.45</v>
      </c>
      <c r="P653" t="s">
        <v>48</v>
      </c>
      <c r="Q653" t="s">
        <v>28</v>
      </c>
    </row>
    <row r="654" spans="1:17" x14ac:dyDescent="0.3">
      <c r="A654" t="s">
        <v>1354</v>
      </c>
      <c r="B654" s="1">
        <v>45721</v>
      </c>
      <c r="C654" t="s">
        <v>70</v>
      </c>
      <c r="D654" t="s">
        <v>75</v>
      </c>
      <c r="E654" t="s">
        <v>44</v>
      </c>
      <c r="F654" t="s">
        <v>23</v>
      </c>
      <c r="G654" t="s">
        <v>38</v>
      </c>
      <c r="H654" t="s">
        <v>39</v>
      </c>
      <c r="I654" t="s">
        <v>1355</v>
      </c>
      <c r="J654">
        <v>7</v>
      </c>
      <c r="K654" s="2">
        <v>4170.26</v>
      </c>
      <c r="L654">
        <v>0</v>
      </c>
      <c r="M654" s="2">
        <v>29191.82</v>
      </c>
      <c r="N654" s="2">
        <v>22953</v>
      </c>
      <c r="O654" s="2">
        <v>6238.82</v>
      </c>
      <c r="P654" t="s">
        <v>48</v>
      </c>
      <c r="Q654" t="s">
        <v>49</v>
      </c>
    </row>
    <row r="655" spans="1:17" x14ac:dyDescent="0.3">
      <c r="A655" t="s">
        <v>1356</v>
      </c>
      <c r="B655" s="1">
        <v>45912</v>
      </c>
      <c r="C655" t="s">
        <v>20</v>
      </c>
      <c r="D655" t="s">
        <v>21</v>
      </c>
      <c r="E655" t="s">
        <v>120</v>
      </c>
      <c r="F655" t="s">
        <v>31</v>
      </c>
      <c r="G655" t="s">
        <v>24</v>
      </c>
      <c r="H655" t="s">
        <v>56</v>
      </c>
      <c r="I655" t="s">
        <v>1357</v>
      </c>
      <c r="J655">
        <v>14</v>
      </c>
      <c r="K655" s="2">
        <v>1138.8399999999999</v>
      </c>
      <c r="L655">
        <v>5</v>
      </c>
      <c r="M655" s="2">
        <v>15146.57</v>
      </c>
      <c r="N655" s="2">
        <v>10959.89</v>
      </c>
      <c r="O655" s="2">
        <v>4186.68</v>
      </c>
      <c r="P655" t="s">
        <v>48</v>
      </c>
      <c r="Q655" t="s">
        <v>49</v>
      </c>
    </row>
    <row r="656" spans="1:17" x14ac:dyDescent="0.3">
      <c r="A656" t="s">
        <v>1358</v>
      </c>
      <c r="B656" s="1">
        <v>46065</v>
      </c>
      <c r="C656" t="s">
        <v>86</v>
      </c>
      <c r="D656" t="s">
        <v>90</v>
      </c>
      <c r="E656" t="s">
        <v>30</v>
      </c>
      <c r="F656" t="s">
        <v>37</v>
      </c>
      <c r="G656" t="s">
        <v>45</v>
      </c>
      <c r="H656" t="s">
        <v>123</v>
      </c>
      <c r="I656" t="s">
        <v>1359</v>
      </c>
      <c r="J656">
        <v>1</v>
      </c>
      <c r="K656" s="2">
        <v>917.69</v>
      </c>
      <c r="L656">
        <v>15</v>
      </c>
      <c r="M656" s="2">
        <v>780.04</v>
      </c>
      <c r="N656" s="2">
        <v>551.79</v>
      </c>
      <c r="O656" s="2">
        <v>228.25</v>
      </c>
      <c r="P656" t="s">
        <v>48</v>
      </c>
      <c r="Q656" t="s">
        <v>61</v>
      </c>
    </row>
    <row r="657" spans="1:17" x14ac:dyDescent="0.3">
      <c r="A657" t="s">
        <v>1360</v>
      </c>
      <c r="B657" s="1">
        <v>45852</v>
      </c>
      <c r="C657" t="s">
        <v>35</v>
      </c>
      <c r="D657" t="s">
        <v>36</v>
      </c>
      <c r="E657" t="s">
        <v>22</v>
      </c>
      <c r="F657" t="s">
        <v>23</v>
      </c>
      <c r="G657" t="s">
        <v>38</v>
      </c>
      <c r="H657" t="s">
        <v>106</v>
      </c>
      <c r="I657" t="s">
        <v>1361</v>
      </c>
      <c r="J657">
        <v>3</v>
      </c>
      <c r="K657" s="2">
        <v>401.84</v>
      </c>
      <c r="L657">
        <v>5</v>
      </c>
      <c r="M657" s="2">
        <v>1145.24</v>
      </c>
      <c r="N657" s="2">
        <v>712.51</v>
      </c>
      <c r="O657" s="2">
        <v>432.73</v>
      </c>
      <c r="P657" t="s">
        <v>48</v>
      </c>
      <c r="Q657" t="s">
        <v>42</v>
      </c>
    </row>
    <row r="658" spans="1:17" x14ac:dyDescent="0.3">
      <c r="A658" t="s">
        <v>1362</v>
      </c>
      <c r="B658" s="1">
        <v>45813</v>
      </c>
      <c r="C658" t="s">
        <v>70</v>
      </c>
      <c r="D658" t="s">
        <v>71</v>
      </c>
      <c r="E658" t="s">
        <v>170</v>
      </c>
      <c r="F658" t="s">
        <v>31</v>
      </c>
      <c r="G658" t="s">
        <v>24</v>
      </c>
      <c r="H658" t="s">
        <v>56</v>
      </c>
      <c r="I658" t="s">
        <v>1363</v>
      </c>
      <c r="J658">
        <v>15</v>
      </c>
      <c r="K658" s="2">
        <v>2357.0700000000002</v>
      </c>
      <c r="L658">
        <v>20</v>
      </c>
      <c r="M658" s="2">
        <v>28284.84</v>
      </c>
      <c r="N658" s="2">
        <v>20148.3</v>
      </c>
      <c r="O658" s="2">
        <v>8136.54</v>
      </c>
      <c r="P658" t="s">
        <v>27</v>
      </c>
      <c r="Q658" t="s">
        <v>61</v>
      </c>
    </row>
    <row r="659" spans="1:17" x14ac:dyDescent="0.3">
      <c r="A659" t="s">
        <v>1364</v>
      </c>
      <c r="B659" s="1">
        <v>45924</v>
      </c>
      <c r="C659" t="s">
        <v>86</v>
      </c>
      <c r="D659" t="s">
        <v>87</v>
      </c>
      <c r="E659" t="s">
        <v>66</v>
      </c>
      <c r="F659" t="s">
        <v>23</v>
      </c>
      <c r="G659" t="s">
        <v>24</v>
      </c>
      <c r="H659" t="s">
        <v>32</v>
      </c>
      <c r="I659" t="s">
        <v>1365</v>
      </c>
      <c r="J659">
        <v>14</v>
      </c>
      <c r="K659" s="2">
        <v>4137.5600000000004</v>
      </c>
      <c r="L659">
        <v>10</v>
      </c>
      <c r="M659" s="2">
        <v>52133.26</v>
      </c>
      <c r="N659" s="2">
        <v>41917.29</v>
      </c>
      <c r="O659" s="2">
        <v>10215.969999999999</v>
      </c>
      <c r="P659" t="s">
        <v>41</v>
      </c>
      <c r="Q659" t="s">
        <v>61</v>
      </c>
    </row>
    <row r="660" spans="1:17" x14ac:dyDescent="0.3">
      <c r="A660" t="s">
        <v>1366</v>
      </c>
      <c r="B660" s="1">
        <v>46129</v>
      </c>
      <c r="C660" t="s">
        <v>86</v>
      </c>
      <c r="D660" t="s">
        <v>87</v>
      </c>
      <c r="E660" t="s">
        <v>30</v>
      </c>
      <c r="F660" t="s">
        <v>37</v>
      </c>
      <c r="G660" t="s">
        <v>38</v>
      </c>
      <c r="H660" t="s">
        <v>63</v>
      </c>
      <c r="I660" t="s">
        <v>1367</v>
      </c>
      <c r="J660">
        <v>13</v>
      </c>
      <c r="K660" s="2">
        <v>2125.25</v>
      </c>
      <c r="L660">
        <v>10</v>
      </c>
      <c r="M660" s="2">
        <v>24865.42</v>
      </c>
      <c r="N660" s="2">
        <v>14609.76</v>
      </c>
      <c r="O660" s="2">
        <v>10255.66</v>
      </c>
      <c r="P660" t="s">
        <v>27</v>
      </c>
      <c r="Q660" t="s">
        <v>28</v>
      </c>
    </row>
    <row r="661" spans="1:17" x14ac:dyDescent="0.3">
      <c r="A661" t="s">
        <v>1368</v>
      </c>
      <c r="B661" s="1">
        <v>46022</v>
      </c>
      <c r="C661" t="s">
        <v>86</v>
      </c>
      <c r="D661" t="s">
        <v>90</v>
      </c>
      <c r="E661" t="s">
        <v>30</v>
      </c>
      <c r="F661" t="s">
        <v>23</v>
      </c>
      <c r="G661" t="s">
        <v>45</v>
      </c>
      <c r="H661" t="s">
        <v>159</v>
      </c>
      <c r="I661" t="s">
        <v>1369</v>
      </c>
      <c r="J661">
        <v>10</v>
      </c>
      <c r="K661" s="2">
        <v>4225.59</v>
      </c>
      <c r="L661">
        <v>15</v>
      </c>
      <c r="M661" s="2">
        <v>35917.51</v>
      </c>
      <c r="N661" s="2">
        <v>26302.5</v>
      </c>
      <c r="O661" s="2">
        <v>9615.01</v>
      </c>
      <c r="P661" t="s">
        <v>41</v>
      </c>
      <c r="Q661" t="s">
        <v>49</v>
      </c>
    </row>
    <row r="662" spans="1:17" x14ac:dyDescent="0.3">
      <c r="A662" t="s">
        <v>1370</v>
      </c>
      <c r="B662" s="1">
        <v>46164</v>
      </c>
      <c r="C662" t="s">
        <v>20</v>
      </c>
      <c r="D662" t="s">
        <v>55</v>
      </c>
      <c r="E662" t="s">
        <v>120</v>
      </c>
      <c r="F662" t="s">
        <v>23</v>
      </c>
      <c r="G662" t="s">
        <v>24</v>
      </c>
      <c r="H662" t="s">
        <v>32</v>
      </c>
      <c r="I662" t="s">
        <v>1371</v>
      </c>
      <c r="J662">
        <v>11</v>
      </c>
      <c r="K662" s="2">
        <v>3999.25</v>
      </c>
      <c r="L662">
        <v>10</v>
      </c>
      <c r="M662" s="2">
        <v>39592.58</v>
      </c>
      <c r="N662" s="2">
        <v>24835.72</v>
      </c>
      <c r="O662" s="2">
        <v>14756.86</v>
      </c>
      <c r="P662" t="s">
        <v>48</v>
      </c>
      <c r="Q662" t="s">
        <v>49</v>
      </c>
    </row>
    <row r="663" spans="1:17" x14ac:dyDescent="0.3">
      <c r="A663" t="s">
        <v>1372</v>
      </c>
      <c r="B663" s="1">
        <v>45914</v>
      </c>
      <c r="C663" t="s">
        <v>86</v>
      </c>
      <c r="D663" t="s">
        <v>90</v>
      </c>
      <c r="E663" t="s">
        <v>22</v>
      </c>
      <c r="F663" t="s">
        <v>37</v>
      </c>
      <c r="G663" t="s">
        <v>38</v>
      </c>
      <c r="H663" t="s">
        <v>106</v>
      </c>
      <c r="I663" t="s">
        <v>1373</v>
      </c>
      <c r="J663">
        <v>10</v>
      </c>
      <c r="K663" s="2">
        <v>4109.96</v>
      </c>
      <c r="L663">
        <v>20</v>
      </c>
      <c r="M663" s="2">
        <v>32879.68</v>
      </c>
      <c r="N663" s="2">
        <v>18455.98</v>
      </c>
      <c r="O663" s="2">
        <v>14423.7</v>
      </c>
      <c r="P663" t="s">
        <v>41</v>
      </c>
      <c r="Q663" t="s">
        <v>28</v>
      </c>
    </row>
    <row r="664" spans="1:17" x14ac:dyDescent="0.3">
      <c r="A664" t="s">
        <v>1374</v>
      </c>
      <c r="B664" s="1">
        <v>45996</v>
      </c>
      <c r="C664" t="s">
        <v>20</v>
      </c>
      <c r="D664" t="s">
        <v>21</v>
      </c>
      <c r="E664" t="s">
        <v>51</v>
      </c>
      <c r="F664" t="s">
        <v>23</v>
      </c>
      <c r="G664" t="s">
        <v>38</v>
      </c>
      <c r="H664" t="s">
        <v>39</v>
      </c>
      <c r="I664" t="s">
        <v>1375</v>
      </c>
      <c r="J664">
        <v>1</v>
      </c>
      <c r="K664" s="2">
        <v>1955.18</v>
      </c>
      <c r="L664">
        <v>20</v>
      </c>
      <c r="M664" s="2">
        <v>1564.14</v>
      </c>
      <c r="N664" s="2">
        <v>898.58</v>
      </c>
      <c r="O664" s="2">
        <v>665.56</v>
      </c>
      <c r="P664" t="s">
        <v>48</v>
      </c>
      <c r="Q664" t="s">
        <v>49</v>
      </c>
    </row>
    <row r="665" spans="1:17" x14ac:dyDescent="0.3">
      <c r="A665" t="s">
        <v>1376</v>
      </c>
      <c r="B665" s="1">
        <v>45864</v>
      </c>
      <c r="C665" t="s">
        <v>70</v>
      </c>
      <c r="D665" t="s">
        <v>71</v>
      </c>
      <c r="E665" t="s">
        <v>30</v>
      </c>
      <c r="F665" t="s">
        <v>31</v>
      </c>
      <c r="G665" t="s">
        <v>45</v>
      </c>
      <c r="H665" t="s">
        <v>52</v>
      </c>
      <c r="I665" t="s">
        <v>1377</v>
      </c>
      <c r="J665">
        <v>2</v>
      </c>
      <c r="K665" s="2">
        <v>3951.32</v>
      </c>
      <c r="L665">
        <v>10</v>
      </c>
      <c r="M665" s="2">
        <v>7112.38</v>
      </c>
      <c r="N665" s="2">
        <v>4339.55</v>
      </c>
      <c r="O665" s="2">
        <v>2772.83</v>
      </c>
      <c r="P665" t="s">
        <v>48</v>
      </c>
      <c r="Q665" t="s">
        <v>61</v>
      </c>
    </row>
    <row r="666" spans="1:17" x14ac:dyDescent="0.3">
      <c r="A666" t="s">
        <v>1378</v>
      </c>
      <c r="B666" s="1">
        <v>46176</v>
      </c>
      <c r="C666" t="s">
        <v>20</v>
      </c>
      <c r="D666" t="s">
        <v>55</v>
      </c>
      <c r="E666" t="s">
        <v>22</v>
      </c>
      <c r="F666" t="s">
        <v>37</v>
      </c>
      <c r="G666" t="s">
        <v>45</v>
      </c>
      <c r="H666" t="s">
        <v>52</v>
      </c>
      <c r="I666" t="s">
        <v>1379</v>
      </c>
      <c r="J666">
        <v>10</v>
      </c>
      <c r="K666" s="2">
        <v>757.95</v>
      </c>
      <c r="L666">
        <v>20</v>
      </c>
      <c r="M666" s="2">
        <v>6063.6</v>
      </c>
      <c r="N666" s="2">
        <v>4002.57</v>
      </c>
      <c r="O666" s="2">
        <v>2061.0300000000002</v>
      </c>
      <c r="P666" t="s">
        <v>48</v>
      </c>
      <c r="Q666" t="s">
        <v>28</v>
      </c>
    </row>
    <row r="667" spans="1:17" x14ac:dyDescent="0.3">
      <c r="A667" t="s">
        <v>1380</v>
      </c>
      <c r="B667" s="1">
        <v>45969</v>
      </c>
      <c r="C667" t="s">
        <v>20</v>
      </c>
      <c r="D667" t="s">
        <v>55</v>
      </c>
      <c r="E667" t="s">
        <v>170</v>
      </c>
      <c r="F667" t="s">
        <v>23</v>
      </c>
      <c r="G667" t="s">
        <v>24</v>
      </c>
      <c r="H667" t="s">
        <v>56</v>
      </c>
      <c r="I667" t="s">
        <v>1381</v>
      </c>
      <c r="J667">
        <v>1</v>
      </c>
      <c r="K667" s="2">
        <v>4509.55</v>
      </c>
      <c r="L667">
        <v>20</v>
      </c>
      <c r="M667" s="2">
        <v>3607.64</v>
      </c>
      <c r="N667" s="2">
        <v>2537.29</v>
      </c>
      <c r="O667" s="2">
        <v>1070.3499999999999</v>
      </c>
      <c r="P667" t="s">
        <v>48</v>
      </c>
      <c r="Q667" t="s">
        <v>28</v>
      </c>
    </row>
    <row r="668" spans="1:17" x14ac:dyDescent="0.3">
      <c r="A668" t="s">
        <v>1382</v>
      </c>
      <c r="B668" s="1">
        <v>46023</v>
      </c>
      <c r="C668" t="s">
        <v>70</v>
      </c>
      <c r="D668" t="s">
        <v>71</v>
      </c>
      <c r="E668" t="s">
        <v>120</v>
      </c>
      <c r="F668" t="s">
        <v>31</v>
      </c>
      <c r="G668" t="s">
        <v>38</v>
      </c>
      <c r="H668" t="s">
        <v>91</v>
      </c>
      <c r="I668" t="s">
        <v>1383</v>
      </c>
      <c r="J668">
        <v>7</v>
      </c>
      <c r="K668" s="2">
        <v>4464.96</v>
      </c>
      <c r="L668">
        <v>0</v>
      </c>
      <c r="M668" s="2">
        <v>31254.720000000001</v>
      </c>
      <c r="N668" s="2">
        <v>17784.77</v>
      </c>
      <c r="O668" s="2">
        <v>13469.95</v>
      </c>
      <c r="P668" t="s">
        <v>41</v>
      </c>
      <c r="Q668" t="s">
        <v>49</v>
      </c>
    </row>
    <row r="669" spans="1:17" x14ac:dyDescent="0.3">
      <c r="A669" t="s">
        <v>1384</v>
      </c>
      <c r="B669" s="1">
        <v>45828</v>
      </c>
      <c r="C669" t="s">
        <v>86</v>
      </c>
      <c r="D669" t="s">
        <v>90</v>
      </c>
      <c r="E669" t="s">
        <v>66</v>
      </c>
      <c r="F669" t="s">
        <v>23</v>
      </c>
      <c r="G669" t="s">
        <v>24</v>
      </c>
      <c r="H669" t="s">
        <v>56</v>
      </c>
      <c r="I669" t="s">
        <v>1385</v>
      </c>
      <c r="J669">
        <v>4</v>
      </c>
      <c r="K669" s="2">
        <v>3212.41</v>
      </c>
      <c r="L669">
        <v>15</v>
      </c>
      <c r="M669" s="2">
        <v>10922.19</v>
      </c>
      <c r="N669" s="2">
        <v>8217.6</v>
      </c>
      <c r="O669" s="2">
        <v>2704.59</v>
      </c>
      <c r="P669" t="s">
        <v>48</v>
      </c>
      <c r="Q669" t="s">
        <v>49</v>
      </c>
    </row>
    <row r="670" spans="1:17" x14ac:dyDescent="0.3">
      <c r="A670" t="s">
        <v>1386</v>
      </c>
      <c r="B670" s="1">
        <v>46201</v>
      </c>
      <c r="C670" t="s">
        <v>70</v>
      </c>
      <c r="D670" t="s">
        <v>75</v>
      </c>
      <c r="E670" t="s">
        <v>170</v>
      </c>
      <c r="F670" t="s">
        <v>23</v>
      </c>
      <c r="G670" t="s">
        <v>45</v>
      </c>
      <c r="H670" t="s">
        <v>123</v>
      </c>
      <c r="I670" t="s">
        <v>1387</v>
      </c>
      <c r="J670">
        <v>15</v>
      </c>
      <c r="K670" s="2">
        <v>1344.36</v>
      </c>
      <c r="L670">
        <v>5</v>
      </c>
      <c r="M670" s="2">
        <v>19157.13</v>
      </c>
      <c r="N670" s="2">
        <v>10879.36</v>
      </c>
      <c r="O670" s="2">
        <v>8277.77</v>
      </c>
      <c r="P670" t="s">
        <v>48</v>
      </c>
      <c r="Q670" t="s">
        <v>42</v>
      </c>
    </row>
    <row r="671" spans="1:17" x14ac:dyDescent="0.3">
      <c r="A671" t="s">
        <v>1388</v>
      </c>
      <c r="B671" s="1">
        <v>45780</v>
      </c>
      <c r="C671" t="s">
        <v>20</v>
      </c>
      <c r="D671" t="s">
        <v>21</v>
      </c>
      <c r="E671" t="s">
        <v>30</v>
      </c>
      <c r="F671" t="s">
        <v>37</v>
      </c>
      <c r="G671" t="s">
        <v>38</v>
      </c>
      <c r="H671" t="s">
        <v>63</v>
      </c>
      <c r="I671" t="s">
        <v>1389</v>
      </c>
      <c r="J671">
        <v>1</v>
      </c>
      <c r="K671" s="2">
        <v>3579.74</v>
      </c>
      <c r="L671">
        <v>15</v>
      </c>
      <c r="M671" s="2">
        <v>3042.78</v>
      </c>
      <c r="N671" s="2">
        <v>2181.58</v>
      </c>
      <c r="O671" s="2">
        <v>861.2</v>
      </c>
      <c r="P671" t="s">
        <v>27</v>
      </c>
      <c r="Q671" t="s">
        <v>49</v>
      </c>
    </row>
    <row r="672" spans="1:17" x14ac:dyDescent="0.3">
      <c r="A672" t="s">
        <v>1390</v>
      </c>
      <c r="B672" s="1">
        <v>46135</v>
      </c>
      <c r="C672" t="s">
        <v>35</v>
      </c>
      <c r="D672" t="s">
        <v>59</v>
      </c>
      <c r="E672" t="s">
        <v>113</v>
      </c>
      <c r="F672" t="s">
        <v>31</v>
      </c>
      <c r="G672" t="s">
        <v>38</v>
      </c>
      <c r="H672" t="s">
        <v>91</v>
      </c>
      <c r="I672" t="s">
        <v>1391</v>
      </c>
      <c r="J672">
        <v>9</v>
      </c>
      <c r="K672" s="2">
        <v>890.05</v>
      </c>
      <c r="L672">
        <v>5</v>
      </c>
      <c r="M672" s="2">
        <v>7609.93</v>
      </c>
      <c r="N672" s="2">
        <v>4755.96</v>
      </c>
      <c r="O672" s="2">
        <v>2853.97</v>
      </c>
      <c r="P672" t="s">
        <v>41</v>
      </c>
      <c r="Q672" t="s">
        <v>28</v>
      </c>
    </row>
    <row r="673" spans="1:17" x14ac:dyDescent="0.3">
      <c r="A673" t="s">
        <v>1392</v>
      </c>
      <c r="B673" s="1">
        <v>46029</v>
      </c>
      <c r="C673" t="s">
        <v>86</v>
      </c>
      <c r="D673" t="s">
        <v>90</v>
      </c>
      <c r="E673" t="s">
        <v>30</v>
      </c>
      <c r="F673" t="s">
        <v>31</v>
      </c>
      <c r="G673" t="s">
        <v>38</v>
      </c>
      <c r="H673" t="s">
        <v>72</v>
      </c>
      <c r="I673" t="s">
        <v>1393</v>
      </c>
      <c r="J673">
        <v>14</v>
      </c>
      <c r="K673" s="2">
        <v>4145.22</v>
      </c>
      <c r="L673">
        <v>10</v>
      </c>
      <c r="M673" s="2">
        <v>52229.77</v>
      </c>
      <c r="N673" s="2">
        <v>30963.05</v>
      </c>
      <c r="O673" s="2">
        <v>21266.720000000001</v>
      </c>
      <c r="P673" t="s">
        <v>27</v>
      </c>
      <c r="Q673" t="s">
        <v>49</v>
      </c>
    </row>
    <row r="674" spans="1:17" x14ac:dyDescent="0.3">
      <c r="A674" t="s">
        <v>1394</v>
      </c>
      <c r="B674" s="1">
        <v>46134</v>
      </c>
      <c r="C674" t="s">
        <v>86</v>
      </c>
      <c r="D674" t="s">
        <v>87</v>
      </c>
      <c r="E674" t="s">
        <v>120</v>
      </c>
      <c r="F674" t="s">
        <v>37</v>
      </c>
      <c r="G674" t="s">
        <v>38</v>
      </c>
      <c r="H674" t="s">
        <v>106</v>
      </c>
      <c r="I674" t="s">
        <v>1395</v>
      </c>
      <c r="J674">
        <v>11</v>
      </c>
      <c r="K674" s="2">
        <v>2704.04</v>
      </c>
      <c r="L674">
        <v>5</v>
      </c>
      <c r="M674" s="2">
        <v>28257.22</v>
      </c>
      <c r="N674" s="2">
        <v>17679.400000000001</v>
      </c>
      <c r="O674" s="2">
        <v>10577.82</v>
      </c>
      <c r="P674" t="s">
        <v>48</v>
      </c>
      <c r="Q674" t="s">
        <v>61</v>
      </c>
    </row>
    <row r="675" spans="1:17" x14ac:dyDescent="0.3">
      <c r="A675" t="s">
        <v>1396</v>
      </c>
      <c r="B675" s="1">
        <v>45795</v>
      </c>
      <c r="C675" t="s">
        <v>70</v>
      </c>
      <c r="D675" t="s">
        <v>71</v>
      </c>
      <c r="E675" t="s">
        <v>22</v>
      </c>
      <c r="F675" t="s">
        <v>37</v>
      </c>
      <c r="G675" t="s">
        <v>24</v>
      </c>
      <c r="H675" t="s">
        <v>134</v>
      </c>
      <c r="I675" t="s">
        <v>1397</v>
      </c>
      <c r="J675">
        <v>6</v>
      </c>
      <c r="K675" s="2">
        <v>1681.67</v>
      </c>
      <c r="L675">
        <v>20</v>
      </c>
      <c r="M675" s="2">
        <v>8072.02</v>
      </c>
      <c r="N675" s="2">
        <v>6217.12</v>
      </c>
      <c r="O675" s="2">
        <v>1854.9</v>
      </c>
      <c r="P675" t="s">
        <v>41</v>
      </c>
      <c r="Q675" t="s">
        <v>28</v>
      </c>
    </row>
    <row r="676" spans="1:17" x14ac:dyDescent="0.3">
      <c r="A676" t="s">
        <v>1398</v>
      </c>
      <c r="B676" s="1">
        <v>45672</v>
      </c>
      <c r="C676" t="s">
        <v>70</v>
      </c>
      <c r="D676" t="s">
        <v>75</v>
      </c>
      <c r="E676" t="s">
        <v>170</v>
      </c>
      <c r="F676" t="s">
        <v>31</v>
      </c>
      <c r="G676" t="s">
        <v>45</v>
      </c>
      <c r="H676" t="s">
        <v>159</v>
      </c>
      <c r="I676" t="s">
        <v>1399</v>
      </c>
      <c r="J676">
        <v>9</v>
      </c>
      <c r="K676" s="2">
        <v>2284.92</v>
      </c>
      <c r="L676">
        <v>20</v>
      </c>
      <c r="M676" s="2">
        <v>16451.419999999998</v>
      </c>
      <c r="N676" s="2">
        <v>12339.26</v>
      </c>
      <c r="O676" s="2">
        <v>4112.16</v>
      </c>
      <c r="P676" t="s">
        <v>27</v>
      </c>
      <c r="Q676" t="s">
        <v>61</v>
      </c>
    </row>
    <row r="677" spans="1:17" x14ac:dyDescent="0.3">
      <c r="A677" t="s">
        <v>1400</v>
      </c>
      <c r="B677" s="1">
        <v>45798</v>
      </c>
      <c r="C677" t="s">
        <v>35</v>
      </c>
      <c r="D677" t="s">
        <v>59</v>
      </c>
      <c r="E677" t="s">
        <v>66</v>
      </c>
      <c r="F677" t="s">
        <v>23</v>
      </c>
      <c r="G677" t="s">
        <v>24</v>
      </c>
      <c r="H677" t="s">
        <v>134</v>
      </c>
      <c r="I677" t="s">
        <v>963</v>
      </c>
      <c r="J677">
        <v>6</v>
      </c>
      <c r="K677" s="2">
        <v>4620.22</v>
      </c>
      <c r="L677">
        <v>15</v>
      </c>
      <c r="M677" s="2">
        <v>23563.119999999999</v>
      </c>
      <c r="N677" s="2">
        <v>17295.21</v>
      </c>
      <c r="O677" s="2">
        <v>6267.91</v>
      </c>
      <c r="P677" t="s">
        <v>41</v>
      </c>
      <c r="Q677" t="s">
        <v>61</v>
      </c>
    </row>
    <row r="678" spans="1:17" x14ac:dyDescent="0.3">
      <c r="A678" t="s">
        <v>1401</v>
      </c>
      <c r="B678" s="1">
        <v>45907</v>
      </c>
      <c r="C678" t="s">
        <v>35</v>
      </c>
      <c r="D678" t="s">
        <v>59</v>
      </c>
      <c r="E678" t="s">
        <v>113</v>
      </c>
      <c r="F678" t="s">
        <v>37</v>
      </c>
      <c r="G678" t="s">
        <v>45</v>
      </c>
      <c r="H678" t="s">
        <v>67</v>
      </c>
      <c r="I678" t="s">
        <v>1402</v>
      </c>
      <c r="J678">
        <v>6</v>
      </c>
      <c r="K678" s="2">
        <v>431.04</v>
      </c>
      <c r="L678">
        <v>20</v>
      </c>
      <c r="M678" s="2">
        <v>2068.9899999999998</v>
      </c>
      <c r="N678" s="2">
        <v>1197.71</v>
      </c>
      <c r="O678" s="2">
        <v>871.28</v>
      </c>
      <c r="P678" t="s">
        <v>48</v>
      </c>
      <c r="Q678" t="s">
        <v>28</v>
      </c>
    </row>
    <row r="679" spans="1:17" x14ac:dyDescent="0.3">
      <c r="A679" t="s">
        <v>1403</v>
      </c>
      <c r="B679" s="1">
        <v>46007</v>
      </c>
      <c r="C679" t="s">
        <v>86</v>
      </c>
      <c r="D679" t="s">
        <v>87</v>
      </c>
      <c r="E679" t="s">
        <v>22</v>
      </c>
      <c r="F679" t="s">
        <v>31</v>
      </c>
      <c r="G679" t="s">
        <v>38</v>
      </c>
      <c r="H679" t="s">
        <v>91</v>
      </c>
      <c r="I679" t="s">
        <v>1404</v>
      </c>
      <c r="J679">
        <v>2</v>
      </c>
      <c r="K679" s="2">
        <v>2431.7199999999998</v>
      </c>
      <c r="L679">
        <v>15</v>
      </c>
      <c r="M679" s="2">
        <v>4133.92</v>
      </c>
      <c r="N679" s="2">
        <v>2754.88</v>
      </c>
      <c r="O679" s="2">
        <v>1379.04</v>
      </c>
      <c r="P679" t="s">
        <v>48</v>
      </c>
      <c r="Q679" t="s">
        <v>49</v>
      </c>
    </row>
    <row r="680" spans="1:17" x14ac:dyDescent="0.3">
      <c r="A680" t="s">
        <v>1405</v>
      </c>
      <c r="B680" s="1">
        <v>45763</v>
      </c>
      <c r="C680" t="s">
        <v>86</v>
      </c>
      <c r="D680" t="s">
        <v>90</v>
      </c>
      <c r="E680" t="s">
        <v>30</v>
      </c>
      <c r="F680" t="s">
        <v>37</v>
      </c>
      <c r="G680" t="s">
        <v>24</v>
      </c>
      <c r="H680" t="s">
        <v>171</v>
      </c>
      <c r="I680" t="s">
        <v>458</v>
      </c>
      <c r="J680">
        <v>2</v>
      </c>
      <c r="K680" s="2">
        <v>2022.88</v>
      </c>
      <c r="L680">
        <v>20</v>
      </c>
      <c r="M680" s="2">
        <v>3236.61</v>
      </c>
      <c r="N680" s="2">
        <v>1790.07</v>
      </c>
      <c r="O680" s="2">
        <v>1446.54</v>
      </c>
      <c r="P680" t="s">
        <v>27</v>
      </c>
      <c r="Q680" t="s">
        <v>49</v>
      </c>
    </row>
    <row r="681" spans="1:17" x14ac:dyDescent="0.3">
      <c r="A681" t="s">
        <v>1406</v>
      </c>
      <c r="B681" s="1">
        <v>45976</v>
      </c>
      <c r="C681" t="s">
        <v>86</v>
      </c>
      <c r="D681" t="s">
        <v>87</v>
      </c>
      <c r="E681" t="s">
        <v>30</v>
      </c>
      <c r="F681" t="s">
        <v>31</v>
      </c>
      <c r="G681" t="s">
        <v>45</v>
      </c>
      <c r="H681" t="s">
        <v>52</v>
      </c>
      <c r="I681" t="s">
        <v>1407</v>
      </c>
      <c r="J681">
        <v>6</v>
      </c>
      <c r="K681" s="2">
        <v>2387.5700000000002</v>
      </c>
      <c r="L681">
        <v>20</v>
      </c>
      <c r="M681" s="2">
        <v>11460.34</v>
      </c>
      <c r="N681" s="2">
        <v>8797.84</v>
      </c>
      <c r="O681" s="2">
        <v>2662.5</v>
      </c>
      <c r="P681" t="s">
        <v>27</v>
      </c>
      <c r="Q681" t="s">
        <v>61</v>
      </c>
    </row>
    <row r="682" spans="1:17" x14ac:dyDescent="0.3">
      <c r="A682" t="s">
        <v>1408</v>
      </c>
      <c r="B682" s="1">
        <v>46196</v>
      </c>
      <c r="C682" t="s">
        <v>35</v>
      </c>
      <c r="D682" t="s">
        <v>59</v>
      </c>
      <c r="E682" t="s">
        <v>66</v>
      </c>
      <c r="F682" t="s">
        <v>37</v>
      </c>
      <c r="G682" t="s">
        <v>38</v>
      </c>
      <c r="H682" t="s">
        <v>72</v>
      </c>
      <c r="I682" t="s">
        <v>924</v>
      </c>
      <c r="J682">
        <v>9</v>
      </c>
      <c r="K682" s="2">
        <v>343.89</v>
      </c>
      <c r="L682">
        <v>15</v>
      </c>
      <c r="M682" s="2">
        <v>2630.76</v>
      </c>
      <c r="N682" s="2">
        <v>1795.53</v>
      </c>
      <c r="O682" s="2">
        <v>835.23</v>
      </c>
      <c r="P682" t="s">
        <v>48</v>
      </c>
      <c r="Q682" t="s">
        <v>28</v>
      </c>
    </row>
    <row r="683" spans="1:17" x14ac:dyDescent="0.3">
      <c r="A683" t="s">
        <v>1409</v>
      </c>
      <c r="B683" s="1">
        <v>45707</v>
      </c>
      <c r="C683" t="s">
        <v>20</v>
      </c>
      <c r="D683" t="s">
        <v>55</v>
      </c>
      <c r="E683" t="s">
        <v>51</v>
      </c>
      <c r="F683" t="s">
        <v>23</v>
      </c>
      <c r="G683" t="s">
        <v>38</v>
      </c>
      <c r="H683" t="s">
        <v>63</v>
      </c>
      <c r="I683" t="s">
        <v>1410</v>
      </c>
      <c r="J683">
        <v>15</v>
      </c>
      <c r="K683" s="2">
        <v>3382.34</v>
      </c>
      <c r="L683">
        <v>5</v>
      </c>
      <c r="M683" s="2">
        <v>48198.35</v>
      </c>
      <c r="N683" s="2">
        <v>35747.040000000001</v>
      </c>
      <c r="O683" s="2">
        <v>12451.31</v>
      </c>
      <c r="P683" t="s">
        <v>48</v>
      </c>
      <c r="Q683" t="s">
        <v>49</v>
      </c>
    </row>
    <row r="684" spans="1:17" x14ac:dyDescent="0.3">
      <c r="A684" t="s">
        <v>1411</v>
      </c>
      <c r="B684" s="1">
        <v>45990</v>
      </c>
      <c r="C684" t="s">
        <v>86</v>
      </c>
      <c r="D684" t="s">
        <v>90</v>
      </c>
      <c r="E684" t="s">
        <v>66</v>
      </c>
      <c r="F684" t="s">
        <v>31</v>
      </c>
      <c r="G684" t="s">
        <v>24</v>
      </c>
      <c r="H684" t="s">
        <v>171</v>
      </c>
      <c r="I684" t="s">
        <v>1412</v>
      </c>
      <c r="J684">
        <v>3</v>
      </c>
      <c r="K684" s="2">
        <v>3531.92</v>
      </c>
      <c r="L684">
        <v>10</v>
      </c>
      <c r="M684" s="2">
        <v>9536.18</v>
      </c>
      <c r="N684" s="2">
        <v>7608.99</v>
      </c>
      <c r="O684" s="2">
        <v>1927.19</v>
      </c>
      <c r="P684" t="s">
        <v>48</v>
      </c>
      <c r="Q684" t="s">
        <v>49</v>
      </c>
    </row>
    <row r="685" spans="1:17" x14ac:dyDescent="0.3">
      <c r="A685" t="s">
        <v>1413</v>
      </c>
      <c r="B685" s="1">
        <v>46118</v>
      </c>
      <c r="C685" t="s">
        <v>35</v>
      </c>
      <c r="D685" t="s">
        <v>59</v>
      </c>
      <c r="E685" t="s">
        <v>44</v>
      </c>
      <c r="F685" t="s">
        <v>37</v>
      </c>
      <c r="G685" t="s">
        <v>45</v>
      </c>
      <c r="H685" t="s">
        <v>67</v>
      </c>
      <c r="I685" t="s">
        <v>1414</v>
      </c>
      <c r="J685">
        <v>3</v>
      </c>
      <c r="K685" s="2">
        <v>2234.0700000000002</v>
      </c>
      <c r="L685">
        <v>10</v>
      </c>
      <c r="M685" s="2">
        <v>6031.99</v>
      </c>
      <c r="N685" s="2">
        <v>4637.3</v>
      </c>
      <c r="O685" s="2">
        <v>1394.69</v>
      </c>
      <c r="P685" t="s">
        <v>41</v>
      </c>
      <c r="Q685" t="s">
        <v>42</v>
      </c>
    </row>
    <row r="686" spans="1:17" x14ac:dyDescent="0.3">
      <c r="A686" t="s">
        <v>1415</v>
      </c>
      <c r="B686" s="1">
        <v>45851</v>
      </c>
      <c r="C686" t="s">
        <v>70</v>
      </c>
      <c r="D686" t="s">
        <v>71</v>
      </c>
      <c r="E686" t="s">
        <v>22</v>
      </c>
      <c r="F686" t="s">
        <v>31</v>
      </c>
      <c r="G686" t="s">
        <v>38</v>
      </c>
      <c r="H686" t="s">
        <v>63</v>
      </c>
      <c r="I686" t="s">
        <v>1416</v>
      </c>
      <c r="J686">
        <v>5</v>
      </c>
      <c r="K686" s="2">
        <v>1047.04</v>
      </c>
      <c r="L686">
        <v>10</v>
      </c>
      <c r="M686" s="2">
        <v>4711.68</v>
      </c>
      <c r="N686" s="2">
        <v>3277.98</v>
      </c>
      <c r="O686" s="2">
        <v>1433.7</v>
      </c>
      <c r="P686" t="s">
        <v>48</v>
      </c>
      <c r="Q686" t="s">
        <v>49</v>
      </c>
    </row>
    <row r="687" spans="1:17" x14ac:dyDescent="0.3">
      <c r="A687" t="s">
        <v>1417</v>
      </c>
      <c r="B687" s="1">
        <v>46032</v>
      </c>
      <c r="C687" t="s">
        <v>86</v>
      </c>
      <c r="D687" t="s">
        <v>90</v>
      </c>
      <c r="E687" t="s">
        <v>113</v>
      </c>
      <c r="F687" t="s">
        <v>31</v>
      </c>
      <c r="G687" t="s">
        <v>38</v>
      </c>
      <c r="H687" t="s">
        <v>72</v>
      </c>
      <c r="I687" t="s">
        <v>1418</v>
      </c>
      <c r="J687">
        <v>2</v>
      </c>
      <c r="K687" s="2">
        <v>549.86</v>
      </c>
      <c r="L687">
        <v>5</v>
      </c>
      <c r="M687" s="2">
        <v>1044.73</v>
      </c>
      <c r="N687" s="2">
        <v>701.84</v>
      </c>
      <c r="O687" s="2">
        <v>342.89</v>
      </c>
      <c r="P687" t="s">
        <v>48</v>
      </c>
      <c r="Q687" t="s">
        <v>61</v>
      </c>
    </row>
    <row r="688" spans="1:17" x14ac:dyDescent="0.3">
      <c r="A688" t="s">
        <v>1419</v>
      </c>
      <c r="B688" s="1">
        <v>45786</v>
      </c>
      <c r="C688" t="s">
        <v>86</v>
      </c>
      <c r="D688" t="s">
        <v>90</v>
      </c>
      <c r="E688" t="s">
        <v>113</v>
      </c>
      <c r="F688" t="s">
        <v>23</v>
      </c>
      <c r="G688" t="s">
        <v>45</v>
      </c>
      <c r="H688" t="s">
        <v>159</v>
      </c>
      <c r="I688" t="s">
        <v>1420</v>
      </c>
      <c r="J688">
        <v>7</v>
      </c>
      <c r="K688" s="2">
        <v>4597.2700000000004</v>
      </c>
      <c r="L688">
        <v>15</v>
      </c>
      <c r="M688" s="2">
        <v>27353.759999999998</v>
      </c>
      <c r="N688" s="2">
        <v>22195</v>
      </c>
      <c r="O688" s="2">
        <v>5158.76</v>
      </c>
      <c r="P688" t="s">
        <v>41</v>
      </c>
      <c r="Q688" t="s">
        <v>61</v>
      </c>
    </row>
    <row r="689" spans="1:17" x14ac:dyDescent="0.3">
      <c r="A689" t="s">
        <v>1421</v>
      </c>
      <c r="B689" s="1">
        <v>45892</v>
      </c>
      <c r="C689" t="s">
        <v>70</v>
      </c>
      <c r="D689" t="s">
        <v>71</v>
      </c>
      <c r="E689" t="s">
        <v>120</v>
      </c>
      <c r="F689" t="s">
        <v>31</v>
      </c>
      <c r="G689" t="s">
        <v>45</v>
      </c>
      <c r="H689" t="s">
        <v>46</v>
      </c>
      <c r="I689" t="s">
        <v>1422</v>
      </c>
      <c r="J689">
        <v>1</v>
      </c>
      <c r="K689" s="2">
        <v>240.56</v>
      </c>
      <c r="L689">
        <v>0</v>
      </c>
      <c r="M689" s="2">
        <v>240.56</v>
      </c>
      <c r="N689" s="2">
        <v>196.98</v>
      </c>
      <c r="O689" s="2">
        <v>43.58</v>
      </c>
      <c r="P689" t="s">
        <v>41</v>
      </c>
      <c r="Q689" t="s">
        <v>49</v>
      </c>
    </row>
    <row r="690" spans="1:17" x14ac:dyDescent="0.3">
      <c r="A690" t="s">
        <v>1423</v>
      </c>
      <c r="B690" s="1">
        <v>45691</v>
      </c>
      <c r="C690" t="s">
        <v>86</v>
      </c>
      <c r="D690" t="s">
        <v>87</v>
      </c>
      <c r="E690" t="s">
        <v>22</v>
      </c>
      <c r="F690" t="s">
        <v>31</v>
      </c>
      <c r="G690" t="s">
        <v>38</v>
      </c>
      <c r="H690" t="s">
        <v>106</v>
      </c>
      <c r="I690" t="s">
        <v>483</v>
      </c>
      <c r="J690">
        <v>8</v>
      </c>
      <c r="K690" s="2">
        <v>3601.83</v>
      </c>
      <c r="L690">
        <v>15</v>
      </c>
      <c r="M690" s="2">
        <v>24492.44</v>
      </c>
      <c r="N690" s="2">
        <v>20017.64</v>
      </c>
      <c r="O690" s="2">
        <v>4474.8</v>
      </c>
      <c r="P690" t="s">
        <v>48</v>
      </c>
      <c r="Q690" t="s">
        <v>61</v>
      </c>
    </row>
    <row r="691" spans="1:17" x14ac:dyDescent="0.3">
      <c r="A691" t="s">
        <v>1424</v>
      </c>
      <c r="B691" s="1">
        <v>46113</v>
      </c>
      <c r="C691" t="s">
        <v>20</v>
      </c>
      <c r="D691" t="s">
        <v>21</v>
      </c>
      <c r="E691" t="s">
        <v>113</v>
      </c>
      <c r="F691" t="s">
        <v>37</v>
      </c>
      <c r="G691" t="s">
        <v>38</v>
      </c>
      <c r="H691" t="s">
        <v>39</v>
      </c>
      <c r="I691" t="s">
        <v>1425</v>
      </c>
      <c r="J691">
        <v>10</v>
      </c>
      <c r="K691" s="2">
        <v>4671.17</v>
      </c>
      <c r="L691">
        <v>20</v>
      </c>
      <c r="M691" s="2">
        <v>37369.360000000001</v>
      </c>
      <c r="N691" s="2">
        <v>24166.05</v>
      </c>
      <c r="O691" s="2">
        <v>13203.31</v>
      </c>
      <c r="P691" t="s">
        <v>48</v>
      </c>
      <c r="Q691" t="s">
        <v>42</v>
      </c>
    </row>
    <row r="692" spans="1:17" x14ac:dyDescent="0.3">
      <c r="A692" t="s">
        <v>1426</v>
      </c>
      <c r="B692" s="1">
        <v>45922</v>
      </c>
      <c r="C692" t="s">
        <v>35</v>
      </c>
      <c r="D692" t="s">
        <v>59</v>
      </c>
      <c r="E692" t="s">
        <v>170</v>
      </c>
      <c r="F692" t="s">
        <v>23</v>
      </c>
      <c r="G692" t="s">
        <v>38</v>
      </c>
      <c r="H692" t="s">
        <v>39</v>
      </c>
      <c r="I692" t="s">
        <v>462</v>
      </c>
      <c r="J692">
        <v>10</v>
      </c>
      <c r="K692" s="2">
        <v>3487.76</v>
      </c>
      <c r="L692">
        <v>5</v>
      </c>
      <c r="M692" s="2">
        <v>33133.72</v>
      </c>
      <c r="N692" s="2">
        <v>20326.93</v>
      </c>
      <c r="O692" s="2">
        <v>12806.79</v>
      </c>
      <c r="P692" t="s">
        <v>48</v>
      </c>
      <c r="Q692" t="s">
        <v>61</v>
      </c>
    </row>
    <row r="693" spans="1:17" x14ac:dyDescent="0.3">
      <c r="A693" t="s">
        <v>1427</v>
      </c>
      <c r="B693" s="1">
        <v>45981</v>
      </c>
      <c r="C693" t="s">
        <v>70</v>
      </c>
      <c r="D693" t="s">
        <v>75</v>
      </c>
      <c r="E693" t="s">
        <v>170</v>
      </c>
      <c r="F693" t="s">
        <v>23</v>
      </c>
      <c r="G693" t="s">
        <v>38</v>
      </c>
      <c r="H693" t="s">
        <v>106</v>
      </c>
      <c r="I693" t="s">
        <v>1428</v>
      </c>
      <c r="J693">
        <v>5</v>
      </c>
      <c r="K693" s="2">
        <v>236.02</v>
      </c>
      <c r="L693">
        <v>0</v>
      </c>
      <c r="M693" s="2">
        <v>1180.0999999999999</v>
      </c>
      <c r="N693" s="2">
        <v>673.59</v>
      </c>
      <c r="O693" s="2">
        <v>506.51</v>
      </c>
      <c r="P693" t="s">
        <v>41</v>
      </c>
      <c r="Q693" t="s">
        <v>49</v>
      </c>
    </row>
    <row r="694" spans="1:17" x14ac:dyDescent="0.3">
      <c r="A694" t="s">
        <v>1429</v>
      </c>
      <c r="B694" s="1">
        <v>46062</v>
      </c>
      <c r="C694" t="s">
        <v>70</v>
      </c>
      <c r="D694" t="s">
        <v>75</v>
      </c>
      <c r="E694" t="s">
        <v>22</v>
      </c>
      <c r="F694" t="s">
        <v>31</v>
      </c>
      <c r="G694" t="s">
        <v>24</v>
      </c>
      <c r="H694" t="s">
        <v>171</v>
      </c>
      <c r="I694" t="s">
        <v>1430</v>
      </c>
      <c r="J694">
        <v>14</v>
      </c>
      <c r="K694" s="2">
        <v>4363.26</v>
      </c>
      <c r="L694">
        <v>15</v>
      </c>
      <c r="M694" s="2">
        <v>51922.79</v>
      </c>
      <c r="N694" s="2">
        <v>34713.01</v>
      </c>
      <c r="O694" s="2">
        <v>17209.78</v>
      </c>
      <c r="P694" t="s">
        <v>41</v>
      </c>
      <c r="Q694" t="s">
        <v>42</v>
      </c>
    </row>
    <row r="695" spans="1:17" x14ac:dyDescent="0.3">
      <c r="A695" t="s">
        <v>1431</v>
      </c>
      <c r="B695" s="1">
        <v>46109</v>
      </c>
      <c r="C695" t="s">
        <v>35</v>
      </c>
      <c r="D695" t="s">
        <v>59</v>
      </c>
      <c r="E695" t="s">
        <v>51</v>
      </c>
      <c r="F695" t="s">
        <v>31</v>
      </c>
      <c r="G695" t="s">
        <v>38</v>
      </c>
      <c r="H695" t="s">
        <v>39</v>
      </c>
      <c r="I695" t="s">
        <v>1432</v>
      </c>
      <c r="J695">
        <v>5</v>
      </c>
      <c r="K695" s="2">
        <v>951.69</v>
      </c>
      <c r="L695">
        <v>5</v>
      </c>
      <c r="M695" s="2">
        <v>4520.53</v>
      </c>
      <c r="N695" s="2">
        <v>3547.74</v>
      </c>
      <c r="O695" s="2">
        <v>972.79</v>
      </c>
      <c r="P695" t="s">
        <v>27</v>
      </c>
      <c r="Q695" t="s">
        <v>61</v>
      </c>
    </row>
    <row r="696" spans="1:17" x14ac:dyDescent="0.3">
      <c r="A696" t="s">
        <v>1433</v>
      </c>
      <c r="B696" s="1">
        <v>46020</v>
      </c>
      <c r="C696" t="s">
        <v>35</v>
      </c>
      <c r="D696" t="s">
        <v>59</v>
      </c>
      <c r="E696" t="s">
        <v>66</v>
      </c>
      <c r="F696" t="s">
        <v>23</v>
      </c>
      <c r="G696" t="s">
        <v>45</v>
      </c>
      <c r="H696" t="s">
        <v>46</v>
      </c>
      <c r="I696" t="s">
        <v>1434</v>
      </c>
      <c r="J696">
        <v>4</v>
      </c>
      <c r="K696" s="2">
        <v>1971.74</v>
      </c>
      <c r="L696">
        <v>10</v>
      </c>
      <c r="M696" s="2">
        <v>7098.26</v>
      </c>
      <c r="N696" s="2">
        <v>4980.4399999999996</v>
      </c>
      <c r="O696" s="2">
        <v>2117.8200000000002</v>
      </c>
      <c r="P696" t="s">
        <v>41</v>
      </c>
      <c r="Q696" t="s">
        <v>61</v>
      </c>
    </row>
    <row r="697" spans="1:17" x14ac:dyDescent="0.3">
      <c r="A697" t="s">
        <v>1435</v>
      </c>
      <c r="B697" s="1">
        <v>45683</v>
      </c>
      <c r="C697" t="s">
        <v>20</v>
      </c>
      <c r="D697" t="s">
        <v>55</v>
      </c>
      <c r="E697" t="s">
        <v>113</v>
      </c>
      <c r="F697" t="s">
        <v>23</v>
      </c>
      <c r="G697" t="s">
        <v>24</v>
      </c>
      <c r="H697" t="s">
        <v>171</v>
      </c>
      <c r="I697" t="s">
        <v>1436</v>
      </c>
      <c r="J697">
        <v>6</v>
      </c>
      <c r="K697" s="2">
        <v>1942.27</v>
      </c>
      <c r="L697">
        <v>20</v>
      </c>
      <c r="M697" s="2">
        <v>9322.9</v>
      </c>
      <c r="N697" s="2">
        <v>7072.21</v>
      </c>
      <c r="O697" s="2">
        <v>2250.69</v>
      </c>
      <c r="P697" t="s">
        <v>27</v>
      </c>
      <c r="Q697" t="s">
        <v>61</v>
      </c>
    </row>
    <row r="698" spans="1:17" x14ac:dyDescent="0.3">
      <c r="A698" t="s">
        <v>1437</v>
      </c>
      <c r="B698" s="1">
        <v>45871</v>
      </c>
      <c r="C698" t="s">
        <v>86</v>
      </c>
      <c r="D698" t="s">
        <v>87</v>
      </c>
      <c r="E698" t="s">
        <v>44</v>
      </c>
      <c r="F698" t="s">
        <v>37</v>
      </c>
      <c r="G698" t="s">
        <v>38</v>
      </c>
      <c r="H698" t="s">
        <v>91</v>
      </c>
      <c r="I698" t="s">
        <v>1438</v>
      </c>
      <c r="J698">
        <v>4</v>
      </c>
      <c r="K698" s="2">
        <v>3523.51</v>
      </c>
      <c r="L698">
        <v>20</v>
      </c>
      <c r="M698" s="2">
        <v>11275.23</v>
      </c>
      <c r="N698" s="2">
        <v>8807.23</v>
      </c>
      <c r="O698" s="2">
        <v>2468</v>
      </c>
      <c r="P698" t="s">
        <v>48</v>
      </c>
      <c r="Q698" t="s">
        <v>49</v>
      </c>
    </row>
    <row r="699" spans="1:17" x14ac:dyDescent="0.3">
      <c r="A699" t="s">
        <v>1439</v>
      </c>
      <c r="B699" s="1">
        <v>46113</v>
      </c>
      <c r="C699" t="s">
        <v>86</v>
      </c>
      <c r="D699" t="s">
        <v>87</v>
      </c>
      <c r="E699" t="s">
        <v>113</v>
      </c>
      <c r="F699" t="s">
        <v>31</v>
      </c>
      <c r="G699" t="s">
        <v>24</v>
      </c>
      <c r="H699" t="s">
        <v>25</v>
      </c>
      <c r="I699" t="s">
        <v>1440</v>
      </c>
      <c r="J699">
        <v>10</v>
      </c>
      <c r="K699" s="2">
        <v>2068.7800000000002</v>
      </c>
      <c r="L699">
        <v>0</v>
      </c>
      <c r="M699" s="2">
        <v>20687.8</v>
      </c>
      <c r="N699" s="2">
        <v>14713.79</v>
      </c>
      <c r="O699" s="2">
        <v>5974.01</v>
      </c>
      <c r="P699" t="s">
        <v>41</v>
      </c>
      <c r="Q699" t="s">
        <v>49</v>
      </c>
    </row>
    <row r="700" spans="1:17" x14ac:dyDescent="0.3">
      <c r="A700" t="s">
        <v>1441</v>
      </c>
      <c r="B700" s="1">
        <v>45993</v>
      </c>
      <c r="C700" t="s">
        <v>35</v>
      </c>
      <c r="D700" t="s">
        <v>36</v>
      </c>
      <c r="E700" t="s">
        <v>30</v>
      </c>
      <c r="F700" t="s">
        <v>31</v>
      </c>
      <c r="G700" t="s">
        <v>24</v>
      </c>
      <c r="H700" t="s">
        <v>171</v>
      </c>
      <c r="I700" t="s">
        <v>1442</v>
      </c>
      <c r="J700">
        <v>9</v>
      </c>
      <c r="K700" s="2">
        <v>1732.59</v>
      </c>
      <c r="L700">
        <v>10</v>
      </c>
      <c r="M700" s="2">
        <v>14033.98</v>
      </c>
      <c r="N700" s="2">
        <v>11494.39</v>
      </c>
      <c r="O700" s="2">
        <v>2539.59</v>
      </c>
      <c r="P700" t="s">
        <v>41</v>
      </c>
      <c r="Q700" t="s">
        <v>49</v>
      </c>
    </row>
    <row r="701" spans="1:17" x14ac:dyDescent="0.3">
      <c r="A701" t="s">
        <v>1443</v>
      </c>
      <c r="B701" s="1">
        <v>45698</v>
      </c>
      <c r="C701" t="s">
        <v>35</v>
      </c>
      <c r="D701" t="s">
        <v>59</v>
      </c>
      <c r="E701" t="s">
        <v>66</v>
      </c>
      <c r="F701" t="s">
        <v>37</v>
      </c>
      <c r="G701" t="s">
        <v>24</v>
      </c>
      <c r="H701" t="s">
        <v>25</v>
      </c>
      <c r="I701" t="s">
        <v>1444</v>
      </c>
      <c r="J701">
        <v>5</v>
      </c>
      <c r="K701" s="2">
        <v>2403.61</v>
      </c>
      <c r="L701">
        <v>0</v>
      </c>
      <c r="M701" s="2">
        <v>12018.05</v>
      </c>
      <c r="N701" s="2">
        <v>8409.16</v>
      </c>
      <c r="O701" s="2">
        <v>3608.89</v>
      </c>
      <c r="P701" t="s">
        <v>48</v>
      </c>
      <c r="Q701" t="s">
        <v>28</v>
      </c>
    </row>
    <row r="702" spans="1:17" x14ac:dyDescent="0.3">
      <c r="A702" t="s">
        <v>1445</v>
      </c>
      <c r="B702" s="1">
        <v>45841</v>
      </c>
      <c r="C702" t="s">
        <v>86</v>
      </c>
      <c r="D702" t="s">
        <v>90</v>
      </c>
      <c r="E702" t="s">
        <v>51</v>
      </c>
      <c r="F702" t="s">
        <v>23</v>
      </c>
      <c r="G702" t="s">
        <v>24</v>
      </c>
      <c r="H702" t="s">
        <v>25</v>
      </c>
      <c r="I702" t="s">
        <v>1446</v>
      </c>
      <c r="J702">
        <v>4</v>
      </c>
      <c r="K702" s="2">
        <v>2366.6999999999998</v>
      </c>
      <c r="L702">
        <v>10</v>
      </c>
      <c r="M702" s="2">
        <v>8520.1200000000008</v>
      </c>
      <c r="N702" s="2">
        <v>4755.6899999999996</v>
      </c>
      <c r="O702" s="2">
        <v>3764.43</v>
      </c>
      <c r="P702" t="s">
        <v>48</v>
      </c>
      <c r="Q702" t="s">
        <v>61</v>
      </c>
    </row>
    <row r="703" spans="1:17" x14ac:dyDescent="0.3">
      <c r="A703" t="s">
        <v>1447</v>
      </c>
      <c r="B703" s="1">
        <v>46015</v>
      </c>
      <c r="C703" t="s">
        <v>70</v>
      </c>
      <c r="D703" t="s">
        <v>71</v>
      </c>
      <c r="E703" t="s">
        <v>30</v>
      </c>
      <c r="F703" t="s">
        <v>31</v>
      </c>
      <c r="G703" t="s">
        <v>38</v>
      </c>
      <c r="H703" t="s">
        <v>63</v>
      </c>
      <c r="I703" t="s">
        <v>1448</v>
      </c>
      <c r="J703">
        <v>4</v>
      </c>
      <c r="K703" s="2">
        <v>1956.54</v>
      </c>
      <c r="L703">
        <v>10</v>
      </c>
      <c r="M703" s="2">
        <v>7043.54</v>
      </c>
      <c r="N703" s="2">
        <v>5709.56</v>
      </c>
      <c r="O703" s="2">
        <v>1333.98</v>
      </c>
      <c r="P703" t="s">
        <v>41</v>
      </c>
      <c r="Q703" t="s">
        <v>42</v>
      </c>
    </row>
    <row r="704" spans="1:17" x14ac:dyDescent="0.3">
      <c r="A704" t="s">
        <v>1449</v>
      </c>
      <c r="B704" s="1">
        <v>46041</v>
      </c>
      <c r="C704" t="s">
        <v>20</v>
      </c>
      <c r="D704" t="s">
        <v>21</v>
      </c>
      <c r="E704" t="s">
        <v>22</v>
      </c>
      <c r="F704" t="s">
        <v>37</v>
      </c>
      <c r="G704" t="s">
        <v>24</v>
      </c>
      <c r="H704" t="s">
        <v>134</v>
      </c>
      <c r="I704" t="s">
        <v>1450</v>
      </c>
      <c r="J704">
        <v>3</v>
      </c>
      <c r="K704" s="2">
        <v>2011.67</v>
      </c>
      <c r="L704">
        <v>20</v>
      </c>
      <c r="M704" s="2">
        <v>4828.01</v>
      </c>
      <c r="N704" s="2">
        <v>3560.68</v>
      </c>
      <c r="O704" s="2">
        <v>1267.33</v>
      </c>
      <c r="P704" t="s">
        <v>41</v>
      </c>
      <c r="Q704" t="s">
        <v>42</v>
      </c>
    </row>
    <row r="705" spans="1:17" x14ac:dyDescent="0.3">
      <c r="A705" t="s">
        <v>1451</v>
      </c>
      <c r="B705" s="1">
        <v>45729</v>
      </c>
      <c r="C705" t="s">
        <v>20</v>
      </c>
      <c r="D705" t="s">
        <v>21</v>
      </c>
      <c r="E705" t="s">
        <v>66</v>
      </c>
      <c r="F705" t="s">
        <v>37</v>
      </c>
      <c r="G705" t="s">
        <v>24</v>
      </c>
      <c r="H705" t="s">
        <v>134</v>
      </c>
      <c r="I705" t="s">
        <v>1452</v>
      </c>
      <c r="J705">
        <v>1</v>
      </c>
      <c r="K705" s="2">
        <v>4792.37</v>
      </c>
      <c r="L705">
        <v>5</v>
      </c>
      <c r="M705" s="2">
        <v>4552.75</v>
      </c>
      <c r="N705" s="2">
        <v>2962.28</v>
      </c>
      <c r="O705" s="2">
        <v>1590.47</v>
      </c>
      <c r="P705" t="s">
        <v>48</v>
      </c>
      <c r="Q705" t="s">
        <v>42</v>
      </c>
    </row>
    <row r="706" spans="1:17" x14ac:dyDescent="0.3">
      <c r="A706" t="s">
        <v>1453</v>
      </c>
      <c r="B706" s="1">
        <v>45875</v>
      </c>
      <c r="C706" t="s">
        <v>35</v>
      </c>
      <c r="D706" t="s">
        <v>36</v>
      </c>
      <c r="E706" t="s">
        <v>30</v>
      </c>
      <c r="F706" t="s">
        <v>23</v>
      </c>
      <c r="G706" t="s">
        <v>38</v>
      </c>
      <c r="H706" t="s">
        <v>63</v>
      </c>
      <c r="I706" t="s">
        <v>1454</v>
      </c>
      <c r="J706">
        <v>3</v>
      </c>
      <c r="K706" s="2">
        <v>2402.0700000000002</v>
      </c>
      <c r="L706">
        <v>5</v>
      </c>
      <c r="M706" s="2">
        <v>6845.9</v>
      </c>
      <c r="N706" s="2">
        <v>5117.01</v>
      </c>
      <c r="O706" s="2">
        <v>1728.89</v>
      </c>
      <c r="P706" t="s">
        <v>41</v>
      </c>
      <c r="Q706" t="s">
        <v>49</v>
      </c>
    </row>
    <row r="707" spans="1:17" x14ac:dyDescent="0.3">
      <c r="A707" t="s">
        <v>1455</v>
      </c>
      <c r="B707" s="1">
        <v>45711</v>
      </c>
      <c r="C707" t="s">
        <v>86</v>
      </c>
      <c r="D707" t="s">
        <v>90</v>
      </c>
      <c r="E707" t="s">
        <v>22</v>
      </c>
      <c r="F707" t="s">
        <v>23</v>
      </c>
      <c r="G707" t="s">
        <v>24</v>
      </c>
      <c r="H707" t="s">
        <v>134</v>
      </c>
      <c r="I707" t="s">
        <v>1456</v>
      </c>
      <c r="J707">
        <v>3</v>
      </c>
      <c r="K707" s="2">
        <v>2970.56</v>
      </c>
      <c r="L707">
        <v>5</v>
      </c>
      <c r="M707" s="2">
        <v>8466.1</v>
      </c>
      <c r="N707" s="2">
        <v>4847.72</v>
      </c>
      <c r="O707" s="2">
        <v>3618.38</v>
      </c>
      <c r="P707" t="s">
        <v>41</v>
      </c>
      <c r="Q707" t="s">
        <v>42</v>
      </c>
    </row>
    <row r="708" spans="1:17" x14ac:dyDescent="0.3">
      <c r="A708" t="s">
        <v>1457</v>
      </c>
      <c r="B708" s="1">
        <v>45775</v>
      </c>
      <c r="C708" t="s">
        <v>20</v>
      </c>
      <c r="D708" t="s">
        <v>21</v>
      </c>
      <c r="E708" t="s">
        <v>51</v>
      </c>
      <c r="F708" t="s">
        <v>23</v>
      </c>
      <c r="G708" t="s">
        <v>45</v>
      </c>
      <c r="H708" t="s">
        <v>123</v>
      </c>
      <c r="I708" t="s">
        <v>1458</v>
      </c>
      <c r="J708">
        <v>1</v>
      </c>
      <c r="K708" s="2">
        <v>4658.63</v>
      </c>
      <c r="L708">
        <v>5</v>
      </c>
      <c r="M708" s="2">
        <v>4425.7</v>
      </c>
      <c r="N708" s="2">
        <v>2673.24</v>
      </c>
      <c r="O708" s="2">
        <v>1752.46</v>
      </c>
      <c r="P708" t="s">
        <v>27</v>
      </c>
      <c r="Q708" t="s">
        <v>42</v>
      </c>
    </row>
    <row r="709" spans="1:17" x14ac:dyDescent="0.3">
      <c r="A709" t="s">
        <v>1459</v>
      </c>
      <c r="B709" s="1">
        <v>45938</v>
      </c>
      <c r="C709" t="s">
        <v>70</v>
      </c>
      <c r="D709" t="s">
        <v>75</v>
      </c>
      <c r="E709" t="s">
        <v>22</v>
      </c>
      <c r="F709" t="s">
        <v>37</v>
      </c>
      <c r="G709" t="s">
        <v>24</v>
      </c>
      <c r="H709" t="s">
        <v>56</v>
      </c>
      <c r="I709" t="s">
        <v>1460</v>
      </c>
      <c r="J709">
        <v>11</v>
      </c>
      <c r="K709" s="2">
        <v>3201.02</v>
      </c>
      <c r="L709">
        <v>0</v>
      </c>
      <c r="M709" s="2">
        <v>35211.22</v>
      </c>
      <c r="N709" s="2">
        <v>20240.990000000002</v>
      </c>
      <c r="O709" s="2">
        <v>14970.23</v>
      </c>
      <c r="P709" t="s">
        <v>48</v>
      </c>
      <c r="Q709" t="s">
        <v>42</v>
      </c>
    </row>
    <row r="710" spans="1:17" x14ac:dyDescent="0.3">
      <c r="A710" t="s">
        <v>1461</v>
      </c>
      <c r="B710" s="1">
        <v>45919</v>
      </c>
      <c r="C710" t="s">
        <v>70</v>
      </c>
      <c r="D710" t="s">
        <v>71</v>
      </c>
      <c r="E710" t="s">
        <v>22</v>
      </c>
      <c r="F710" t="s">
        <v>23</v>
      </c>
      <c r="G710" t="s">
        <v>24</v>
      </c>
      <c r="H710" t="s">
        <v>25</v>
      </c>
      <c r="I710" t="s">
        <v>1462</v>
      </c>
      <c r="J710">
        <v>2</v>
      </c>
      <c r="K710" s="2">
        <v>452.72</v>
      </c>
      <c r="L710">
        <v>20</v>
      </c>
      <c r="M710" s="2">
        <v>724.35</v>
      </c>
      <c r="N710" s="2">
        <v>448.38</v>
      </c>
      <c r="O710" s="2">
        <v>275.97000000000003</v>
      </c>
      <c r="P710" t="s">
        <v>27</v>
      </c>
      <c r="Q710" t="s">
        <v>28</v>
      </c>
    </row>
    <row r="711" spans="1:17" x14ac:dyDescent="0.3">
      <c r="A711" t="s">
        <v>1463</v>
      </c>
      <c r="B711" s="1">
        <v>45926</v>
      </c>
      <c r="C711" t="s">
        <v>35</v>
      </c>
      <c r="D711" t="s">
        <v>36</v>
      </c>
      <c r="E711" t="s">
        <v>30</v>
      </c>
      <c r="F711" t="s">
        <v>23</v>
      </c>
      <c r="G711" t="s">
        <v>38</v>
      </c>
      <c r="H711" t="s">
        <v>91</v>
      </c>
      <c r="I711" t="s">
        <v>1464</v>
      </c>
      <c r="J711">
        <v>7</v>
      </c>
      <c r="K711" s="2">
        <v>4527.51</v>
      </c>
      <c r="L711">
        <v>0</v>
      </c>
      <c r="M711" s="2">
        <v>31692.57</v>
      </c>
      <c r="N711" s="2">
        <v>22806.69</v>
      </c>
      <c r="O711" s="2">
        <v>8885.8799999999992</v>
      </c>
      <c r="P711" t="s">
        <v>41</v>
      </c>
      <c r="Q711" t="s">
        <v>61</v>
      </c>
    </row>
    <row r="712" spans="1:17" x14ac:dyDescent="0.3">
      <c r="A712" t="s">
        <v>1465</v>
      </c>
      <c r="B712" s="1">
        <v>46117</v>
      </c>
      <c r="C712" t="s">
        <v>86</v>
      </c>
      <c r="D712" t="s">
        <v>87</v>
      </c>
      <c r="E712" t="s">
        <v>120</v>
      </c>
      <c r="F712" t="s">
        <v>37</v>
      </c>
      <c r="G712" t="s">
        <v>24</v>
      </c>
      <c r="H712" t="s">
        <v>56</v>
      </c>
      <c r="I712" t="s">
        <v>1466</v>
      </c>
      <c r="J712">
        <v>13</v>
      </c>
      <c r="K712" s="2">
        <v>3031.76</v>
      </c>
      <c r="L712">
        <v>0</v>
      </c>
      <c r="M712" s="2">
        <v>39412.879999999997</v>
      </c>
      <c r="N712" s="2">
        <v>27918.19</v>
      </c>
      <c r="O712" s="2">
        <v>11494.69</v>
      </c>
      <c r="P712" t="s">
        <v>41</v>
      </c>
      <c r="Q712" t="s">
        <v>61</v>
      </c>
    </row>
    <row r="713" spans="1:17" x14ac:dyDescent="0.3">
      <c r="A713" t="s">
        <v>1467</v>
      </c>
      <c r="B713" s="1">
        <v>45877</v>
      </c>
      <c r="C713" t="s">
        <v>35</v>
      </c>
      <c r="D713" t="s">
        <v>59</v>
      </c>
      <c r="E713" t="s">
        <v>120</v>
      </c>
      <c r="F713" t="s">
        <v>23</v>
      </c>
      <c r="G713" t="s">
        <v>45</v>
      </c>
      <c r="H713" t="s">
        <v>46</v>
      </c>
      <c r="I713" t="s">
        <v>1468</v>
      </c>
      <c r="J713">
        <v>10</v>
      </c>
      <c r="K713" s="2">
        <v>4672.96</v>
      </c>
      <c r="L713">
        <v>10</v>
      </c>
      <c r="M713" s="2">
        <v>42056.639999999999</v>
      </c>
      <c r="N713" s="2">
        <v>27376.34</v>
      </c>
      <c r="O713" s="2">
        <v>14680.3</v>
      </c>
      <c r="P713" t="s">
        <v>41</v>
      </c>
      <c r="Q713" t="s">
        <v>42</v>
      </c>
    </row>
    <row r="714" spans="1:17" x14ac:dyDescent="0.3">
      <c r="A714" t="s">
        <v>1469</v>
      </c>
      <c r="B714" s="1">
        <v>46115</v>
      </c>
      <c r="C714" t="s">
        <v>70</v>
      </c>
      <c r="D714" t="s">
        <v>75</v>
      </c>
      <c r="E714" t="s">
        <v>113</v>
      </c>
      <c r="F714" t="s">
        <v>23</v>
      </c>
      <c r="G714" t="s">
        <v>38</v>
      </c>
      <c r="H714" t="s">
        <v>39</v>
      </c>
      <c r="I714" t="s">
        <v>1470</v>
      </c>
      <c r="J714">
        <v>2</v>
      </c>
      <c r="K714" s="2">
        <v>2374.08</v>
      </c>
      <c r="L714">
        <v>5</v>
      </c>
      <c r="M714" s="2">
        <v>4510.75</v>
      </c>
      <c r="N714" s="2">
        <v>2520.5700000000002</v>
      </c>
      <c r="O714" s="2">
        <v>1990.18</v>
      </c>
      <c r="P714" t="s">
        <v>48</v>
      </c>
      <c r="Q714" t="s">
        <v>42</v>
      </c>
    </row>
    <row r="715" spans="1:17" x14ac:dyDescent="0.3">
      <c r="A715" t="s">
        <v>1471</v>
      </c>
      <c r="B715" s="1">
        <v>46084</v>
      </c>
      <c r="C715" t="s">
        <v>20</v>
      </c>
      <c r="D715" t="s">
        <v>21</v>
      </c>
      <c r="E715" t="s">
        <v>30</v>
      </c>
      <c r="F715" t="s">
        <v>23</v>
      </c>
      <c r="G715" t="s">
        <v>24</v>
      </c>
      <c r="H715" t="s">
        <v>25</v>
      </c>
      <c r="I715" t="s">
        <v>1472</v>
      </c>
      <c r="J715">
        <v>1</v>
      </c>
      <c r="K715" s="2">
        <v>3623.19</v>
      </c>
      <c r="L715">
        <v>0</v>
      </c>
      <c r="M715" s="2">
        <v>3623.19</v>
      </c>
      <c r="N715" s="2">
        <v>2087.54</v>
      </c>
      <c r="O715" s="2">
        <v>1535.65</v>
      </c>
      <c r="P715" t="s">
        <v>48</v>
      </c>
      <c r="Q715" t="s">
        <v>42</v>
      </c>
    </row>
    <row r="716" spans="1:17" x14ac:dyDescent="0.3">
      <c r="A716" t="s">
        <v>1473</v>
      </c>
      <c r="B716" s="1">
        <v>46145</v>
      </c>
      <c r="C716" t="s">
        <v>70</v>
      </c>
      <c r="D716" t="s">
        <v>75</v>
      </c>
      <c r="E716" t="s">
        <v>51</v>
      </c>
      <c r="F716" t="s">
        <v>31</v>
      </c>
      <c r="G716" t="s">
        <v>24</v>
      </c>
      <c r="H716" t="s">
        <v>134</v>
      </c>
      <c r="I716" t="s">
        <v>1474</v>
      </c>
      <c r="J716">
        <v>9</v>
      </c>
      <c r="K716" s="2">
        <v>2280.5</v>
      </c>
      <c r="L716">
        <v>15</v>
      </c>
      <c r="M716" s="2">
        <v>17445.830000000002</v>
      </c>
      <c r="N716" s="2">
        <v>11247.31</v>
      </c>
      <c r="O716" s="2">
        <v>6198.52</v>
      </c>
      <c r="P716" t="s">
        <v>41</v>
      </c>
      <c r="Q716" t="s">
        <v>42</v>
      </c>
    </row>
    <row r="717" spans="1:17" x14ac:dyDescent="0.3">
      <c r="A717" t="s">
        <v>1475</v>
      </c>
      <c r="B717" s="1">
        <v>46090</v>
      </c>
      <c r="C717" t="s">
        <v>86</v>
      </c>
      <c r="D717" t="s">
        <v>87</v>
      </c>
      <c r="E717" t="s">
        <v>113</v>
      </c>
      <c r="F717" t="s">
        <v>37</v>
      </c>
      <c r="G717" t="s">
        <v>45</v>
      </c>
      <c r="H717" t="s">
        <v>159</v>
      </c>
      <c r="I717" t="s">
        <v>1476</v>
      </c>
      <c r="J717">
        <v>7</v>
      </c>
      <c r="K717" s="2">
        <v>351.86</v>
      </c>
      <c r="L717">
        <v>20</v>
      </c>
      <c r="M717" s="2">
        <v>1970.42</v>
      </c>
      <c r="N717" s="2">
        <v>1359.24</v>
      </c>
      <c r="O717" s="2">
        <v>611.17999999999995</v>
      </c>
      <c r="P717" t="s">
        <v>41</v>
      </c>
      <c r="Q717" t="s">
        <v>61</v>
      </c>
    </row>
    <row r="718" spans="1:17" x14ac:dyDescent="0.3">
      <c r="A718" t="s">
        <v>1477</v>
      </c>
      <c r="B718" s="1">
        <v>45822</v>
      </c>
      <c r="C718" t="s">
        <v>20</v>
      </c>
      <c r="D718" t="s">
        <v>55</v>
      </c>
      <c r="E718" t="s">
        <v>170</v>
      </c>
      <c r="F718" t="s">
        <v>37</v>
      </c>
      <c r="G718" t="s">
        <v>45</v>
      </c>
      <c r="H718" t="s">
        <v>123</v>
      </c>
      <c r="I718" t="s">
        <v>1478</v>
      </c>
      <c r="J718">
        <v>1</v>
      </c>
      <c r="K718" s="2">
        <v>2642.83</v>
      </c>
      <c r="L718">
        <v>0</v>
      </c>
      <c r="M718" s="2">
        <v>2642.83</v>
      </c>
      <c r="N718" s="2">
        <v>1547.67</v>
      </c>
      <c r="O718" s="2">
        <v>1095.1600000000001</v>
      </c>
      <c r="P718" t="s">
        <v>48</v>
      </c>
      <c r="Q718" t="s">
        <v>49</v>
      </c>
    </row>
    <row r="719" spans="1:17" x14ac:dyDescent="0.3">
      <c r="A719" t="s">
        <v>1479</v>
      </c>
      <c r="B719" s="1">
        <v>45881</v>
      </c>
      <c r="C719" t="s">
        <v>35</v>
      </c>
      <c r="D719" t="s">
        <v>36</v>
      </c>
      <c r="E719" t="s">
        <v>66</v>
      </c>
      <c r="F719" t="s">
        <v>31</v>
      </c>
      <c r="G719" t="s">
        <v>24</v>
      </c>
      <c r="H719" t="s">
        <v>32</v>
      </c>
      <c r="I719" t="s">
        <v>1480</v>
      </c>
      <c r="J719">
        <v>6</v>
      </c>
      <c r="K719" s="2">
        <v>1771.53</v>
      </c>
      <c r="L719">
        <v>0</v>
      </c>
      <c r="M719" s="2">
        <v>10629.18</v>
      </c>
      <c r="N719" s="2">
        <v>8197.7800000000007</v>
      </c>
      <c r="O719" s="2">
        <v>2431.4</v>
      </c>
      <c r="P719" t="s">
        <v>27</v>
      </c>
      <c r="Q719" t="s">
        <v>61</v>
      </c>
    </row>
    <row r="720" spans="1:17" x14ac:dyDescent="0.3">
      <c r="A720" t="s">
        <v>1481</v>
      </c>
      <c r="B720" s="1">
        <v>46071</v>
      </c>
      <c r="C720" t="s">
        <v>70</v>
      </c>
      <c r="D720" t="s">
        <v>75</v>
      </c>
      <c r="E720" t="s">
        <v>51</v>
      </c>
      <c r="F720" t="s">
        <v>31</v>
      </c>
      <c r="G720" t="s">
        <v>24</v>
      </c>
      <c r="H720" t="s">
        <v>171</v>
      </c>
      <c r="I720" t="s">
        <v>1482</v>
      </c>
      <c r="J720">
        <v>4</v>
      </c>
      <c r="K720" s="2">
        <v>3438.5</v>
      </c>
      <c r="L720">
        <v>15</v>
      </c>
      <c r="M720" s="2">
        <v>11690.9</v>
      </c>
      <c r="N720" s="2">
        <v>8846.73</v>
      </c>
      <c r="O720" s="2">
        <v>2844.17</v>
      </c>
      <c r="P720" t="s">
        <v>48</v>
      </c>
      <c r="Q720" t="s">
        <v>49</v>
      </c>
    </row>
    <row r="721" spans="1:17" x14ac:dyDescent="0.3">
      <c r="A721" t="s">
        <v>1483</v>
      </c>
      <c r="B721" s="1">
        <v>45846</v>
      </c>
      <c r="C721" t="s">
        <v>20</v>
      </c>
      <c r="D721" t="s">
        <v>21</v>
      </c>
      <c r="E721" t="s">
        <v>51</v>
      </c>
      <c r="F721" t="s">
        <v>23</v>
      </c>
      <c r="G721" t="s">
        <v>38</v>
      </c>
      <c r="H721" t="s">
        <v>106</v>
      </c>
      <c r="I721" t="s">
        <v>1484</v>
      </c>
      <c r="J721">
        <v>13</v>
      </c>
      <c r="K721" s="2">
        <v>730.54</v>
      </c>
      <c r="L721">
        <v>15</v>
      </c>
      <c r="M721" s="2">
        <v>8072.47</v>
      </c>
      <c r="N721" s="2">
        <v>4723.12</v>
      </c>
      <c r="O721" s="2">
        <v>3349.35</v>
      </c>
      <c r="P721" t="s">
        <v>48</v>
      </c>
      <c r="Q721" t="s">
        <v>49</v>
      </c>
    </row>
    <row r="722" spans="1:17" x14ac:dyDescent="0.3">
      <c r="A722" t="s">
        <v>1485</v>
      </c>
      <c r="B722" s="1">
        <v>46030</v>
      </c>
      <c r="C722" t="s">
        <v>35</v>
      </c>
      <c r="D722" t="s">
        <v>36</v>
      </c>
      <c r="E722" t="s">
        <v>51</v>
      </c>
      <c r="F722" t="s">
        <v>37</v>
      </c>
      <c r="G722" t="s">
        <v>45</v>
      </c>
      <c r="H722" t="s">
        <v>159</v>
      </c>
      <c r="I722" t="s">
        <v>1486</v>
      </c>
      <c r="J722">
        <v>2</v>
      </c>
      <c r="K722" s="2">
        <v>3891.54</v>
      </c>
      <c r="L722">
        <v>10</v>
      </c>
      <c r="M722" s="2">
        <v>7004.77</v>
      </c>
      <c r="N722" s="2">
        <v>4434.72</v>
      </c>
      <c r="O722" s="2">
        <v>2570.0500000000002</v>
      </c>
      <c r="P722" t="s">
        <v>27</v>
      </c>
      <c r="Q722" t="s">
        <v>49</v>
      </c>
    </row>
    <row r="723" spans="1:17" x14ac:dyDescent="0.3">
      <c r="A723" t="s">
        <v>1487</v>
      </c>
      <c r="B723" s="1">
        <v>45826</v>
      </c>
      <c r="C723" t="s">
        <v>35</v>
      </c>
      <c r="D723" t="s">
        <v>59</v>
      </c>
      <c r="E723" t="s">
        <v>170</v>
      </c>
      <c r="F723" t="s">
        <v>37</v>
      </c>
      <c r="G723" t="s">
        <v>45</v>
      </c>
      <c r="H723" t="s">
        <v>159</v>
      </c>
      <c r="I723" t="s">
        <v>714</v>
      </c>
      <c r="J723">
        <v>15</v>
      </c>
      <c r="K723" s="2">
        <v>2590.6</v>
      </c>
      <c r="L723">
        <v>5</v>
      </c>
      <c r="M723" s="2">
        <v>36916.050000000003</v>
      </c>
      <c r="N723" s="2">
        <v>29134.12</v>
      </c>
      <c r="O723" s="2">
        <v>7781.93</v>
      </c>
      <c r="P723" t="s">
        <v>41</v>
      </c>
      <c r="Q723" t="s">
        <v>28</v>
      </c>
    </row>
    <row r="724" spans="1:17" x14ac:dyDescent="0.3">
      <c r="A724" t="s">
        <v>1488</v>
      </c>
      <c r="B724" s="1">
        <v>46107</v>
      </c>
      <c r="C724" t="s">
        <v>20</v>
      </c>
      <c r="D724" t="s">
        <v>21</v>
      </c>
      <c r="E724" t="s">
        <v>30</v>
      </c>
      <c r="F724" t="s">
        <v>23</v>
      </c>
      <c r="G724" t="s">
        <v>24</v>
      </c>
      <c r="H724" t="s">
        <v>171</v>
      </c>
      <c r="I724" t="s">
        <v>1489</v>
      </c>
      <c r="J724">
        <v>12</v>
      </c>
      <c r="K724" s="2">
        <v>3485.45</v>
      </c>
      <c r="L724">
        <v>0</v>
      </c>
      <c r="M724" s="2">
        <v>41825.4</v>
      </c>
      <c r="N724" s="2">
        <v>25067.05</v>
      </c>
      <c r="O724" s="2">
        <v>16758.349999999999</v>
      </c>
      <c r="P724" t="s">
        <v>27</v>
      </c>
      <c r="Q724" t="s">
        <v>42</v>
      </c>
    </row>
    <row r="725" spans="1:17" x14ac:dyDescent="0.3">
      <c r="A725" t="s">
        <v>1490</v>
      </c>
      <c r="B725" s="1">
        <v>46077</v>
      </c>
      <c r="C725" t="s">
        <v>70</v>
      </c>
      <c r="D725" t="s">
        <v>71</v>
      </c>
      <c r="E725" t="s">
        <v>170</v>
      </c>
      <c r="F725" t="s">
        <v>31</v>
      </c>
      <c r="G725" t="s">
        <v>45</v>
      </c>
      <c r="H725" t="s">
        <v>52</v>
      </c>
      <c r="I725" t="s">
        <v>1491</v>
      </c>
      <c r="J725">
        <v>10</v>
      </c>
      <c r="K725" s="2">
        <v>4191.0600000000004</v>
      </c>
      <c r="L725">
        <v>20</v>
      </c>
      <c r="M725" s="2">
        <v>33528.480000000003</v>
      </c>
      <c r="N725" s="2">
        <v>25017.32</v>
      </c>
      <c r="O725" s="2">
        <v>8511.16</v>
      </c>
      <c r="P725" t="s">
        <v>27</v>
      </c>
      <c r="Q725" t="s">
        <v>42</v>
      </c>
    </row>
    <row r="726" spans="1:17" x14ac:dyDescent="0.3">
      <c r="A726" t="s">
        <v>1492</v>
      </c>
      <c r="B726" s="1">
        <v>45852</v>
      </c>
      <c r="C726" t="s">
        <v>35</v>
      </c>
      <c r="D726" t="s">
        <v>36</v>
      </c>
      <c r="E726" t="s">
        <v>170</v>
      </c>
      <c r="F726" t="s">
        <v>23</v>
      </c>
      <c r="G726" t="s">
        <v>38</v>
      </c>
      <c r="H726" t="s">
        <v>63</v>
      </c>
      <c r="I726" t="s">
        <v>1493</v>
      </c>
      <c r="J726">
        <v>1</v>
      </c>
      <c r="K726" s="2">
        <v>2905.04</v>
      </c>
      <c r="L726">
        <v>5</v>
      </c>
      <c r="M726" s="2">
        <v>2759.79</v>
      </c>
      <c r="N726" s="2">
        <v>1907.95</v>
      </c>
      <c r="O726" s="2">
        <v>851.84</v>
      </c>
      <c r="P726" t="s">
        <v>41</v>
      </c>
      <c r="Q726" t="s">
        <v>28</v>
      </c>
    </row>
    <row r="727" spans="1:17" x14ac:dyDescent="0.3">
      <c r="A727" t="s">
        <v>1494</v>
      </c>
      <c r="B727" s="1">
        <v>46199</v>
      </c>
      <c r="C727" t="s">
        <v>70</v>
      </c>
      <c r="D727" t="s">
        <v>71</v>
      </c>
      <c r="E727" t="s">
        <v>44</v>
      </c>
      <c r="F727" t="s">
        <v>23</v>
      </c>
      <c r="G727" t="s">
        <v>24</v>
      </c>
      <c r="H727" t="s">
        <v>56</v>
      </c>
      <c r="I727" t="s">
        <v>1495</v>
      </c>
      <c r="J727">
        <v>5</v>
      </c>
      <c r="K727" s="2">
        <v>623.6</v>
      </c>
      <c r="L727">
        <v>10</v>
      </c>
      <c r="M727" s="2">
        <v>2806.2</v>
      </c>
      <c r="N727" s="2">
        <v>1930.46</v>
      </c>
      <c r="O727" s="2">
        <v>875.74</v>
      </c>
      <c r="P727" t="s">
        <v>27</v>
      </c>
      <c r="Q727" t="s">
        <v>42</v>
      </c>
    </row>
    <row r="728" spans="1:17" x14ac:dyDescent="0.3">
      <c r="A728" t="s">
        <v>1496</v>
      </c>
      <c r="B728" s="1">
        <v>45664</v>
      </c>
      <c r="C728" t="s">
        <v>70</v>
      </c>
      <c r="D728" t="s">
        <v>75</v>
      </c>
      <c r="E728" t="s">
        <v>170</v>
      </c>
      <c r="F728" t="s">
        <v>37</v>
      </c>
      <c r="G728" t="s">
        <v>45</v>
      </c>
      <c r="H728" t="s">
        <v>123</v>
      </c>
      <c r="I728" t="s">
        <v>1497</v>
      </c>
      <c r="J728">
        <v>8</v>
      </c>
      <c r="K728" s="2">
        <v>2033.91</v>
      </c>
      <c r="L728">
        <v>5</v>
      </c>
      <c r="M728" s="2">
        <v>15457.72</v>
      </c>
      <c r="N728" s="2">
        <v>12105.53</v>
      </c>
      <c r="O728" s="2">
        <v>3352.19</v>
      </c>
      <c r="P728" t="s">
        <v>27</v>
      </c>
      <c r="Q728" t="s">
        <v>42</v>
      </c>
    </row>
    <row r="729" spans="1:17" x14ac:dyDescent="0.3">
      <c r="A729" t="s">
        <v>1498</v>
      </c>
      <c r="B729" s="1">
        <v>45874</v>
      </c>
      <c r="C729" t="s">
        <v>70</v>
      </c>
      <c r="D729" t="s">
        <v>75</v>
      </c>
      <c r="E729" t="s">
        <v>44</v>
      </c>
      <c r="F729" t="s">
        <v>37</v>
      </c>
      <c r="G729" t="s">
        <v>38</v>
      </c>
      <c r="H729" t="s">
        <v>106</v>
      </c>
      <c r="I729" t="s">
        <v>1499</v>
      </c>
      <c r="J729">
        <v>4</v>
      </c>
      <c r="K729" s="2">
        <v>3307.28</v>
      </c>
      <c r="L729">
        <v>5</v>
      </c>
      <c r="M729" s="2">
        <v>12567.66</v>
      </c>
      <c r="N729" s="2">
        <v>8386.81</v>
      </c>
      <c r="O729" s="2">
        <v>4180.8500000000004</v>
      </c>
      <c r="P729" t="s">
        <v>41</v>
      </c>
      <c r="Q729" t="s">
        <v>42</v>
      </c>
    </row>
    <row r="730" spans="1:17" x14ac:dyDescent="0.3">
      <c r="A730" t="s">
        <v>1500</v>
      </c>
      <c r="B730" s="1">
        <v>45753</v>
      </c>
      <c r="C730" t="s">
        <v>35</v>
      </c>
      <c r="D730" t="s">
        <v>36</v>
      </c>
      <c r="E730" t="s">
        <v>44</v>
      </c>
      <c r="F730" t="s">
        <v>23</v>
      </c>
      <c r="G730" t="s">
        <v>38</v>
      </c>
      <c r="H730" t="s">
        <v>106</v>
      </c>
      <c r="I730" t="s">
        <v>1040</v>
      </c>
      <c r="J730">
        <v>12</v>
      </c>
      <c r="K730" s="2">
        <v>975.14</v>
      </c>
      <c r="L730">
        <v>5</v>
      </c>
      <c r="M730" s="2">
        <v>11116.6</v>
      </c>
      <c r="N730" s="2">
        <v>6649.67</v>
      </c>
      <c r="O730" s="2">
        <v>4466.93</v>
      </c>
      <c r="P730" t="s">
        <v>41</v>
      </c>
      <c r="Q730" t="s">
        <v>28</v>
      </c>
    </row>
    <row r="731" spans="1:17" x14ac:dyDescent="0.3">
      <c r="A731" t="s">
        <v>1501</v>
      </c>
      <c r="B731" s="1">
        <v>46109</v>
      </c>
      <c r="C731" t="s">
        <v>70</v>
      </c>
      <c r="D731" t="s">
        <v>75</v>
      </c>
      <c r="E731" t="s">
        <v>22</v>
      </c>
      <c r="F731" t="s">
        <v>37</v>
      </c>
      <c r="G731" t="s">
        <v>38</v>
      </c>
      <c r="H731" t="s">
        <v>39</v>
      </c>
      <c r="I731" t="s">
        <v>1159</v>
      </c>
      <c r="J731">
        <v>3</v>
      </c>
      <c r="K731" s="2">
        <v>623.21</v>
      </c>
      <c r="L731">
        <v>20</v>
      </c>
      <c r="M731" s="2">
        <v>1495.7</v>
      </c>
      <c r="N731" s="2">
        <v>1096.54</v>
      </c>
      <c r="O731" s="2">
        <v>399.16</v>
      </c>
      <c r="P731" t="s">
        <v>48</v>
      </c>
      <c r="Q731" t="s">
        <v>49</v>
      </c>
    </row>
    <row r="732" spans="1:17" x14ac:dyDescent="0.3">
      <c r="A732" t="s">
        <v>1502</v>
      </c>
      <c r="B732" s="1">
        <v>46084</v>
      </c>
      <c r="C732" t="s">
        <v>35</v>
      </c>
      <c r="D732" t="s">
        <v>36</v>
      </c>
      <c r="E732" t="s">
        <v>170</v>
      </c>
      <c r="F732" t="s">
        <v>23</v>
      </c>
      <c r="G732" t="s">
        <v>24</v>
      </c>
      <c r="H732" t="s">
        <v>171</v>
      </c>
      <c r="I732" t="s">
        <v>1503</v>
      </c>
      <c r="J732">
        <v>13</v>
      </c>
      <c r="K732" s="2">
        <v>4140.6099999999997</v>
      </c>
      <c r="L732">
        <v>15</v>
      </c>
      <c r="M732" s="2">
        <v>45753.74</v>
      </c>
      <c r="N732" s="2">
        <v>27265.919999999998</v>
      </c>
      <c r="O732" s="2">
        <v>18487.82</v>
      </c>
      <c r="P732" t="s">
        <v>27</v>
      </c>
      <c r="Q732" t="s">
        <v>42</v>
      </c>
    </row>
    <row r="733" spans="1:17" x14ac:dyDescent="0.3">
      <c r="A733" t="s">
        <v>1504</v>
      </c>
      <c r="B733" s="1">
        <v>45757</v>
      </c>
      <c r="C733" t="s">
        <v>20</v>
      </c>
      <c r="D733" t="s">
        <v>21</v>
      </c>
      <c r="E733" t="s">
        <v>170</v>
      </c>
      <c r="F733" t="s">
        <v>37</v>
      </c>
      <c r="G733" t="s">
        <v>45</v>
      </c>
      <c r="H733" t="s">
        <v>67</v>
      </c>
      <c r="I733" t="s">
        <v>1505</v>
      </c>
      <c r="J733">
        <v>5</v>
      </c>
      <c r="K733" s="2">
        <v>1112.55</v>
      </c>
      <c r="L733">
        <v>0</v>
      </c>
      <c r="M733" s="2">
        <v>5562.75</v>
      </c>
      <c r="N733" s="2">
        <v>3909.05</v>
      </c>
      <c r="O733" s="2">
        <v>1653.7</v>
      </c>
      <c r="P733" t="s">
        <v>41</v>
      </c>
      <c r="Q733" t="s">
        <v>61</v>
      </c>
    </row>
    <row r="734" spans="1:17" x14ac:dyDescent="0.3">
      <c r="A734" t="s">
        <v>1506</v>
      </c>
      <c r="B734" s="1">
        <v>46076</v>
      </c>
      <c r="C734" t="s">
        <v>20</v>
      </c>
      <c r="D734" t="s">
        <v>21</v>
      </c>
      <c r="E734" t="s">
        <v>170</v>
      </c>
      <c r="F734" t="s">
        <v>37</v>
      </c>
      <c r="G734" t="s">
        <v>24</v>
      </c>
      <c r="H734" t="s">
        <v>134</v>
      </c>
      <c r="I734" t="s">
        <v>1507</v>
      </c>
      <c r="J734">
        <v>5</v>
      </c>
      <c r="K734" s="2">
        <v>844.44</v>
      </c>
      <c r="L734">
        <v>5</v>
      </c>
      <c r="M734" s="2">
        <v>4011.09</v>
      </c>
      <c r="N734" s="2">
        <v>2397.2800000000002</v>
      </c>
      <c r="O734" s="2">
        <v>1613.81</v>
      </c>
      <c r="P734" t="s">
        <v>48</v>
      </c>
      <c r="Q734" t="s">
        <v>28</v>
      </c>
    </row>
    <row r="735" spans="1:17" x14ac:dyDescent="0.3">
      <c r="A735" t="s">
        <v>1508</v>
      </c>
      <c r="B735" s="1">
        <v>46131</v>
      </c>
      <c r="C735" t="s">
        <v>70</v>
      </c>
      <c r="D735" t="s">
        <v>71</v>
      </c>
      <c r="E735" t="s">
        <v>120</v>
      </c>
      <c r="F735" t="s">
        <v>37</v>
      </c>
      <c r="G735" t="s">
        <v>45</v>
      </c>
      <c r="H735" t="s">
        <v>46</v>
      </c>
      <c r="I735" t="s">
        <v>1509</v>
      </c>
      <c r="J735">
        <v>11</v>
      </c>
      <c r="K735" s="2">
        <v>2672.62</v>
      </c>
      <c r="L735">
        <v>10</v>
      </c>
      <c r="M735" s="2">
        <v>26458.94</v>
      </c>
      <c r="N735" s="2">
        <v>20903.23</v>
      </c>
      <c r="O735" s="2">
        <v>5555.71</v>
      </c>
      <c r="P735" t="s">
        <v>48</v>
      </c>
      <c r="Q735" t="s">
        <v>28</v>
      </c>
    </row>
    <row r="736" spans="1:17" x14ac:dyDescent="0.3">
      <c r="A736" t="s">
        <v>1510</v>
      </c>
      <c r="B736" s="1">
        <v>46177</v>
      </c>
      <c r="C736" t="s">
        <v>86</v>
      </c>
      <c r="D736" t="s">
        <v>87</v>
      </c>
      <c r="E736" t="s">
        <v>30</v>
      </c>
      <c r="F736" t="s">
        <v>31</v>
      </c>
      <c r="G736" t="s">
        <v>45</v>
      </c>
      <c r="H736" t="s">
        <v>159</v>
      </c>
      <c r="I736" t="s">
        <v>1511</v>
      </c>
      <c r="J736">
        <v>7</v>
      </c>
      <c r="K736" s="2">
        <v>4535.59</v>
      </c>
      <c r="L736">
        <v>10</v>
      </c>
      <c r="M736" s="2">
        <v>28574.22</v>
      </c>
      <c r="N736" s="2">
        <v>18125.88</v>
      </c>
      <c r="O736" s="2">
        <v>10448.34</v>
      </c>
      <c r="P736" t="s">
        <v>41</v>
      </c>
      <c r="Q736" t="s">
        <v>28</v>
      </c>
    </row>
    <row r="737" spans="1:17" x14ac:dyDescent="0.3">
      <c r="A737" t="s">
        <v>1512</v>
      </c>
      <c r="B737" s="1">
        <v>46196</v>
      </c>
      <c r="C737" t="s">
        <v>86</v>
      </c>
      <c r="D737" t="s">
        <v>90</v>
      </c>
      <c r="E737" t="s">
        <v>22</v>
      </c>
      <c r="F737" t="s">
        <v>31</v>
      </c>
      <c r="G737" t="s">
        <v>24</v>
      </c>
      <c r="H737" t="s">
        <v>171</v>
      </c>
      <c r="I737" t="s">
        <v>1513</v>
      </c>
      <c r="J737">
        <v>10</v>
      </c>
      <c r="K737" s="2">
        <v>865.71</v>
      </c>
      <c r="L737">
        <v>5</v>
      </c>
      <c r="M737" s="2">
        <v>8224.25</v>
      </c>
      <c r="N737" s="2">
        <v>4605.22</v>
      </c>
      <c r="O737" s="2">
        <v>3619.03</v>
      </c>
      <c r="P737" t="s">
        <v>27</v>
      </c>
      <c r="Q737" t="s">
        <v>61</v>
      </c>
    </row>
    <row r="738" spans="1:17" x14ac:dyDescent="0.3">
      <c r="A738" t="s">
        <v>1514</v>
      </c>
      <c r="B738" s="1">
        <v>46015</v>
      </c>
      <c r="C738" t="s">
        <v>20</v>
      </c>
      <c r="D738" t="s">
        <v>55</v>
      </c>
      <c r="E738" t="s">
        <v>170</v>
      </c>
      <c r="F738" t="s">
        <v>31</v>
      </c>
      <c r="G738" t="s">
        <v>45</v>
      </c>
      <c r="H738" t="s">
        <v>123</v>
      </c>
      <c r="I738" t="s">
        <v>1515</v>
      </c>
      <c r="J738">
        <v>5</v>
      </c>
      <c r="K738" s="2">
        <v>2515.58</v>
      </c>
      <c r="L738">
        <v>0</v>
      </c>
      <c r="M738" s="2">
        <v>12577.9</v>
      </c>
      <c r="N738" s="2">
        <v>8736.84</v>
      </c>
      <c r="O738" s="2">
        <v>3841.06</v>
      </c>
      <c r="P738" t="s">
        <v>41</v>
      </c>
      <c r="Q738" t="s">
        <v>42</v>
      </c>
    </row>
    <row r="739" spans="1:17" x14ac:dyDescent="0.3">
      <c r="A739" t="s">
        <v>1516</v>
      </c>
      <c r="B739" s="1">
        <v>45988</v>
      </c>
      <c r="C739" t="s">
        <v>70</v>
      </c>
      <c r="D739" t="s">
        <v>75</v>
      </c>
      <c r="E739" t="s">
        <v>66</v>
      </c>
      <c r="F739" t="s">
        <v>31</v>
      </c>
      <c r="G739" t="s">
        <v>38</v>
      </c>
      <c r="H739" t="s">
        <v>63</v>
      </c>
      <c r="I739" t="s">
        <v>1517</v>
      </c>
      <c r="J739">
        <v>3</v>
      </c>
      <c r="K739" s="2">
        <v>1422.59</v>
      </c>
      <c r="L739">
        <v>5</v>
      </c>
      <c r="M739" s="2">
        <v>4054.38</v>
      </c>
      <c r="N739" s="2">
        <v>3225.21</v>
      </c>
      <c r="O739" s="2">
        <v>829.17</v>
      </c>
      <c r="P739" t="s">
        <v>48</v>
      </c>
      <c r="Q739" t="s">
        <v>42</v>
      </c>
    </row>
    <row r="740" spans="1:17" x14ac:dyDescent="0.3">
      <c r="A740" t="s">
        <v>1518</v>
      </c>
      <c r="B740" s="1">
        <v>45823</v>
      </c>
      <c r="C740" t="s">
        <v>35</v>
      </c>
      <c r="D740" t="s">
        <v>36</v>
      </c>
      <c r="E740" t="s">
        <v>51</v>
      </c>
      <c r="F740" t="s">
        <v>23</v>
      </c>
      <c r="G740" t="s">
        <v>38</v>
      </c>
      <c r="H740" t="s">
        <v>39</v>
      </c>
      <c r="I740" t="s">
        <v>1519</v>
      </c>
      <c r="J740">
        <v>4</v>
      </c>
      <c r="K740" s="2">
        <v>712.4</v>
      </c>
      <c r="L740">
        <v>20</v>
      </c>
      <c r="M740" s="2">
        <v>2279.6799999999998</v>
      </c>
      <c r="N740" s="2">
        <v>1611.55</v>
      </c>
      <c r="O740" s="2">
        <v>668.13</v>
      </c>
      <c r="P740" t="s">
        <v>48</v>
      </c>
      <c r="Q740" t="s">
        <v>28</v>
      </c>
    </row>
    <row r="741" spans="1:17" x14ac:dyDescent="0.3">
      <c r="A741" t="s">
        <v>1520</v>
      </c>
      <c r="B741" s="1">
        <v>45880</v>
      </c>
      <c r="C741" t="s">
        <v>86</v>
      </c>
      <c r="D741" t="s">
        <v>90</v>
      </c>
      <c r="E741" t="s">
        <v>51</v>
      </c>
      <c r="F741" t="s">
        <v>23</v>
      </c>
      <c r="G741" t="s">
        <v>45</v>
      </c>
      <c r="H741" t="s">
        <v>67</v>
      </c>
      <c r="I741" t="s">
        <v>1521</v>
      </c>
      <c r="J741">
        <v>5</v>
      </c>
      <c r="K741" s="2">
        <v>4127.37</v>
      </c>
      <c r="L741">
        <v>15</v>
      </c>
      <c r="M741" s="2">
        <v>17541.32</v>
      </c>
      <c r="N741" s="2">
        <v>13831.7</v>
      </c>
      <c r="O741" s="2">
        <v>3709.62</v>
      </c>
      <c r="P741" t="s">
        <v>41</v>
      </c>
      <c r="Q741" t="s">
        <v>42</v>
      </c>
    </row>
    <row r="742" spans="1:17" x14ac:dyDescent="0.3">
      <c r="A742" t="s">
        <v>1522</v>
      </c>
      <c r="B742" s="1">
        <v>45799</v>
      </c>
      <c r="C742" t="s">
        <v>35</v>
      </c>
      <c r="D742" t="s">
        <v>36</v>
      </c>
      <c r="E742" t="s">
        <v>113</v>
      </c>
      <c r="F742" t="s">
        <v>31</v>
      </c>
      <c r="G742" t="s">
        <v>24</v>
      </c>
      <c r="H742" t="s">
        <v>171</v>
      </c>
      <c r="I742" t="s">
        <v>851</v>
      </c>
      <c r="J742">
        <v>12</v>
      </c>
      <c r="K742" s="2">
        <v>2938.19</v>
      </c>
      <c r="L742">
        <v>15</v>
      </c>
      <c r="M742" s="2">
        <v>29969.54</v>
      </c>
      <c r="N742" s="2">
        <v>23230.29</v>
      </c>
      <c r="O742" s="2">
        <v>6739.25</v>
      </c>
      <c r="P742" t="s">
        <v>41</v>
      </c>
      <c r="Q742" t="s">
        <v>61</v>
      </c>
    </row>
    <row r="743" spans="1:17" x14ac:dyDescent="0.3">
      <c r="A743" t="s">
        <v>1523</v>
      </c>
      <c r="B743" s="1">
        <v>45862</v>
      </c>
      <c r="C743" t="s">
        <v>70</v>
      </c>
      <c r="D743" t="s">
        <v>71</v>
      </c>
      <c r="E743" t="s">
        <v>30</v>
      </c>
      <c r="F743" t="s">
        <v>31</v>
      </c>
      <c r="G743" t="s">
        <v>24</v>
      </c>
      <c r="H743" t="s">
        <v>25</v>
      </c>
      <c r="I743" t="s">
        <v>1524</v>
      </c>
      <c r="J743">
        <v>11</v>
      </c>
      <c r="K743" s="2">
        <v>2122.69</v>
      </c>
      <c r="L743">
        <v>10</v>
      </c>
      <c r="M743" s="2">
        <v>21014.63</v>
      </c>
      <c r="N743" s="2">
        <v>11983.78</v>
      </c>
      <c r="O743" s="2">
        <v>9030.85</v>
      </c>
      <c r="P743" t="s">
        <v>41</v>
      </c>
      <c r="Q743" t="s">
        <v>28</v>
      </c>
    </row>
    <row r="744" spans="1:17" x14ac:dyDescent="0.3">
      <c r="A744" t="s">
        <v>1525</v>
      </c>
      <c r="B744" s="1">
        <v>45667</v>
      </c>
      <c r="C744" t="s">
        <v>35</v>
      </c>
      <c r="D744" t="s">
        <v>36</v>
      </c>
      <c r="E744" t="s">
        <v>120</v>
      </c>
      <c r="F744" t="s">
        <v>23</v>
      </c>
      <c r="G744" t="s">
        <v>24</v>
      </c>
      <c r="H744" t="s">
        <v>32</v>
      </c>
      <c r="I744" t="s">
        <v>1526</v>
      </c>
      <c r="J744">
        <v>12</v>
      </c>
      <c r="K744" s="2">
        <v>528.52</v>
      </c>
      <c r="L744">
        <v>5</v>
      </c>
      <c r="M744" s="2">
        <v>6025.13</v>
      </c>
      <c r="N744" s="2">
        <v>4294.78</v>
      </c>
      <c r="O744" s="2">
        <v>1730.35</v>
      </c>
      <c r="P744" t="s">
        <v>48</v>
      </c>
      <c r="Q744" t="s">
        <v>61</v>
      </c>
    </row>
    <row r="745" spans="1:17" x14ac:dyDescent="0.3">
      <c r="A745" t="s">
        <v>1527</v>
      </c>
      <c r="B745" s="1">
        <v>46092</v>
      </c>
      <c r="C745" t="s">
        <v>86</v>
      </c>
      <c r="D745" t="s">
        <v>90</v>
      </c>
      <c r="E745" t="s">
        <v>120</v>
      </c>
      <c r="F745" t="s">
        <v>37</v>
      </c>
      <c r="G745" t="s">
        <v>38</v>
      </c>
      <c r="H745" t="s">
        <v>106</v>
      </c>
      <c r="I745" t="s">
        <v>1528</v>
      </c>
      <c r="J745">
        <v>4</v>
      </c>
      <c r="K745" s="2">
        <v>1163.1199999999999</v>
      </c>
      <c r="L745">
        <v>0</v>
      </c>
      <c r="M745" s="2">
        <v>4652.4799999999996</v>
      </c>
      <c r="N745" s="2">
        <v>2678.24</v>
      </c>
      <c r="O745" s="2">
        <v>1974.24</v>
      </c>
      <c r="P745" t="s">
        <v>41</v>
      </c>
      <c r="Q745" t="s">
        <v>49</v>
      </c>
    </row>
    <row r="746" spans="1:17" x14ac:dyDescent="0.3">
      <c r="A746" t="s">
        <v>1529</v>
      </c>
      <c r="B746" s="1">
        <v>46061</v>
      </c>
      <c r="C746" t="s">
        <v>86</v>
      </c>
      <c r="D746" t="s">
        <v>87</v>
      </c>
      <c r="E746" t="s">
        <v>30</v>
      </c>
      <c r="F746" t="s">
        <v>37</v>
      </c>
      <c r="G746" t="s">
        <v>45</v>
      </c>
      <c r="H746" t="s">
        <v>46</v>
      </c>
      <c r="I746" t="s">
        <v>1530</v>
      </c>
      <c r="J746">
        <v>2</v>
      </c>
      <c r="K746" s="2">
        <v>3897.07</v>
      </c>
      <c r="L746">
        <v>0</v>
      </c>
      <c r="M746" s="2">
        <v>7794.14</v>
      </c>
      <c r="N746" s="2">
        <v>4847.58</v>
      </c>
      <c r="O746" s="2">
        <v>2946.56</v>
      </c>
      <c r="P746" t="s">
        <v>41</v>
      </c>
      <c r="Q746" t="s">
        <v>42</v>
      </c>
    </row>
    <row r="747" spans="1:17" x14ac:dyDescent="0.3">
      <c r="A747" t="s">
        <v>1531</v>
      </c>
      <c r="B747" s="1">
        <v>45696</v>
      </c>
      <c r="C747" t="s">
        <v>35</v>
      </c>
      <c r="D747" t="s">
        <v>59</v>
      </c>
      <c r="E747" t="s">
        <v>51</v>
      </c>
      <c r="F747" t="s">
        <v>37</v>
      </c>
      <c r="G747" t="s">
        <v>38</v>
      </c>
      <c r="H747" t="s">
        <v>63</v>
      </c>
      <c r="I747" t="s">
        <v>111</v>
      </c>
      <c r="J747">
        <v>15</v>
      </c>
      <c r="K747" s="2">
        <v>3989.01</v>
      </c>
      <c r="L747">
        <v>5</v>
      </c>
      <c r="M747" s="2">
        <v>56843.39</v>
      </c>
      <c r="N747" s="2">
        <v>36279.269999999997</v>
      </c>
      <c r="O747" s="2">
        <v>20564.12</v>
      </c>
      <c r="P747" t="s">
        <v>48</v>
      </c>
      <c r="Q747" t="s">
        <v>49</v>
      </c>
    </row>
    <row r="748" spans="1:17" x14ac:dyDescent="0.3">
      <c r="A748" t="s">
        <v>1532</v>
      </c>
      <c r="B748" s="1">
        <v>46064</v>
      </c>
      <c r="C748" t="s">
        <v>20</v>
      </c>
      <c r="D748" t="s">
        <v>21</v>
      </c>
      <c r="E748" t="s">
        <v>44</v>
      </c>
      <c r="F748" t="s">
        <v>31</v>
      </c>
      <c r="G748" t="s">
        <v>38</v>
      </c>
      <c r="H748" t="s">
        <v>106</v>
      </c>
      <c r="I748" t="s">
        <v>1533</v>
      </c>
      <c r="J748">
        <v>7</v>
      </c>
      <c r="K748" s="2">
        <v>1891.5</v>
      </c>
      <c r="L748">
        <v>0</v>
      </c>
      <c r="M748" s="2">
        <v>13240.5</v>
      </c>
      <c r="N748" s="2">
        <v>9406.98</v>
      </c>
      <c r="O748" s="2">
        <v>3833.52</v>
      </c>
      <c r="P748" t="s">
        <v>27</v>
      </c>
      <c r="Q748" t="s">
        <v>61</v>
      </c>
    </row>
    <row r="749" spans="1:17" x14ac:dyDescent="0.3">
      <c r="A749" t="s">
        <v>1534</v>
      </c>
      <c r="B749" s="1">
        <v>45904</v>
      </c>
      <c r="C749" t="s">
        <v>35</v>
      </c>
      <c r="D749" t="s">
        <v>59</v>
      </c>
      <c r="E749" t="s">
        <v>22</v>
      </c>
      <c r="F749" t="s">
        <v>37</v>
      </c>
      <c r="G749" t="s">
        <v>45</v>
      </c>
      <c r="H749" t="s">
        <v>159</v>
      </c>
      <c r="I749" t="s">
        <v>1535</v>
      </c>
      <c r="J749">
        <v>5</v>
      </c>
      <c r="K749" s="2">
        <v>1478.21</v>
      </c>
      <c r="L749">
        <v>15</v>
      </c>
      <c r="M749" s="2">
        <v>6282.39</v>
      </c>
      <c r="N749" s="2">
        <v>3793.01</v>
      </c>
      <c r="O749" s="2">
        <v>2489.38</v>
      </c>
      <c r="P749" t="s">
        <v>27</v>
      </c>
      <c r="Q749" t="s">
        <v>42</v>
      </c>
    </row>
    <row r="750" spans="1:17" x14ac:dyDescent="0.3">
      <c r="A750" t="s">
        <v>1536</v>
      </c>
      <c r="B750" s="1">
        <v>45959</v>
      </c>
      <c r="C750" t="s">
        <v>86</v>
      </c>
      <c r="D750" t="s">
        <v>90</v>
      </c>
      <c r="E750" t="s">
        <v>170</v>
      </c>
      <c r="F750" t="s">
        <v>23</v>
      </c>
      <c r="G750" t="s">
        <v>38</v>
      </c>
      <c r="H750" t="s">
        <v>72</v>
      </c>
      <c r="I750" t="s">
        <v>1537</v>
      </c>
      <c r="J750">
        <v>8</v>
      </c>
      <c r="K750" s="2">
        <v>4028.87</v>
      </c>
      <c r="L750">
        <v>0</v>
      </c>
      <c r="M750" s="2">
        <v>32230.959999999999</v>
      </c>
      <c r="N750" s="2">
        <v>23389.93</v>
      </c>
      <c r="O750" s="2">
        <v>8841.0300000000007</v>
      </c>
      <c r="P750" t="s">
        <v>27</v>
      </c>
      <c r="Q750" t="s">
        <v>49</v>
      </c>
    </row>
    <row r="751" spans="1:17" x14ac:dyDescent="0.3">
      <c r="A751" t="s">
        <v>1538</v>
      </c>
      <c r="B751" s="1">
        <v>46168</v>
      </c>
      <c r="C751" t="s">
        <v>20</v>
      </c>
      <c r="D751" t="s">
        <v>55</v>
      </c>
      <c r="E751" t="s">
        <v>22</v>
      </c>
      <c r="F751" t="s">
        <v>37</v>
      </c>
      <c r="G751" t="s">
        <v>45</v>
      </c>
      <c r="H751" t="s">
        <v>46</v>
      </c>
      <c r="I751" t="s">
        <v>1539</v>
      </c>
      <c r="J751">
        <v>4</v>
      </c>
      <c r="K751" s="2">
        <v>605.47</v>
      </c>
      <c r="L751">
        <v>10</v>
      </c>
      <c r="M751" s="2">
        <v>2179.69</v>
      </c>
      <c r="N751" s="2">
        <v>1596.88</v>
      </c>
      <c r="O751" s="2">
        <v>582.80999999999995</v>
      </c>
      <c r="P751" t="s">
        <v>48</v>
      </c>
      <c r="Q751" t="s">
        <v>28</v>
      </c>
    </row>
    <row r="752" spans="1:17" x14ac:dyDescent="0.3">
      <c r="A752" t="s">
        <v>1540</v>
      </c>
      <c r="B752" s="1">
        <v>45713</v>
      </c>
      <c r="C752" t="s">
        <v>86</v>
      </c>
      <c r="D752" t="s">
        <v>90</v>
      </c>
      <c r="E752" t="s">
        <v>120</v>
      </c>
      <c r="F752" t="s">
        <v>31</v>
      </c>
      <c r="G752" t="s">
        <v>38</v>
      </c>
      <c r="H752" t="s">
        <v>63</v>
      </c>
      <c r="I752" t="s">
        <v>1541</v>
      </c>
      <c r="J752">
        <v>2</v>
      </c>
      <c r="K752" s="2">
        <v>3483.91</v>
      </c>
      <c r="L752">
        <v>0</v>
      </c>
      <c r="M752" s="2">
        <v>6967.82</v>
      </c>
      <c r="N752" s="2">
        <v>4913.66</v>
      </c>
      <c r="O752" s="2">
        <v>2054.16</v>
      </c>
      <c r="P752" t="s">
        <v>41</v>
      </c>
      <c r="Q752" t="s">
        <v>28</v>
      </c>
    </row>
    <row r="753" spans="1:17" x14ac:dyDescent="0.3">
      <c r="A753" t="s">
        <v>1542</v>
      </c>
      <c r="B753" s="1">
        <v>46014</v>
      </c>
      <c r="C753" t="s">
        <v>86</v>
      </c>
      <c r="D753" t="s">
        <v>90</v>
      </c>
      <c r="E753" t="s">
        <v>170</v>
      </c>
      <c r="F753" t="s">
        <v>37</v>
      </c>
      <c r="G753" t="s">
        <v>45</v>
      </c>
      <c r="H753" t="s">
        <v>67</v>
      </c>
      <c r="I753" t="s">
        <v>1543</v>
      </c>
      <c r="J753">
        <v>13</v>
      </c>
      <c r="K753" s="2">
        <v>802.96</v>
      </c>
      <c r="L753">
        <v>20</v>
      </c>
      <c r="M753" s="2">
        <v>8350.7800000000007</v>
      </c>
      <c r="N753" s="2">
        <v>4688.62</v>
      </c>
      <c r="O753" s="2">
        <v>3662.16</v>
      </c>
      <c r="P753" t="s">
        <v>41</v>
      </c>
      <c r="Q753" t="s">
        <v>28</v>
      </c>
    </row>
    <row r="754" spans="1:17" x14ac:dyDescent="0.3">
      <c r="A754" t="s">
        <v>1544</v>
      </c>
      <c r="B754" s="1">
        <v>45807</v>
      </c>
      <c r="C754" t="s">
        <v>35</v>
      </c>
      <c r="D754" t="s">
        <v>36</v>
      </c>
      <c r="E754" t="s">
        <v>51</v>
      </c>
      <c r="F754" t="s">
        <v>37</v>
      </c>
      <c r="G754" t="s">
        <v>45</v>
      </c>
      <c r="H754" t="s">
        <v>67</v>
      </c>
      <c r="I754" t="s">
        <v>1545</v>
      </c>
      <c r="J754">
        <v>6</v>
      </c>
      <c r="K754" s="2">
        <v>736.94</v>
      </c>
      <c r="L754">
        <v>5</v>
      </c>
      <c r="M754" s="2">
        <v>4200.5600000000004</v>
      </c>
      <c r="N754" s="2">
        <v>2357.4699999999998</v>
      </c>
      <c r="O754" s="2">
        <v>1843.09</v>
      </c>
      <c r="P754" t="s">
        <v>41</v>
      </c>
      <c r="Q754" t="s">
        <v>49</v>
      </c>
    </row>
    <row r="755" spans="1:17" x14ac:dyDescent="0.3">
      <c r="A755" t="s">
        <v>1546</v>
      </c>
      <c r="B755" s="1">
        <v>45973</v>
      </c>
      <c r="C755" t="s">
        <v>20</v>
      </c>
      <c r="D755" t="s">
        <v>55</v>
      </c>
      <c r="E755" t="s">
        <v>113</v>
      </c>
      <c r="F755" t="s">
        <v>23</v>
      </c>
      <c r="G755" t="s">
        <v>45</v>
      </c>
      <c r="H755" t="s">
        <v>159</v>
      </c>
      <c r="I755" t="s">
        <v>1547</v>
      </c>
      <c r="J755">
        <v>4</v>
      </c>
      <c r="K755" s="2">
        <v>4098.5</v>
      </c>
      <c r="L755">
        <v>20</v>
      </c>
      <c r="M755" s="2">
        <v>13115.2</v>
      </c>
      <c r="N755" s="2">
        <v>8252.15</v>
      </c>
      <c r="O755" s="2">
        <v>4863.05</v>
      </c>
      <c r="P755" t="s">
        <v>41</v>
      </c>
      <c r="Q755" t="s">
        <v>49</v>
      </c>
    </row>
    <row r="756" spans="1:17" x14ac:dyDescent="0.3">
      <c r="A756" t="s">
        <v>1548</v>
      </c>
      <c r="B756" s="1">
        <v>46199</v>
      </c>
      <c r="C756" t="s">
        <v>35</v>
      </c>
      <c r="D756" t="s">
        <v>59</v>
      </c>
      <c r="E756" t="s">
        <v>22</v>
      </c>
      <c r="F756" t="s">
        <v>23</v>
      </c>
      <c r="G756" t="s">
        <v>38</v>
      </c>
      <c r="H756" t="s">
        <v>91</v>
      </c>
      <c r="I756" t="s">
        <v>1549</v>
      </c>
      <c r="J756">
        <v>7</v>
      </c>
      <c r="K756" s="2">
        <v>3095.52</v>
      </c>
      <c r="L756">
        <v>10</v>
      </c>
      <c r="M756" s="2">
        <v>19501.78</v>
      </c>
      <c r="N756" s="2">
        <v>10747.75</v>
      </c>
      <c r="O756" s="2">
        <v>8754.0300000000007</v>
      </c>
      <c r="P756" t="s">
        <v>41</v>
      </c>
      <c r="Q756" t="s">
        <v>42</v>
      </c>
    </row>
    <row r="757" spans="1:17" x14ac:dyDescent="0.3">
      <c r="A757" t="s">
        <v>1550</v>
      </c>
      <c r="B757" s="1">
        <v>46201</v>
      </c>
      <c r="C757" t="s">
        <v>86</v>
      </c>
      <c r="D757" t="s">
        <v>90</v>
      </c>
      <c r="E757" t="s">
        <v>170</v>
      </c>
      <c r="F757" t="s">
        <v>37</v>
      </c>
      <c r="G757" t="s">
        <v>38</v>
      </c>
      <c r="H757" t="s">
        <v>106</v>
      </c>
      <c r="I757" t="s">
        <v>1551</v>
      </c>
      <c r="J757">
        <v>5</v>
      </c>
      <c r="K757" s="2">
        <v>3952.05</v>
      </c>
      <c r="L757">
        <v>0</v>
      </c>
      <c r="M757" s="2">
        <v>19760.25</v>
      </c>
      <c r="N757" s="2">
        <v>14234.7</v>
      </c>
      <c r="O757" s="2">
        <v>5525.55</v>
      </c>
      <c r="P757" t="s">
        <v>48</v>
      </c>
      <c r="Q757" t="s">
        <v>61</v>
      </c>
    </row>
    <row r="758" spans="1:17" x14ac:dyDescent="0.3">
      <c r="A758" t="s">
        <v>1552</v>
      </c>
      <c r="B758" s="1">
        <v>45817</v>
      </c>
      <c r="C758" t="s">
        <v>20</v>
      </c>
      <c r="D758" t="s">
        <v>21</v>
      </c>
      <c r="E758" t="s">
        <v>22</v>
      </c>
      <c r="F758" t="s">
        <v>31</v>
      </c>
      <c r="G758" t="s">
        <v>38</v>
      </c>
      <c r="H758" t="s">
        <v>106</v>
      </c>
      <c r="I758" t="s">
        <v>1553</v>
      </c>
      <c r="J758">
        <v>8</v>
      </c>
      <c r="K758" s="2">
        <v>4421.28</v>
      </c>
      <c r="L758">
        <v>0</v>
      </c>
      <c r="M758" s="2">
        <v>35370.239999999998</v>
      </c>
      <c r="N758" s="2">
        <v>27958.11</v>
      </c>
      <c r="O758" s="2">
        <v>7412.13</v>
      </c>
      <c r="P758" t="s">
        <v>48</v>
      </c>
      <c r="Q758" t="s">
        <v>61</v>
      </c>
    </row>
    <row r="759" spans="1:17" x14ac:dyDescent="0.3">
      <c r="A759" t="s">
        <v>1554</v>
      </c>
      <c r="B759" s="1">
        <v>45941</v>
      </c>
      <c r="C759" t="s">
        <v>86</v>
      </c>
      <c r="D759" t="s">
        <v>90</v>
      </c>
      <c r="E759" t="s">
        <v>113</v>
      </c>
      <c r="F759" t="s">
        <v>31</v>
      </c>
      <c r="G759" t="s">
        <v>38</v>
      </c>
      <c r="H759" t="s">
        <v>63</v>
      </c>
      <c r="I759" t="s">
        <v>1555</v>
      </c>
      <c r="J759">
        <v>7</v>
      </c>
      <c r="K759" s="2">
        <v>4472.1099999999997</v>
      </c>
      <c r="L759">
        <v>0</v>
      </c>
      <c r="M759" s="2">
        <v>31304.77</v>
      </c>
      <c r="N759" s="2">
        <v>18270.5</v>
      </c>
      <c r="O759" s="2">
        <v>13034.27</v>
      </c>
      <c r="P759" t="s">
        <v>48</v>
      </c>
      <c r="Q759" t="s">
        <v>61</v>
      </c>
    </row>
    <row r="760" spans="1:17" x14ac:dyDescent="0.3">
      <c r="A760" t="s">
        <v>1556</v>
      </c>
      <c r="B760" s="1">
        <v>45999</v>
      </c>
      <c r="C760" t="s">
        <v>86</v>
      </c>
      <c r="D760" t="s">
        <v>87</v>
      </c>
      <c r="E760" t="s">
        <v>51</v>
      </c>
      <c r="F760" t="s">
        <v>37</v>
      </c>
      <c r="G760" t="s">
        <v>45</v>
      </c>
      <c r="H760" t="s">
        <v>67</v>
      </c>
      <c r="I760" t="s">
        <v>1557</v>
      </c>
      <c r="J760">
        <v>5</v>
      </c>
      <c r="K760" s="2">
        <v>2541.4899999999998</v>
      </c>
      <c r="L760">
        <v>5</v>
      </c>
      <c r="M760" s="2">
        <v>12072.08</v>
      </c>
      <c r="N760" s="2">
        <v>7155.88</v>
      </c>
      <c r="O760" s="2">
        <v>4916.2</v>
      </c>
      <c r="P760" t="s">
        <v>41</v>
      </c>
      <c r="Q760" t="s">
        <v>42</v>
      </c>
    </row>
    <row r="761" spans="1:17" x14ac:dyDescent="0.3">
      <c r="A761" t="s">
        <v>1558</v>
      </c>
      <c r="B761" s="1">
        <v>45808</v>
      </c>
      <c r="C761" t="s">
        <v>86</v>
      </c>
      <c r="D761" t="s">
        <v>90</v>
      </c>
      <c r="E761" t="s">
        <v>44</v>
      </c>
      <c r="F761" t="s">
        <v>31</v>
      </c>
      <c r="G761" t="s">
        <v>38</v>
      </c>
      <c r="H761" t="s">
        <v>72</v>
      </c>
      <c r="I761" t="s">
        <v>1559</v>
      </c>
      <c r="J761">
        <v>5</v>
      </c>
      <c r="K761" s="2">
        <v>4897.3900000000003</v>
      </c>
      <c r="L761">
        <v>20</v>
      </c>
      <c r="M761" s="2">
        <v>19589.560000000001</v>
      </c>
      <c r="N761" s="2">
        <v>14642.36</v>
      </c>
      <c r="O761" s="2">
        <v>4947.2</v>
      </c>
      <c r="P761" t="s">
        <v>41</v>
      </c>
      <c r="Q761" t="s">
        <v>28</v>
      </c>
    </row>
    <row r="762" spans="1:17" x14ac:dyDescent="0.3">
      <c r="A762" t="s">
        <v>1560</v>
      </c>
      <c r="B762" s="1">
        <v>46124</v>
      </c>
      <c r="C762" t="s">
        <v>86</v>
      </c>
      <c r="D762" t="s">
        <v>87</v>
      </c>
      <c r="E762" t="s">
        <v>113</v>
      </c>
      <c r="F762" t="s">
        <v>23</v>
      </c>
      <c r="G762" t="s">
        <v>24</v>
      </c>
      <c r="H762" t="s">
        <v>134</v>
      </c>
      <c r="I762" t="s">
        <v>1561</v>
      </c>
      <c r="J762">
        <v>6</v>
      </c>
      <c r="K762" s="2">
        <v>1413.27</v>
      </c>
      <c r="L762">
        <v>15</v>
      </c>
      <c r="M762" s="2">
        <v>7207.68</v>
      </c>
      <c r="N762" s="2">
        <v>4390.51</v>
      </c>
      <c r="O762" s="2">
        <v>2817.17</v>
      </c>
      <c r="P762" t="s">
        <v>27</v>
      </c>
      <c r="Q762" t="s">
        <v>42</v>
      </c>
    </row>
    <row r="763" spans="1:17" x14ac:dyDescent="0.3">
      <c r="A763" t="s">
        <v>1562</v>
      </c>
      <c r="B763" s="1">
        <v>45736</v>
      </c>
      <c r="C763" t="s">
        <v>70</v>
      </c>
      <c r="D763" t="s">
        <v>75</v>
      </c>
      <c r="E763" t="s">
        <v>30</v>
      </c>
      <c r="F763" t="s">
        <v>37</v>
      </c>
      <c r="G763" t="s">
        <v>38</v>
      </c>
      <c r="H763" t="s">
        <v>39</v>
      </c>
      <c r="I763" t="s">
        <v>1563</v>
      </c>
      <c r="J763">
        <v>11</v>
      </c>
      <c r="K763" s="2">
        <v>934.51</v>
      </c>
      <c r="L763">
        <v>0</v>
      </c>
      <c r="M763" s="2">
        <v>10279.61</v>
      </c>
      <c r="N763" s="2">
        <v>7409.9</v>
      </c>
      <c r="O763" s="2">
        <v>2869.71</v>
      </c>
      <c r="P763" t="s">
        <v>27</v>
      </c>
      <c r="Q763" t="s">
        <v>28</v>
      </c>
    </row>
    <row r="764" spans="1:17" x14ac:dyDescent="0.3">
      <c r="A764" t="s">
        <v>1564</v>
      </c>
      <c r="B764" s="1">
        <v>46033</v>
      </c>
      <c r="C764" t="s">
        <v>86</v>
      </c>
      <c r="D764" t="s">
        <v>87</v>
      </c>
      <c r="E764" t="s">
        <v>120</v>
      </c>
      <c r="F764" t="s">
        <v>37</v>
      </c>
      <c r="G764" t="s">
        <v>38</v>
      </c>
      <c r="H764" t="s">
        <v>91</v>
      </c>
      <c r="I764" t="s">
        <v>1565</v>
      </c>
      <c r="J764">
        <v>14</v>
      </c>
      <c r="K764" s="2">
        <v>356.94</v>
      </c>
      <c r="L764">
        <v>10</v>
      </c>
      <c r="M764" s="2">
        <v>4497.4399999999996</v>
      </c>
      <c r="N764" s="2">
        <v>3482.8</v>
      </c>
      <c r="O764" s="2">
        <v>1014.64</v>
      </c>
      <c r="P764" t="s">
        <v>48</v>
      </c>
      <c r="Q764" t="s">
        <v>61</v>
      </c>
    </row>
    <row r="765" spans="1:17" x14ac:dyDescent="0.3">
      <c r="A765" t="s">
        <v>1566</v>
      </c>
      <c r="B765" s="1">
        <v>45947</v>
      </c>
      <c r="C765" t="s">
        <v>86</v>
      </c>
      <c r="D765" t="s">
        <v>87</v>
      </c>
      <c r="E765" t="s">
        <v>66</v>
      </c>
      <c r="F765" t="s">
        <v>23</v>
      </c>
      <c r="G765" t="s">
        <v>38</v>
      </c>
      <c r="H765" t="s">
        <v>91</v>
      </c>
      <c r="I765" t="s">
        <v>1567</v>
      </c>
      <c r="J765">
        <v>15</v>
      </c>
      <c r="K765" s="2">
        <v>2716.28</v>
      </c>
      <c r="L765">
        <v>15</v>
      </c>
      <c r="M765" s="2">
        <v>34632.57</v>
      </c>
      <c r="N765" s="2">
        <v>25526.639999999999</v>
      </c>
      <c r="O765" s="2">
        <v>9105.93</v>
      </c>
      <c r="P765" t="s">
        <v>48</v>
      </c>
      <c r="Q765" t="s">
        <v>49</v>
      </c>
    </row>
    <row r="766" spans="1:17" x14ac:dyDescent="0.3">
      <c r="A766" t="s">
        <v>1568</v>
      </c>
      <c r="B766" s="1">
        <v>46110</v>
      </c>
      <c r="C766" t="s">
        <v>70</v>
      </c>
      <c r="D766" t="s">
        <v>71</v>
      </c>
      <c r="E766" t="s">
        <v>44</v>
      </c>
      <c r="F766" t="s">
        <v>31</v>
      </c>
      <c r="G766" t="s">
        <v>38</v>
      </c>
      <c r="H766" t="s">
        <v>106</v>
      </c>
      <c r="I766" t="s">
        <v>1569</v>
      </c>
      <c r="J766">
        <v>4</v>
      </c>
      <c r="K766" s="2">
        <v>4618.24</v>
      </c>
      <c r="L766">
        <v>5</v>
      </c>
      <c r="M766" s="2">
        <v>17549.310000000001</v>
      </c>
      <c r="N766" s="2">
        <v>10724.05</v>
      </c>
      <c r="O766" s="2">
        <v>6825.26</v>
      </c>
      <c r="P766" t="s">
        <v>48</v>
      </c>
      <c r="Q766" t="s">
        <v>28</v>
      </c>
    </row>
    <row r="767" spans="1:17" x14ac:dyDescent="0.3">
      <c r="A767" t="s">
        <v>1570</v>
      </c>
      <c r="B767" s="1">
        <v>45819</v>
      </c>
      <c r="C767" t="s">
        <v>86</v>
      </c>
      <c r="D767" t="s">
        <v>90</v>
      </c>
      <c r="E767" t="s">
        <v>113</v>
      </c>
      <c r="F767" t="s">
        <v>23</v>
      </c>
      <c r="G767" t="s">
        <v>45</v>
      </c>
      <c r="H767" t="s">
        <v>159</v>
      </c>
      <c r="I767" t="s">
        <v>1571</v>
      </c>
      <c r="J767">
        <v>9</v>
      </c>
      <c r="K767" s="2">
        <v>4866.88</v>
      </c>
      <c r="L767">
        <v>20</v>
      </c>
      <c r="M767" s="2">
        <v>35041.54</v>
      </c>
      <c r="N767" s="2">
        <v>22579.72</v>
      </c>
      <c r="O767" s="2">
        <v>12461.82</v>
      </c>
      <c r="P767" t="s">
        <v>48</v>
      </c>
      <c r="Q767" t="s">
        <v>61</v>
      </c>
    </row>
    <row r="768" spans="1:17" x14ac:dyDescent="0.3">
      <c r="A768" t="s">
        <v>1572</v>
      </c>
      <c r="B768" s="1">
        <v>45928</v>
      </c>
      <c r="C768" t="s">
        <v>70</v>
      </c>
      <c r="D768" t="s">
        <v>71</v>
      </c>
      <c r="E768" t="s">
        <v>22</v>
      </c>
      <c r="F768" t="s">
        <v>23</v>
      </c>
      <c r="G768" t="s">
        <v>45</v>
      </c>
      <c r="H768" t="s">
        <v>67</v>
      </c>
      <c r="I768" t="s">
        <v>1573</v>
      </c>
      <c r="J768">
        <v>4</v>
      </c>
      <c r="K768" s="2">
        <v>1825.91</v>
      </c>
      <c r="L768">
        <v>10</v>
      </c>
      <c r="M768" s="2">
        <v>6573.28</v>
      </c>
      <c r="N768" s="2">
        <v>5373.68</v>
      </c>
      <c r="O768" s="2">
        <v>1199.5999999999999</v>
      </c>
      <c r="P768" t="s">
        <v>27</v>
      </c>
      <c r="Q768" t="s">
        <v>61</v>
      </c>
    </row>
    <row r="769" spans="1:17" x14ac:dyDescent="0.3">
      <c r="A769" t="s">
        <v>1574</v>
      </c>
      <c r="B769" s="1">
        <v>45668</v>
      </c>
      <c r="C769" t="s">
        <v>86</v>
      </c>
      <c r="D769" t="s">
        <v>87</v>
      </c>
      <c r="E769" t="s">
        <v>170</v>
      </c>
      <c r="F769" t="s">
        <v>37</v>
      </c>
      <c r="G769" t="s">
        <v>24</v>
      </c>
      <c r="H769" t="s">
        <v>134</v>
      </c>
      <c r="I769" t="s">
        <v>1575</v>
      </c>
      <c r="J769">
        <v>4</v>
      </c>
      <c r="K769" s="2">
        <v>3982.05</v>
      </c>
      <c r="L769">
        <v>0</v>
      </c>
      <c r="M769" s="2">
        <v>15928.2</v>
      </c>
      <c r="N769" s="2">
        <v>9821.3700000000008</v>
      </c>
      <c r="O769" s="2">
        <v>6106.83</v>
      </c>
      <c r="P769" t="s">
        <v>27</v>
      </c>
      <c r="Q769" t="s">
        <v>28</v>
      </c>
    </row>
    <row r="770" spans="1:17" x14ac:dyDescent="0.3">
      <c r="A770" t="s">
        <v>1576</v>
      </c>
      <c r="B770" s="1">
        <v>45945</v>
      </c>
      <c r="C770" t="s">
        <v>20</v>
      </c>
      <c r="D770" t="s">
        <v>21</v>
      </c>
      <c r="E770" t="s">
        <v>51</v>
      </c>
      <c r="F770" t="s">
        <v>23</v>
      </c>
      <c r="G770" t="s">
        <v>45</v>
      </c>
      <c r="H770" t="s">
        <v>52</v>
      </c>
      <c r="I770" t="s">
        <v>1577</v>
      </c>
      <c r="J770">
        <v>4</v>
      </c>
      <c r="K770" s="2">
        <v>1065.92</v>
      </c>
      <c r="L770">
        <v>15</v>
      </c>
      <c r="M770" s="2">
        <v>3624.13</v>
      </c>
      <c r="N770" s="2">
        <v>2308.6799999999998</v>
      </c>
      <c r="O770" s="2">
        <v>1315.45</v>
      </c>
      <c r="P770" t="s">
        <v>27</v>
      </c>
      <c r="Q770" t="s">
        <v>28</v>
      </c>
    </row>
    <row r="771" spans="1:17" x14ac:dyDescent="0.3">
      <c r="A771" t="s">
        <v>1578</v>
      </c>
      <c r="B771" s="1">
        <v>45715</v>
      </c>
      <c r="C771" t="s">
        <v>70</v>
      </c>
      <c r="D771" t="s">
        <v>71</v>
      </c>
      <c r="E771" t="s">
        <v>120</v>
      </c>
      <c r="F771" t="s">
        <v>23</v>
      </c>
      <c r="G771" t="s">
        <v>45</v>
      </c>
      <c r="H771" t="s">
        <v>67</v>
      </c>
      <c r="I771" t="s">
        <v>1579</v>
      </c>
      <c r="J771">
        <v>11</v>
      </c>
      <c r="K771" s="2">
        <v>3343.26</v>
      </c>
      <c r="L771">
        <v>5</v>
      </c>
      <c r="M771" s="2">
        <v>34937.07</v>
      </c>
      <c r="N771" s="2">
        <v>20060.57</v>
      </c>
      <c r="O771" s="2">
        <v>14876.5</v>
      </c>
      <c r="P771" t="s">
        <v>48</v>
      </c>
      <c r="Q771" t="s">
        <v>28</v>
      </c>
    </row>
    <row r="772" spans="1:17" x14ac:dyDescent="0.3">
      <c r="A772" t="s">
        <v>1580</v>
      </c>
      <c r="B772" s="1">
        <v>45738</v>
      </c>
      <c r="C772" t="s">
        <v>70</v>
      </c>
      <c r="D772" t="s">
        <v>75</v>
      </c>
      <c r="E772" t="s">
        <v>22</v>
      </c>
      <c r="F772" t="s">
        <v>31</v>
      </c>
      <c r="G772" t="s">
        <v>45</v>
      </c>
      <c r="H772" t="s">
        <v>123</v>
      </c>
      <c r="I772" t="s">
        <v>1581</v>
      </c>
      <c r="J772">
        <v>6</v>
      </c>
      <c r="K772" s="2">
        <v>741.14</v>
      </c>
      <c r="L772">
        <v>10</v>
      </c>
      <c r="M772" s="2">
        <v>4002.16</v>
      </c>
      <c r="N772" s="2">
        <v>2402.1799999999998</v>
      </c>
      <c r="O772" s="2">
        <v>1599.98</v>
      </c>
      <c r="P772" t="s">
        <v>27</v>
      </c>
      <c r="Q772" t="s">
        <v>28</v>
      </c>
    </row>
    <row r="773" spans="1:17" x14ac:dyDescent="0.3">
      <c r="A773" t="s">
        <v>1582</v>
      </c>
      <c r="B773" s="1">
        <v>45917</v>
      </c>
      <c r="C773" t="s">
        <v>70</v>
      </c>
      <c r="D773" t="s">
        <v>75</v>
      </c>
      <c r="E773" t="s">
        <v>51</v>
      </c>
      <c r="F773" t="s">
        <v>23</v>
      </c>
      <c r="G773" t="s">
        <v>38</v>
      </c>
      <c r="H773" t="s">
        <v>91</v>
      </c>
      <c r="I773" t="s">
        <v>1583</v>
      </c>
      <c r="J773">
        <v>11</v>
      </c>
      <c r="K773" s="2">
        <v>4408.57</v>
      </c>
      <c r="L773">
        <v>15</v>
      </c>
      <c r="M773" s="2">
        <v>41220.129999999997</v>
      </c>
      <c r="N773" s="2">
        <v>31490.560000000001</v>
      </c>
      <c r="O773" s="2">
        <v>9729.57</v>
      </c>
      <c r="P773" t="s">
        <v>41</v>
      </c>
      <c r="Q773" t="s">
        <v>28</v>
      </c>
    </row>
    <row r="774" spans="1:17" x14ac:dyDescent="0.3">
      <c r="A774" t="s">
        <v>1584</v>
      </c>
      <c r="B774" s="1">
        <v>45705</v>
      </c>
      <c r="C774" t="s">
        <v>35</v>
      </c>
      <c r="D774" t="s">
        <v>59</v>
      </c>
      <c r="E774" t="s">
        <v>120</v>
      </c>
      <c r="F774" t="s">
        <v>37</v>
      </c>
      <c r="G774" t="s">
        <v>45</v>
      </c>
      <c r="H774" t="s">
        <v>123</v>
      </c>
      <c r="I774" t="s">
        <v>1585</v>
      </c>
      <c r="J774">
        <v>14</v>
      </c>
      <c r="K774" s="2">
        <v>901.16</v>
      </c>
      <c r="L774">
        <v>20</v>
      </c>
      <c r="M774" s="2">
        <v>10092.99</v>
      </c>
      <c r="N774" s="2">
        <v>7899.18</v>
      </c>
      <c r="O774" s="2">
        <v>2193.81</v>
      </c>
      <c r="P774" t="s">
        <v>41</v>
      </c>
      <c r="Q774" t="s">
        <v>42</v>
      </c>
    </row>
    <row r="775" spans="1:17" x14ac:dyDescent="0.3">
      <c r="A775" t="s">
        <v>1586</v>
      </c>
      <c r="B775" s="1">
        <v>45793</v>
      </c>
      <c r="C775" t="s">
        <v>70</v>
      </c>
      <c r="D775" t="s">
        <v>71</v>
      </c>
      <c r="E775" t="s">
        <v>113</v>
      </c>
      <c r="F775" t="s">
        <v>31</v>
      </c>
      <c r="G775" t="s">
        <v>24</v>
      </c>
      <c r="H775" t="s">
        <v>32</v>
      </c>
      <c r="I775" t="s">
        <v>1587</v>
      </c>
      <c r="J775">
        <v>4</v>
      </c>
      <c r="K775" s="2">
        <v>1494.77</v>
      </c>
      <c r="L775">
        <v>15</v>
      </c>
      <c r="M775" s="2">
        <v>5082.22</v>
      </c>
      <c r="N775" s="2">
        <v>2852.13</v>
      </c>
      <c r="O775" s="2">
        <v>2230.09</v>
      </c>
      <c r="P775" t="s">
        <v>41</v>
      </c>
      <c r="Q775" t="s">
        <v>28</v>
      </c>
    </row>
    <row r="776" spans="1:17" x14ac:dyDescent="0.3">
      <c r="A776" t="s">
        <v>1588</v>
      </c>
      <c r="B776" s="1">
        <v>45987</v>
      </c>
      <c r="C776" t="s">
        <v>35</v>
      </c>
      <c r="D776" t="s">
        <v>59</v>
      </c>
      <c r="E776" t="s">
        <v>22</v>
      </c>
      <c r="F776" t="s">
        <v>31</v>
      </c>
      <c r="G776" t="s">
        <v>24</v>
      </c>
      <c r="H776" t="s">
        <v>134</v>
      </c>
      <c r="I776" t="s">
        <v>1589</v>
      </c>
      <c r="J776">
        <v>4</v>
      </c>
      <c r="K776" s="2">
        <v>737.64</v>
      </c>
      <c r="L776">
        <v>5</v>
      </c>
      <c r="M776" s="2">
        <v>2803.03</v>
      </c>
      <c r="N776" s="2">
        <v>2152.14</v>
      </c>
      <c r="O776" s="2">
        <v>650.89</v>
      </c>
      <c r="P776" t="s">
        <v>27</v>
      </c>
      <c r="Q776" t="s">
        <v>28</v>
      </c>
    </row>
    <row r="777" spans="1:17" x14ac:dyDescent="0.3">
      <c r="A777" t="s">
        <v>1590</v>
      </c>
      <c r="B777" s="1">
        <v>45964</v>
      </c>
      <c r="C777" t="s">
        <v>20</v>
      </c>
      <c r="D777" t="s">
        <v>55</v>
      </c>
      <c r="E777" t="s">
        <v>113</v>
      </c>
      <c r="F777" t="s">
        <v>31</v>
      </c>
      <c r="G777" t="s">
        <v>45</v>
      </c>
      <c r="H777" t="s">
        <v>67</v>
      </c>
      <c r="I777" t="s">
        <v>1591</v>
      </c>
      <c r="J777">
        <v>11</v>
      </c>
      <c r="K777" s="2">
        <v>3506.42</v>
      </c>
      <c r="L777">
        <v>20</v>
      </c>
      <c r="M777" s="2">
        <v>30856.5</v>
      </c>
      <c r="N777" s="2">
        <v>19860.98</v>
      </c>
      <c r="O777" s="2">
        <v>10995.52</v>
      </c>
      <c r="P777" t="s">
        <v>41</v>
      </c>
      <c r="Q777" t="s">
        <v>49</v>
      </c>
    </row>
    <row r="778" spans="1:17" x14ac:dyDescent="0.3">
      <c r="A778" t="s">
        <v>1592</v>
      </c>
      <c r="B778" s="1">
        <v>45948</v>
      </c>
      <c r="C778" t="s">
        <v>86</v>
      </c>
      <c r="D778" t="s">
        <v>90</v>
      </c>
      <c r="E778" t="s">
        <v>22</v>
      </c>
      <c r="F778" t="s">
        <v>31</v>
      </c>
      <c r="G778" t="s">
        <v>24</v>
      </c>
      <c r="H778" t="s">
        <v>25</v>
      </c>
      <c r="I778" t="s">
        <v>1309</v>
      </c>
      <c r="J778">
        <v>13</v>
      </c>
      <c r="K778" s="2">
        <v>3630.65</v>
      </c>
      <c r="L778">
        <v>0</v>
      </c>
      <c r="M778" s="2">
        <v>47198.45</v>
      </c>
      <c r="N778" s="2">
        <v>32172.3</v>
      </c>
      <c r="O778" s="2">
        <v>15026.15</v>
      </c>
      <c r="P778" t="s">
        <v>48</v>
      </c>
      <c r="Q778" t="s">
        <v>28</v>
      </c>
    </row>
    <row r="779" spans="1:17" x14ac:dyDescent="0.3">
      <c r="A779" t="s">
        <v>1593</v>
      </c>
      <c r="B779" s="1">
        <v>45921</v>
      </c>
      <c r="C779" t="s">
        <v>70</v>
      </c>
      <c r="D779" t="s">
        <v>75</v>
      </c>
      <c r="E779" t="s">
        <v>120</v>
      </c>
      <c r="F779" t="s">
        <v>37</v>
      </c>
      <c r="G779" t="s">
        <v>45</v>
      </c>
      <c r="H779" t="s">
        <v>159</v>
      </c>
      <c r="I779" t="s">
        <v>1013</v>
      </c>
      <c r="J779">
        <v>8</v>
      </c>
      <c r="K779" s="2">
        <v>3549.92</v>
      </c>
      <c r="L779">
        <v>15</v>
      </c>
      <c r="M779" s="2">
        <v>24139.46</v>
      </c>
      <c r="N779" s="2">
        <v>14822.46</v>
      </c>
      <c r="O779" s="2">
        <v>9317</v>
      </c>
      <c r="P779" t="s">
        <v>41</v>
      </c>
      <c r="Q779" t="s">
        <v>61</v>
      </c>
    </row>
    <row r="780" spans="1:17" x14ac:dyDescent="0.3">
      <c r="A780" t="s">
        <v>1594</v>
      </c>
      <c r="B780" s="1">
        <v>46037</v>
      </c>
      <c r="C780" t="s">
        <v>20</v>
      </c>
      <c r="D780" t="s">
        <v>55</v>
      </c>
      <c r="E780" t="s">
        <v>51</v>
      </c>
      <c r="F780" t="s">
        <v>23</v>
      </c>
      <c r="G780" t="s">
        <v>24</v>
      </c>
      <c r="H780" t="s">
        <v>171</v>
      </c>
      <c r="I780" t="s">
        <v>1595</v>
      </c>
      <c r="J780">
        <v>13</v>
      </c>
      <c r="K780" s="2">
        <v>2445.54</v>
      </c>
      <c r="L780">
        <v>0</v>
      </c>
      <c r="M780" s="2">
        <v>31792.02</v>
      </c>
      <c r="N780" s="2">
        <v>23568.7</v>
      </c>
      <c r="O780" s="2">
        <v>8223.32</v>
      </c>
      <c r="P780" t="s">
        <v>41</v>
      </c>
      <c r="Q780" t="s">
        <v>28</v>
      </c>
    </row>
    <row r="781" spans="1:17" x14ac:dyDescent="0.3">
      <c r="A781" t="s">
        <v>1596</v>
      </c>
      <c r="B781" s="1">
        <v>45770</v>
      </c>
      <c r="C781" t="s">
        <v>35</v>
      </c>
      <c r="D781" t="s">
        <v>36</v>
      </c>
      <c r="E781" t="s">
        <v>44</v>
      </c>
      <c r="F781" t="s">
        <v>31</v>
      </c>
      <c r="G781" t="s">
        <v>38</v>
      </c>
      <c r="H781" t="s">
        <v>106</v>
      </c>
      <c r="I781" t="s">
        <v>1597</v>
      </c>
      <c r="J781">
        <v>7</v>
      </c>
      <c r="K781" s="2">
        <v>4394.6400000000003</v>
      </c>
      <c r="L781">
        <v>20</v>
      </c>
      <c r="M781" s="2">
        <v>24609.98</v>
      </c>
      <c r="N781" s="2">
        <v>18201.54</v>
      </c>
      <c r="O781" s="2">
        <v>6408.44</v>
      </c>
      <c r="P781" t="s">
        <v>48</v>
      </c>
      <c r="Q781" t="s">
        <v>61</v>
      </c>
    </row>
    <row r="782" spans="1:17" x14ac:dyDescent="0.3">
      <c r="A782" t="s">
        <v>1598</v>
      </c>
      <c r="B782" s="1">
        <v>45831</v>
      </c>
      <c r="C782" t="s">
        <v>86</v>
      </c>
      <c r="D782" t="s">
        <v>90</v>
      </c>
      <c r="E782" t="s">
        <v>30</v>
      </c>
      <c r="F782" t="s">
        <v>23</v>
      </c>
      <c r="G782" t="s">
        <v>38</v>
      </c>
      <c r="H782" t="s">
        <v>39</v>
      </c>
      <c r="I782" t="s">
        <v>1599</v>
      </c>
      <c r="J782">
        <v>8</v>
      </c>
      <c r="K782" s="2">
        <v>2153.1999999999998</v>
      </c>
      <c r="L782">
        <v>15</v>
      </c>
      <c r="M782" s="2">
        <v>14641.76</v>
      </c>
      <c r="N782" s="2">
        <v>10825.08</v>
      </c>
      <c r="O782" s="2">
        <v>3816.68</v>
      </c>
      <c r="P782" t="s">
        <v>27</v>
      </c>
      <c r="Q782" t="s">
        <v>61</v>
      </c>
    </row>
    <row r="783" spans="1:17" x14ac:dyDescent="0.3">
      <c r="A783" t="s">
        <v>1600</v>
      </c>
      <c r="B783" s="1">
        <v>46053</v>
      </c>
      <c r="C783" t="s">
        <v>20</v>
      </c>
      <c r="D783" t="s">
        <v>21</v>
      </c>
      <c r="E783" t="s">
        <v>170</v>
      </c>
      <c r="F783" t="s">
        <v>23</v>
      </c>
      <c r="G783" t="s">
        <v>38</v>
      </c>
      <c r="H783" t="s">
        <v>72</v>
      </c>
      <c r="I783" t="s">
        <v>1601</v>
      </c>
      <c r="J783">
        <v>1</v>
      </c>
      <c r="K783" s="2">
        <v>4247.76</v>
      </c>
      <c r="L783">
        <v>15</v>
      </c>
      <c r="M783" s="2">
        <v>3610.6</v>
      </c>
      <c r="N783" s="2">
        <v>2198.44</v>
      </c>
      <c r="O783" s="2">
        <v>1412.16</v>
      </c>
      <c r="P783" t="s">
        <v>41</v>
      </c>
      <c r="Q783" t="s">
        <v>61</v>
      </c>
    </row>
    <row r="784" spans="1:17" x14ac:dyDescent="0.3">
      <c r="A784" t="s">
        <v>1602</v>
      </c>
      <c r="B784" s="1">
        <v>45909</v>
      </c>
      <c r="C784" t="s">
        <v>70</v>
      </c>
      <c r="D784" t="s">
        <v>71</v>
      </c>
      <c r="E784" t="s">
        <v>66</v>
      </c>
      <c r="F784" t="s">
        <v>23</v>
      </c>
      <c r="G784" t="s">
        <v>38</v>
      </c>
      <c r="H784" t="s">
        <v>39</v>
      </c>
      <c r="I784" t="s">
        <v>1603</v>
      </c>
      <c r="J784">
        <v>11</v>
      </c>
      <c r="K784" s="2">
        <v>4684.79</v>
      </c>
      <c r="L784">
        <v>20</v>
      </c>
      <c r="M784" s="2">
        <v>41226.15</v>
      </c>
      <c r="N784" s="2">
        <v>25283.77</v>
      </c>
      <c r="O784" s="2">
        <v>15942.38</v>
      </c>
      <c r="P784" t="s">
        <v>41</v>
      </c>
      <c r="Q784" t="s">
        <v>61</v>
      </c>
    </row>
    <row r="785" spans="1:17" x14ac:dyDescent="0.3">
      <c r="A785" t="s">
        <v>1604</v>
      </c>
      <c r="B785" s="1">
        <v>45741</v>
      </c>
      <c r="C785" t="s">
        <v>70</v>
      </c>
      <c r="D785" t="s">
        <v>75</v>
      </c>
      <c r="E785" t="s">
        <v>22</v>
      </c>
      <c r="F785" t="s">
        <v>31</v>
      </c>
      <c r="G785" t="s">
        <v>24</v>
      </c>
      <c r="H785" t="s">
        <v>25</v>
      </c>
      <c r="I785" t="s">
        <v>435</v>
      </c>
      <c r="J785">
        <v>14</v>
      </c>
      <c r="K785" s="2">
        <v>568.20000000000005</v>
      </c>
      <c r="L785">
        <v>20</v>
      </c>
      <c r="M785" s="2">
        <v>6363.84</v>
      </c>
      <c r="N785" s="2">
        <v>3895.83</v>
      </c>
      <c r="O785" s="2">
        <v>2468.0100000000002</v>
      </c>
      <c r="P785" t="s">
        <v>41</v>
      </c>
      <c r="Q785" t="s">
        <v>28</v>
      </c>
    </row>
    <row r="786" spans="1:17" x14ac:dyDescent="0.3">
      <c r="A786" t="s">
        <v>1605</v>
      </c>
      <c r="B786" s="1">
        <v>45701</v>
      </c>
      <c r="C786" t="s">
        <v>20</v>
      </c>
      <c r="D786" t="s">
        <v>21</v>
      </c>
      <c r="E786" t="s">
        <v>170</v>
      </c>
      <c r="F786" t="s">
        <v>37</v>
      </c>
      <c r="G786" t="s">
        <v>24</v>
      </c>
      <c r="H786" t="s">
        <v>56</v>
      </c>
      <c r="I786" t="s">
        <v>1606</v>
      </c>
      <c r="J786">
        <v>14</v>
      </c>
      <c r="K786" s="2">
        <v>3221.55</v>
      </c>
      <c r="L786">
        <v>15</v>
      </c>
      <c r="M786" s="2">
        <v>38336.44</v>
      </c>
      <c r="N786" s="2">
        <v>29206.65</v>
      </c>
      <c r="O786" s="2">
        <v>9129.7900000000009</v>
      </c>
      <c r="P786" t="s">
        <v>27</v>
      </c>
      <c r="Q786" t="s">
        <v>28</v>
      </c>
    </row>
    <row r="787" spans="1:17" x14ac:dyDescent="0.3">
      <c r="A787" t="s">
        <v>1607</v>
      </c>
      <c r="B787" s="1">
        <v>45677</v>
      </c>
      <c r="C787" t="s">
        <v>86</v>
      </c>
      <c r="D787" t="s">
        <v>90</v>
      </c>
      <c r="E787" t="s">
        <v>22</v>
      </c>
      <c r="F787" t="s">
        <v>31</v>
      </c>
      <c r="G787" t="s">
        <v>45</v>
      </c>
      <c r="H787" t="s">
        <v>123</v>
      </c>
      <c r="I787" t="s">
        <v>1608</v>
      </c>
      <c r="J787">
        <v>7</v>
      </c>
      <c r="K787" s="2">
        <v>500.86</v>
      </c>
      <c r="L787">
        <v>15</v>
      </c>
      <c r="M787" s="2">
        <v>2980.12</v>
      </c>
      <c r="N787" s="2">
        <v>1643.59</v>
      </c>
      <c r="O787" s="2">
        <v>1336.53</v>
      </c>
      <c r="P787" t="s">
        <v>27</v>
      </c>
      <c r="Q787" t="s">
        <v>42</v>
      </c>
    </row>
    <row r="788" spans="1:17" x14ac:dyDescent="0.3">
      <c r="A788" t="s">
        <v>1609</v>
      </c>
      <c r="B788" s="1">
        <v>46120</v>
      </c>
      <c r="C788" t="s">
        <v>86</v>
      </c>
      <c r="D788" t="s">
        <v>87</v>
      </c>
      <c r="E788" t="s">
        <v>120</v>
      </c>
      <c r="F788" t="s">
        <v>23</v>
      </c>
      <c r="G788" t="s">
        <v>24</v>
      </c>
      <c r="H788" t="s">
        <v>25</v>
      </c>
      <c r="I788" t="s">
        <v>1610</v>
      </c>
      <c r="J788">
        <v>10</v>
      </c>
      <c r="K788" s="2">
        <v>373.03</v>
      </c>
      <c r="L788">
        <v>0</v>
      </c>
      <c r="M788" s="2">
        <v>3730.3</v>
      </c>
      <c r="N788" s="2">
        <v>2757.97</v>
      </c>
      <c r="O788" s="2">
        <v>972.33</v>
      </c>
      <c r="P788" t="s">
        <v>41</v>
      </c>
      <c r="Q788" t="s">
        <v>61</v>
      </c>
    </row>
    <row r="789" spans="1:17" x14ac:dyDescent="0.3">
      <c r="A789" t="s">
        <v>1611</v>
      </c>
      <c r="B789" s="1">
        <v>45889</v>
      </c>
      <c r="C789" t="s">
        <v>70</v>
      </c>
      <c r="D789" t="s">
        <v>75</v>
      </c>
      <c r="E789" t="s">
        <v>120</v>
      </c>
      <c r="F789" t="s">
        <v>23</v>
      </c>
      <c r="G789" t="s">
        <v>45</v>
      </c>
      <c r="H789" t="s">
        <v>52</v>
      </c>
      <c r="I789" t="s">
        <v>1612</v>
      </c>
      <c r="J789">
        <v>14</v>
      </c>
      <c r="K789" s="2">
        <v>3337.95</v>
      </c>
      <c r="L789">
        <v>5</v>
      </c>
      <c r="M789" s="2">
        <v>44394.73</v>
      </c>
      <c r="N789" s="2">
        <v>30130.92</v>
      </c>
      <c r="O789" s="2">
        <v>14263.81</v>
      </c>
      <c r="P789" t="s">
        <v>41</v>
      </c>
      <c r="Q789" t="s">
        <v>49</v>
      </c>
    </row>
    <row r="790" spans="1:17" x14ac:dyDescent="0.3">
      <c r="A790" t="s">
        <v>1613</v>
      </c>
      <c r="B790" s="1">
        <v>46176</v>
      </c>
      <c r="C790" t="s">
        <v>70</v>
      </c>
      <c r="D790" t="s">
        <v>75</v>
      </c>
      <c r="E790" t="s">
        <v>51</v>
      </c>
      <c r="F790" t="s">
        <v>37</v>
      </c>
      <c r="G790" t="s">
        <v>45</v>
      </c>
      <c r="H790" t="s">
        <v>46</v>
      </c>
      <c r="I790" t="s">
        <v>1614</v>
      </c>
      <c r="J790">
        <v>14</v>
      </c>
      <c r="K790" s="2">
        <v>1731.51</v>
      </c>
      <c r="L790">
        <v>0</v>
      </c>
      <c r="M790" s="2">
        <v>24241.14</v>
      </c>
      <c r="N790" s="2">
        <v>16503.919999999998</v>
      </c>
      <c r="O790" s="2">
        <v>7737.22</v>
      </c>
      <c r="P790" t="s">
        <v>48</v>
      </c>
      <c r="Q790" t="s">
        <v>28</v>
      </c>
    </row>
    <row r="791" spans="1:17" x14ac:dyDescent="0.3">
      <c r="A791" t="s">
        <v>1615</v>
      </c>
      <c r="B791" s="1">
        <v>45762</v>
      </c>
      <c r="C791" t="s">
        <v>86</v>
      </c>
      <c r="D791" t="s">
        <v>90</v>
      </c>
      <c r="E791" t="s">
        <v>44</v>
      </c>
      <c r="F791" t="s">
        <v>23</v>
      </c>
      <c r="G791" t="s">
        <v>45</v>
      </c>
      <c r="H791" t="s">
        <v>46</v>
      </c>
      <c r="I791" t="s">
        <v>1616</v>
      </c>
      <c r="J791">
        <v>11</v>
      </c>
      <c r="K791" s="2">
        <v>2695.4</v>
      </c>
      <c r="L791">
        <v>20</v>
      </c>
      <c r="M791" s="2">
        <v>23719.52</v>
      </c>
      <c r="N791" s="2">
        <v>17989.919999999998</v>
      </c>
      <c r="O791" s="2">
        <v>5729.6</v>
      </c>
      <c r="P791" t="s">
        <v>48</v>
      </c>
      <c r="Q791" t="s">
        <v>61</v>
      </c>
    </row>
    <row r="792" spans="1:17" x14ac:dyDescent="0.3">
      <c r="A792" t="s">
        <v>1617</v>
      </c>
      <c r="B792" s="1">
        <v>45896</v>
      </c>
      <c r="C792" t="s">
        <v>70</v>
      </c>
      <c r="D792" t="s">
        <v>75</v>
      </c>
      <c r="E792" t="s">
        <v>66</v>
      </c>
      <c r="F792" t="s">
        <v>31</v>
      </c>
      <c r="G792" t="s">
        <v>38</v>
      </c>
      <c r="H792" t="s">
        <v>72</v>
      </c>
      <c r="I792" t="s">
        <v>1618</v>
      </c>
      <c r="J792">
        <v>15</v>
      </c>
      <c r="K792" s="2">
        <v>2136.25</v>
      </c>
      <c r="L792">
        <v>0</v>
      </c>
      <c r="M792" s="2">
        <v>32043.75</v>
      </c>
      <c r="N792" s="2">
        <v>21827.48</v>
      </c>
      <c r="O792" s="2">
        <v>10216.27</v>
      </c>
      <c r="P792" t="s">
        <v>27</v>
      </c>
      <c r="Q792" t="s">
        <v>42</v>
      </c>
    </row>
    <row r="793" spans="1:17" x14ac:dyDescent="0.3">
      <c r="A793" t="s">
        <v>1619</v>
      </c>
      <c r="B793" s="1">
        <v>46077</v>
      </c>
      <c r="C793" t="s">
        <v>86</v>
      </c>
      <c r="D793" t="s">
        <v>87</v>
      </c>
      <c r="E793" t="s">
        <v>51</v>
      </c>
      <c r="F793" t="s">
        <v>23</v>
      </c>
      <c r="G793" t="s">
        <v>38</v>
      </c>
      <c r="H793" t="s">
        <v>39</v>
      </c>
      <c r="I793" t="s">
        <v>1620</v>
      </c>
      <c r="J793">
        <v>8</v>
      </c>
      <c r="K793" s="2">
        <v>3772.72</v>
      </c>
      <c r="L793">
        <v>20</v>
      </c>
      <c r="M793" s="2">
        <v>24145.41</v>
      </c>
      <c r="N793" s="2">
        <v>13981.56</v>
      </c>
      <c r="O793" s="2">
        <v>10163.85</v>
      </c>
      <c r="P793" t="s">
        <v>27</v>
      </c>
      <c r="Q793" t="s">
        <v>28</v>
      </c>
    </row>
    <row r="794" spans="1:17" x14ac:dyDescent="0.3">
      <c r="A794" t="s">
        <v>1621</v>
      </c>
      <c r="B794" s="1">
        <v>45866</v>
      </c>
      <c r="C794" t="s">
        <v>70</v>
      </c>
      <c r="D794" t="s">
        <v>75</v>
      </c>
      <c r="E794" t="s">
        <v>51</v>
      </c>
      <c r="F794" t="s">
        <v>31</v>
      </c>
      <c r="G794" t="s">
        <v>45</v>
      </c>
      <c r="H794" t="s">
        <v>46</v>
      </c>
      <c r="I794" t="s">
        <v>1622</v>
      </c>
      <c r="J794">
        <v>1</v>
      </c>
      <c r="K794" s="2">
        <v>1295.5</v>
      </c>
      <c r="L794">
        <v>15</v>
      </c>
      <c r="M794" s="2">
        <v>1101.17</v>
      </c>
      <c r="N794" s="2">
        <v>841.47</v>
      </c>
      <c r="O794" s="2">
        <v>259.7</v>
      </c>
      <c r="P794" t="s">
        <v>27</v>
      </c>
      <c r="Q794" t="s">
        <v>42</v>
      </c>
    </row>
    <row r="795" spans="1:17" x14ac:dyDescent="0.3">
      <c r="A795" t="s">
        <v>1623</v>
      </c>
      <c r="B795" s="1">
        <v>46124</v>
      </c>
      <c r="C795" t="s">
        <v>20</v>
      </c>
      <c r="D795" t="s">
        <v>55</v>
      </c>
      <c r="E795" t="s">
        <v>22</v>
      </c>
      <c r="F795" t="s">
        <v>37</v>
      </c>
      <c r="G795" t="s">
        <v>45</v>
      </c>
      <c r="H795" t="s">
        <v>52</v>
      </c>
      <c r="I795" t="s">
        <v>1624</v>
      </c>
      <c r="J795">
        <v>1</v>
      </c>
      <c r="K795" s="2">
        <v>3866.81</v>
      </c>
      <c r="L795">
        <v>20</v>
      </c>
      <c r="M795" s="2">
        <v>3093.45</v>
      </c>
      <c r="N795" s="2">
        <v>2303.02</v>
      </c>
      <c r="O795" s="2">
        <v>790.43</v>
      </c>
      <c r="P795" t="s">
        <v>27</v>
      </c>
      <c r="Q795" t="s">
        <v>61</v>
      </c>
    </row>
    <row r="796" spans="1:17" x14ac:dyDescent="0.3">
      <c r="A796" t="s">
        <v>1625</v>
      </c>
      <c r="B796" s="1">
        <v>46051</v>
      </c>
      <c r="C796" t="s">
        <v>35</v>
      </c>
      <c r="D796" t="s">
        <v>36</v>
      </c>
      <c r="E796" t="s">
        <v>22</v>
      </c>
      <c r="F796" t="s">
        <v>23</v>
      </c>
      <c r="G796" t="s">
        <v>38</v>
      </c>
      <c r="H796" t="s">
        <v>39</v>
      </c>
      <c r="I796" t="s">
        <v>1626</v>
      </c>
      <c r="J796">
        <v>2</v>
      </c>
      <c r="K796" s="2">
        <v>836.31</v>
      </c>
      <c r="L796">
        <v>15</v>
      </c>
      <c r="M796" s="2">
        <v>1421.73</v>
      </c>
      <c r="N796" s="2">
        <v>1012.36</v>
      </c>
      <c r="O796" s="2">
        <v>409.37</v>
      </c>
      <c r="P796" t="s">
        <v>48</v>
      </c>
      <c r="Q796" t="s">
        <v>42</v>
      </c>
    </row>
    <row r="797" spans="1:17" x14ac:dyDescent="0.3">
      <c r="A797" t="s">
        <v>1627</v>
      </c>
      <c r="B797" s="1">
        <v>45918</v>
      </c>
      <c r="C797" t="s">
        <v>70</v>
      </c>
      <c r="D797" t="s">
        <v>71</v>
      </c>
      <c r="E797" t="s">
        <v>51</v>
      </c>
      <c r="F797" t="s">
        <v>31</v>
      </c>
      <c r="G797" t="s">
        <v>45</v>
      </c>
      <c r="H797" t="s">
        <v>46</v>
      </c>
      <c r="I797" t="s">
        <v>1628</v>
      </c>
      <c r="J797">
        <v>13</v>
      </c>
      <c r="K797" s="2">
        <v>3416.49</v>
      </c>
      <c r="L797">
        <v>20</v>
      </c>
      <c r="M797" s="2">
        <v>35531.5</v>
      </c>
      <c r="N797" s="2">
        <v>21876.720000000001</v>
      </c>
      <c r="O797" s="2">
        <v>13654.78</v>
      </c>
      <c r="P797" t="s">
        <v>41</v>
      </c>
      <c r="Q797" t="s">
        <v>49</v>
      </c>
    </row>
    <row r="798" spans="1:17" x14ac:dyDescent="0.3">
      <c r="A798" t="s">
        <v>1629</v>
      </c>
      <c r="B798" s="1">
        <v>45803</v>
      </c>
      <c r="C798" t="s">
        <v>35</v>
      </c>
      <c r="D798" t="s">
        <v>59</v>
      </c>
      <c r="E798" t="s">
        <v>51</v>
      </c>
      <c r="F798" t="s">
        <v>23</v>
      </c>
      <c r="G798" t="s">
        <v>38</v>
      </c>
      <c r="H798" t="s">
        <v>72</v>
      </c>
      <c r="I798" t="s">
        <v>1630</v>
      </c>
      <c r="J798">
        <v>8</v>
      </c>
      <c r="K798" s="2">
        <v>409.36</v>
      </c>
      <c r="L798">
        <v>5</v>
      </c>
      <c r="M798" s="2">
        <v>3111.14</v>
      </c>
      <c r="N798" s="2">
        <v>1770</v>
      </c>
      <c r="O798" s="2">
        <v>1341.14</v>
      </c>
      <c r="P798" t="s">
        <v>48</v>
      </c>
      <c r="Q798" t="s">
        <v>49</v>
      </c>
    </row>
    <row r="799" spans="1:17" x14ac:dyDescent="0.3">
      <c r="A799" t="s">
        <v>1631</v>
      </c>
      <c r="B799" s="1">
        <v>45861</v>
      </c>
      <c r="C799" t="s">
        <v>86</v>
      </c>
      <c r="D799" t="s">
        <v>87</v>
      </c>
      <c r="E799" t="s">
        <v>66</v>
      </c>
      <c r="F799" t="s">
        <v>23</v>
      </c>
      <c r="G799" t="s">
        <v>24</v>
      </c>
      <c r="H799" t="s">
        <v>32</v>
      </c>
      <c r="I799" t="s">
        <v>590</v>
      </c>
      <c r="J799">
        <v>15</v>
      </c>
      <c r="K799" s="2">
        <v>4697.78</v>
      </c>
      <c r="L799">
        <v>15</v>
      </c>
      <c r="M799" s="2">
        <v>59896.69</v>
      </c>
      <c r="N799" s="2">
        <v>44642.42</v>
      </c>
      <c r="O799" s="2">
        <v>15254.27</v>
      </c>
      <c r="P799" t="s">
        <v>27</v>
      </c>
      <c r="Q799" t="s">
        <v>42</v>
      </c>
    </row>
    <row r="800" spans="1:17" x14ac:dyDescent="0.3">
      <c r="A800" t="s">
        <v>1632</v>
      </c>
      <c r="B800" s="1">
        <v>46111</v>
      </c>
      <c r="C800" t="s">
        <v>86</v>
      </c>
      <c r="D800" t="s">
        <v>87</v>
      </c>
      <c r="E800" t="s">
        <v>44</v>
      </c>
      <c r="F800" t="s">
        <v>23</v>
      </c>
      <c r="G800" t="s">
        <v>45</v>
      </c>
      <c r="H800" t="s">
        <v>67</v>
      </c>
      <c r="I800" t="s">
        <v>1143</v>
      </c>
      <c r="J800">
        <v>12</v>
      </c>
      <c r="K800" s="2">
        <v>2012.85</v>
      </c>
      <c r="L800">
        <v>0</v>
      </c>
      <c r="M800" s="2">
        <v>24154.2</v>
      </c>
      <c r="N800" s="2">
        <v>14123.27</v>
      </c>
      <c r="O800" s="2">
        <v>10030.93</v>
      </c>
      <c r="P800" t="s">
        <v>27</v>
      </c>
      <c r="Q800" t="s">
        <v>42</v>
      </c>
    </row>
    <row r="801" spans="1:17" x14ac:dyDescent="0.3">
      <c r="A801" t="s">
        <v>1633</v>
      </c>
      <c r="B801" s="1">
        <v>46106</v>
      </c>
      <c r="C801" t="s">
        <v>86</v>
      </c>
      <c r="D801" t="s">
        <v>87</v>
      </c>
      <c r="E801" t="s">
        <v>113</v>
      </c>
      <c r="F801" t="s">
        <v>37</v>
      </c>
      <c r="G801" t="s">
        <v>45</v>
      </c>
      <c r="H801" t="s">
        <v>123</v>
      </c>
      <c r="I801" t="s">
        <v>1634</v>
      </c>
      <c r="J801">
        <v>14</v>
      </c>
      <c r="K801" s="2">
        <v>2987.69</v>
      </c>
      <c r="L801">
        <v>10</v>
      </c>
      <c r="M801" s="2">
        <v>37644.89</v>
      </c>
      <c r="N801" s="2">
        <v>22197.65</v>
      </c>
      <c r="O801" s="2">
        <v>15447.24</v>
      </c>
      <c r="P801" t="s">
        <v>41</v>
      </c>
      <c r="Q801" t="s">
        <v>49</v>
      </c>
    </row>
    <row r="802" spans="1:17" x14ac:dyDescent="0.3">
      <c r="A802" t="s">
        <v>1635</v>
      </c>
      <c r="B802" s="1">
        <v>46044</v>
      </c>
      <c r="C802" t="s">
        <v>20</v>
      </c>
      <c r="D802" t="s">
        <v>55</v>
      </c>
      <c r="E802" t="s">
        <v>120</v>
      </c>
      <c r="F802" t="s">
        <v>31</v>
      </c>
      <c r="G802" t="s">
        <v>45</v>
      </c>
      <c r="H802" t="s">
        <v>46</v>
      </c>
      <c r="I802" t="s">
        <v>1636</v>
      </c>
      <c r="J802">
        <v>5</v>
      </c>
      <c r="K802" s="2">
        <v>3846</v>
      </c>
      <c r="L802">
        <v>0</v>
      </c>
      <c r="M802" s="2">
        <v>19230</v>
      </c>
      <c r="N802" s="2">
        <v>13923.52</v>
      </c>
      <c r="O802" s="2">
        <v>5306.48</v>
      </c>
      <c r="P802" t="s">
        <v>41</v>
      </c>
      <c r="Q802" t="s">
        <v>42</v>
      </c>
    </row>
    <row r="803" spans="1:17" x14ac:dyDescent="0.3">
      <c r="A803" t="s">
        <v>1637</v>
      </c>
      <c r="B803" s="1">
        <v>45972</v>
      </c>
      <c r="C803" t="s">
        <v>86</v>
      </c>
      <c r="D803" t="s">
        <v>90</v>
      </c>
      <c r="E803" t="s">
        <v>30</v>
      </c>
      <c r="F803" t="s">
        <v>31</v>
      </c>
      <c r="G803" t="s">
        <v>38</v>
      </c>
      <c r="H803" t="s">
        <v>91</v>
      </c>
      <c r="I803" t="s">
        <v>1638</v>
      </c>
      <c r="J803">
        <v>6</v>
      </c>
      <c r="K803" s="2">
        <v>892.97</v>
      </c>
      <c r="L803">
        <v>5</v>
      </c>
      <c r="M803" s="2">
        <v>5089.93</v>
      </c>
      <c r="N803" s="2">
        <v>3003.53</v>
      </c>
      <c r="O803" s="2">
        <v>2086.4</v>
      </c>
      <c r="P803" t="s">
        <v>41</v>
      </c>
      <c r="Q803" t="s">
        <v>42</v>
      </c>
    </row>
    <row r="804" spans="1:17" x14ac:dyDescent="0.3">
      <c r="A804" t="s">
        <v>1639</v>
      </c>
      <c r="B804" s="1">
        <v>45737</v>
      </c>
      <c r="C804" t="s">
        <v>20</v>
      </c>
      <c r="D804" t="s">
        <v>55</v>
      </c>
      <c r="E804" t="s">
        <v>66</v>
      </c>
      <c r="F804" t="s">
        <v>23</v>
      </c>
      <c r="G804" t="s">
        <v>24</v>
      </c>
      <c r="H804" t="s">
        <v>56</v>
      </c>
      <c r="I804" t="s">
        <v>1640</v>
      </c>
      <c r="J804">
        <v>1</v>
      </c>
      <c r="K804" s="2">
        <v>807.35</v>
      </c>
      <c r="L804">
        <v>20</v>
      </c>
      <c r="M804" s="2">
        <v>645.88</v>
      </c>
      <c r="N804" s="2">
        <v>479.71</v>
      </c>
      <c r="O804" s="2">
        <v>166.17</v>
      </c>
      <c r="P804" t="s">
        <v>48</v>
      </c>
      <c r="Q804" t="s">
        <v>42</v>
      </c>
    </row>
    <row r="805" spans="1:17" x14ac:dyDescent="0.3">
      <c r="A805" t="s">
        <v>1641</v>
      </c>
      <c r="B805" s="1">
        <v>45899</v>
      </c>
      <c r="C805" t="s">
        <v>20</v>
      </c>
      <c r="D805" t="s">
        <v>55</v>
      </c>
      <c r="E805" t="s">
        <v>120</v>
      </c>
      <c r="F805" t="s">
        <v>37</v>
      </c>
      <c r="G805" t="s">
        <v>38</v>
      </c>
      <c r="H805" t="s">
        <v>106</v>
      </c>
      <c r="I805" t="s">
        <v>1642</v>
      </c>
      <c r="J805">
        <v>12</v>
      </c>
      <c r="K805" s="2">
        <v>3622.38</v>
      </c>
      <c r="L805">
        <v>0</v>
      </c>
      <c r="M805" s="2">
        <v>43468.56</v>
      </c>
      <c r="N805" s="2">
        <v>31631.439999999999</v>
      </c>
      <c r="O805" s="2">
        <v>11837.12</v>
      </c>
      <c r="P805" t="s">
        <v>41</v>
      </c>
      <c r="Q805" t="s">
        <v>49</v>
      </c>
    </row>
    <row r="806" spans="1:17" x14ac:dyDescent="0.3">
      <c r="A806" t="s">
        <v>1643</v>
      </c>
      <c r="B806" s="1">
        <v>45692</v>
      </c>
      <c r="C806" t="s">
        <v>20</v>
      </c>
      <c r="D806" t="s">
        <v>21</v>
      </c>
      <c r="E806" t="s">
        <v>113</v>
      </c>
      <c r="F806" t="s">
        <v>23</v>
      </c>
      <c r="G806" t="s">
        <v>24</v>
      </c>
      <c r="H806" t="s">
        <v>171</v>
      </c>
      <c r="I806" t="s">
        <v>1644</v>
      </c>
      <c r="J806">
        <v>10</v>
      </c>
      <c r="K806" s="2">
        <v>663.96</v>
      </c>
      <c r="L806">
        <v>20</v>
      </c>
      <c r="M806" s="2">
        <v>5311.68</v>
      </c>
      <c r="N806" s="2">
        <v>3964.58</v>
      </c>
      <c r="O806" s="2">
        <v>1347.1</v>
      </c>
      <c r="P806" t="s">
        <v>27</v>
      </c>
      <c r="Q806" t="s">
        <v>42</v>
      </c>
    </row>
    <row r="807" spans="1:17" x14ac:dyDescent="0.3">
      <c r="A807" t="s">
        <v>1645</v>
      </c>
      <c r="B807" s="1">
        <v>46044</v>
      </c>
      <c r="C807" t="s">
        <v>35</v>
      </c>
      <c r="D807" t="s">
        <v>59</v>
      </c>
      <c r="E807" t="s">
        <v>22</v>
      </c>
      <c r="F807" t="s">
        <v>23</v>
      </c>
      <c r="G807" t="s">
        <v>45</v>
      </c>
      <c r="H807" t="s">
        <v>123</v>
      </c>
      <c r="I807" t="s">
        <v>1646</v>
      </c>
      <c r="J807">
        <v>13</v>
      </c>
      <c r="K807" s="2">
        <v>2611.69</v>
      </c>
      <c r="L807">
        <v>5</v>
      </c>
      <c r="M807" s="2">
        <v>32254.37</v>
      </c>
      <c r="N807" s="2">
        <v>19427.11</v>
      </c>
      <c r="O807" s="2">
        <v>12827.26</v>
      </c>
      <c r="P807" t="s">
        <v>48</v>
      </c>
      <c r="Q807" t="s">
        <v>61</v>
      </c>
    </row>
    <row r="808" spans="1:17" x14ac:dyDescent="0.3">
      <c r="A808" t="s">
        <v>1647</v>
      </c>
      <c r="B808" s="1">
        <v>46168</v>
      </c>
      <c r="C808" t="s">
        <v>70</v>
      </c>
      <c r="D808" t="s">
        <v>71</v>
      </c>
      <c r="E808" t="s">
        <v>120</v>
      </c>
      <c r="F808" t="s">
        <v>37</v>
      </c>
      <c r="G808" t="s">
        <v>45</v>
      </c>
      <c r="H808" t="s">
        <v>159</v>
      </c>
      <c r="I808" t="s">
        <v>1648</v>
      </c>
      <c r="J808">
        <v>8</v>
      </c>
      <c r="K808" s="2">
        <v>1520.03</v>
      </c>
      <c r="L808">
        <v>5</v>
      </c>
      <c r="M808" s="2">
        <v>11552.23</v>
      </c>
      <c r="N808" s="2">
        <v>9021.6299999999992</v>
      </c>
      <c r="O808" s="2">
        <v>2530.6</v>
      </c>
      <c r="P808" t="s">
        <v>27</v>
      </c>
      <c r="Q808" t="s">
        <v>28</v>
      </c>
    </row>
    <row r="809" spans="1:17" x14ac:dyDescent="0.3">
      <c r="A809" t="s">
        <v>1649</v>
      </c>
      <c r="B809" s="1">
        <v>46153</v>
      </c>
      <c r="C809" t="s">
        <v>86</v>
      </c>
      <c r="D809" t="s">
        <v>87</v>
      </c>
      <c r="E809" t="s">
        <v>120</v>
      </c>
      <c r="F809" t="s">
        <v>23</v>
      </c>
      <c r="G809" t="s">
        <v>45</v>
      </c>
      <c r="H809" t="s">
        <v>67</v>
      </c>
      <c r="I809" t="s">
        <v>1650</v>
      </c>
      <c r="J809">
        <v>13</v>
      </c>
      <c r="K809" s="2">
        <v>748.75</v>
      </c>
      <c r="L809">
        <v>5</v>
      </c>
      <c r="M809" s="2">
        <v>9247.06</v>
      </c>
      <c r="N809" s="2">
        <v>5401.26</v>
      </c>
      <c r="O809" s="2">
        <v>3845.8</v>
      </c>
      <c r="P809" t="s">
        <v>27</v>
      </c>
      <c r="Q809" t="s">
        <v>42</v>
      </c>
    </row>
    <row r="810" spans="1:17" x14ac:dyDescent="0.3">
      <c r="A810" t="s">
        <v>1651</v>
      </c>
      <c r="B810" s="1">
        <v>46169</v>
      </c>
      <c r="C810" t="s">
        <v>35</v>
      </c>
      <c r="D810" t="s">
        <v>59</v>
      </c>
      <c r="E810" t="s">
        <v>30</v>
      </c>
      <c r="F810" t="s">
        <v>37</v>
      </c>
      <c r="G810" t="s">
        <v>24</v>
      </c>
      <c r="H810" t="s">
        <v>32</v>
      </c>
      <c r="I810" t="s">
        <v>1652</v>
      </c>
      <c r="J810">
        <v>13</v>
      </c>
      <c r="K810" s="2">
        <v>3597.37</v>
      </c>
      <c r="L810">
        <v>15</v>
      </c>
      <c r="M810" s="2">
        <v>39750.94</v>
      </c>
      <c r="N810" s="2">
        <v>24192.93</v>
      </c>
      <c r="O810" s="2">
        <v>15558.01</v>
      </c>
      <c r="P810" t="s">
        <v>41</v>
      </c>
      <c r="Q810" t="s">
        <v>49</v>
      </c>
    </row>
    <row r="811" spans="1:17" x14ac:dyDescent="0.3">
      <c r="A811" t="s">
        <v>1653</v>
      </c>
      <c r="B811" s="1">
        <v>46050</v>
      </c>
      <c r="C811" t="s">
        <v>86</v>
      </c>
      <c r="D811" t="s">
        <v>90</v>
      </c>
      <c r="E811" t="s">
        <v>170</v>
      </c>
      <c r="F811" t="s">
        <v>31</v>
      </c>
      <c r="G811" t="s">
        <v>45</v>
      </c>
      <c r="H811" t="s">
        <v>159</v>
      </c>
      <c r="I811" t="s">
        <v>660</v>
      </c>
      <c r="J811">
        <v>10</v>
      </c>
      <c r="K811" s="2">
        <v>3368.65</v>
      </c>
      <c r="L811">
        <v>10</v>
      </c>
      <c r="M811" s="2">
        <v>30317.85</v>
      </c>
      <c r="N811" s="2">
        <v>17145.45</v>
      </c>
      <c r="O811" s="2">
        <v>13172.4</v>
      </c>
      <c r="P811" t="s">
        <v>48</v>
      </c>
      <c r="Q811" t="s">
        <v>61</v>
      </c>
    </row>
    <row r="812" spans="1:17" x14ac:dyDescent="0.3">
      <c r="A812" t="s">
        <v>1654</v>
      </c>
      <c r="B812" s="1">
        <v>45900</v>
      </c>
      <c r="C812" t="s">
        <v>86</v>
      </c>
      <c r="D812" t="s">
        <v>90</v>
      </c>
      <c r="E812" t="s">
        <v>22</v>
      </c>
      <c r="F812" t="s">
        <v>37</v>
      </c>
      <c r="G812" t="s">
        <v>24</v>
      </c>
      <c r="H812" t="s">
        <v>56</v>
      </c>
      <c r="I812" t="s">
        <v>1655</v>
      </c>
      <c r="J812">
        <v>5</v>
      </c>
      <c r="K812" s="2">
        <v>4354.6000000000004</v>
      </c>
      <c r="L812">
        <v>0</v>
      </c>
      <c r="M812" s="2">
        <v>21773</v>
      </c>
      <c r="N812" s="2">
        <v>12258.79</v>
      </c>
      <c r="O812" s="2">
        <v>9514.2099999999991</v>
      </c>
      <c r="P812" t="s">
        <v>41</v>
      </c>
      <c r="Q812" t="s">
        <v>61</v>
      </c>
    </row>
    <row r="813" spans="1:17" x14ac:dyDescent="0.3">
      <c r="A813" t="s">
        <v>1656</v>
      </c>
      <c r="B813" s="1">
        <v>45991</v>
      </c>
      <c r="C813" t="s">
        <v>20</v>
      </c>
      <c r="D813" t="s">
        <v>55</v>
      </c>
      <c r="E813" t="s">
        <v>51</v>
      </c>
      <c r="F813" t="s">
        <v>31</v>
      </c>
      <c r="G813" t="s">
        <v>45</v>
      </c>
      <c r="H813" t="s">
        <v>46</v>
      </c>
      <c r="I813" t="s">
        <v>1657</v>
      </c>
      <c r="J813">
        <v>11</v>
      </c>
      <c r="K813" s="2">
        <v>4074.37</v>
      </c>
      <c r="L813">
        <v>20</v>
      </c>
      <c r="M813" s="2">
        <v>35854.46</v>
      </c>
      <c r="N813" s="2">
        <v>26080.41</v>
      </c>
      <c r="O813" s="2">
        <v>9774.0499999999993</v>
      </c>
      <c r="P813" t="s">
        <v>48</v>
      </c>
      <c r="Q813" t="s">
        <v>42</v>
      </c>
    </row>
    <row r="814" spans="1:17" x14ac:dyDescent="0.3">
      <c r="A814" t="s">
        <v>1658</v>
      </c>
      <c r="B814" s="1">
        <v>46173</v>
      </c>
      <c r="C814" t="s">
        <v>70</v>
      </c>
      <c r="D814" t="s">
        <v>71</v>
      </c>
      <c r="E814" t="s">
        <v>51</v>
      </c>
      <c r="F814" t="s">
        <v>37</v>
      </c>
      <c r="G814" t="s">
        <v>24</v>
      </c>
      <c r="H814" t="s">
        <v>134</v>
      </c>
      <c r="I814" t="s">
        <v>1659</v>
      </c>
      <c r="J814">
        <v>3</v>
      </c>
      <c r="K814" s="2">
        <v>3564.19</v>
      </c>
      <c r="L814">
        <v>15</v>
      </c>
      <c r="M814" s="2">
        <v>9088.68</v>
      </c>
      <c r="N814" s="2">
        <v>5902.6</v>
      </c>
      <c r="O814" s="2">
        <v>3186.08</v>
      </c>
      <c r="P814" t="s">
        <v>27</v>
      </c>
      <c r="Q814" t="s">
        <v>61</v>
      </c>
    </row>
    <row r="815" spans="1:17" x14ac:dyDescent="0.3">
      <c r="A815" t="s">
        <v>1660</v>
      </c>
      <c r="B815" s="1">
        <v>45690</v>
      </c>
      <c r="C815" t="s">
        <v>70</v>
      </c>
      <c r="D815" t="s">
        <v>75</v>
      </c>
      <c r="E815" t="s">
        <v>51</v>
      </c>
      <c r="F815" t="s">
        <v>23</v>
      </c>
      <c r="G815" t="s">
        <v>24</v>
      </c>
      <c r="H815" t="s">
        <v>56</v>
      </c>
      <c r="I815" t="s">
        <v>1661</v>
      </c>
      <c r="J815">
        <v>6</v>
      </c>
      <c r="K815" s="2">
        <v>1827.53</v>
      </c>
      <c r="L815">
        <v>15</v>
      </c>
      <c r="M815" s="2">
        <v>9320.4</v>
      </c>
      <c r="N815" s="2">
        <v>7186.74</v>
      </c>
      <c r="O815" s="2">
        <v>2133.66</v>
      </c>
      <c r="P815" t="s">
        <v>41</v>
      </c>
      <c r="Q815" t="s">
        <v>49</v>
      </c>
    </row>
    <row r="816" spans="1:17" x14ac:dyDescent="0.3">
      <c r="A816" t="s">
        <v>1662</v>
      </c>
      <c r="B816" s="1">
        <v>46065</v>
      </c>
      <c r="C816" t="s">
        <v>35</v>
      </c>
      <c r="D816" t="s">
        <v>36</v>
      </c>
      <c r="E816" t="s">
        <v>30</v>
      </c>
      <c r="F816" t="s">
        <v>31</v>
      </c>
      <c r="G816" t="s">
        <v>38</v>
      </c>
      <c r="H816" t="s">
        <v>106</v>
      </c>
      <c r="I816" t="s">
        <v>1663</v>
      </c>
      <c r="J816">
        <v>4</v>
      </c>
      <c r="K816" s="2">
        <v>3650.88</v>
      </c>
      <c r="L816">
        <v>0</v>
      </c>
      <c r="M816" s="2">
        <v>14603.52</v>
      </c>
      <c r="N816" s="2">
        <v>8742.94</v>
      </c>
      <c r="O816" s="2">
        <v>5860.58</v>
      </c>
      <c r="P816" t="s">
        <v>41</v>
      </c>
      <c r="Q816" t="s">
        <v>28</v>
      </c>
    </row>
    <row r="817" spans="1:17" x14ac:dyDescent="0.3">
      <c r="A817" t="s">
        <v>1664</v>
      </c>
      <c r="B817" s="1">
        <v>46046</v>
      </c>
      <c r="C817" t="s">
        <v>35</v>
      </c>
      <c r="D817" t="s">
        <v>36</v>
      </c>
      <c r="E817" t="s">
        <v>113</v>
      </c>
      <c r="F817" t="s">
        <v>31</v>
      </c>
      <c r="G817" t="s">
        <v>38</v>
      </c>
      <c r="H817" t="s">
        <v>72</v>
      </c>
      <c r="I817" t="s">
        <v>1665</v>
      </c>
      <c r="J817">
        <v>5</v>
      </c>
      <c r="K817" s="2">
        <v>3170.28</v>
      </c>
      <c r="L817">
        <v>20</v>
      </c>
      <c r="M817" s="2">
        <v>12681.12</v>
      </c>
      <c r="N817" s="2">
        <v>6987.8</v>
      </c>
      <c r="O817" s="2">
        <v>5693.32</v>
      </c>
      <c r="P817" t="s">
        <v>41</v>
      </c>
      <c r="Q817" t="s">
        <v>28</v>
      </c>
    </row>
    <row r="818" spans="1:17" x14ac:dyDescent="0.3">
      <c r="A818" t="s">
        <v>1666</v>
      </c>
      <c r="B818" s="1">
        <v>45705</v>
      </c>
      <c r="C818" t="s">
        <v>70</v>
      </c>
      <c r="D818" t="s">
        <v>75</v>
      </c>
      <c r="E818" t="s">
        <v>22</v>
      </c>
      <c r="F818" t="s">
        <v>37</v>
      </c>
      <c r="G818" t="s">
        <v>38</v>
      </c>
      <c r="H818" t="s">
        <v>63</v>
      </c>
      <c r="I818" t="s">
        <v>1667</v>
      </c>
      <c r="J818">
        <v>4</v>
      </c>
      <c r="K818" s="2">
        <v>4487.2700000000004</v>
      </c>
      <c r="L818">
        <v>20</v>
      </c>
      <c r="M818" s="2">
        <v>14359.26</v>
      </c>
      <c r="N818" s="2">
        <v>10442.629999999999</v>
      </c>
      <c r="O818" s="2">
        <v>3916.63</v>
      </c>
      <c r="P818" t="s">
        <v>41</v>
      </c>
      <c r="Q818" t="s">
        <v>49</v>
      </c>
    </row>
    <row r="819" spans="1:17" x14ac:dyDescent="0.3">
      <c r="A819" t="s">
        <v>1668</v>
      </c>
      <c r="B819" s="1">
        <v>45896</v>
      </c>
      <c r="C819" t="s">
        <v>86</v>
      </c>
      <c r="D819" t="s">
        <v>90</v>
      </c>
      <c r="E819" t="s">
        <v>44</v>
      </c>
      <c r="F819" t="s">
        <v>23</v>
      </c>
      <c r="G819" t="s">
        <v>45</v>
      </c>
      <c r="H819" t="s">
        <v>159</v>
      </c>
      <c r="I819" t="s">
        <v>1669</v>
      </c>
      <c r="J819">
        <v>1</v>
      </c>
      <c r="K819" s="2">
        <v>1744</v>
      </c>
      <c r="L819">
        <v>15</v>
      </c>
      <c r="M819" s="2">
        <v>1482.4</v>
      </c>
      <c r="N819" s="2">
        <v>996.6</v>
      </c>
      <c r="O819" s="2">
        <v>485.8</v>
      </c>
      <c r="P819" t="s">
        <v>48</v>
      </c>
      <c r="Q819" t="s">
        <v>61</v>
      </c>
    </row>
    <row r="820" spans="1:17" x14ac:dyDescent="0.3">
      <c r="A820" t="s">
        <v>1670</v>
      </c>
      <c r="B820" s="1">
        <v>45928</v>
      </c>
      <c r="C820" t="s">
        <v>20</v>
      </c>
      <c r="D820" t="s">
        <v>21</v>
      </c>
      <c r="E820" t="s">
        <v>113</v>
      </c>
      <c r="F820" t="s">
        <v>23</v>
      </c>
      <c r="G820" t="s">
        <v>45</v>
      </c>
      <c r="H820" t="s">
        <v>159</v>
      </c>
      <c r="I820" t="s">
        <v>1671</v>
      </c>
      <c r="J820">
        <v>14</v>
      </c>
      <c r="K820" s="2">
        <v>1696.46</v>
      </c>
      <c r="L820">
        <v>15</v>
      </c>
      <c r="M820" s="2">
        <v>20187.87</v>
      </c>
      <c r="N820" s="2">
        <v>12858.47</v>
      </c>
      <c r="O820" s="2">
        <v>7329.4</v>
      </c>
      <c r="P820" t="s">
        <v>41</v>
      </c>
      <c r="Q820" t="s">
        <v>42</v>
      </c>
    </row>
    <row r="821" spans="1:17" x14ac:dyDescent="0.3">
      <c r="A821" t="s">
        <v>1672</v>
      </c>
      <c r="B821" s="1">
        <v>45901</v>
      </c>
      <c r="C821" t="s">
        <v>35</v>
      </c>
      <c r="D821" t="s">
        <v>59</v>
      </c>
      <c r="E821" t="s">
        <v>22</v>
      </c>
      <c r="F821" t="s">
        <v>31</v>
      </c>
      <c r="G821" t="s">
        <v>38</v>
      </c>
      <c r="H821" t="s">
        <v>72</v>
      </c>
      <c r="I821" t="s">
        <v>1673</v>
      </c>
      <c r="J821">
        <v>3</v>
      </c>
      <c r="K821" s="2">
        <v>3823.26</v>
      </c>
      <c r="L821">
        <v>10</v>
      </c>
      <c r="M821" s="2">
        <v>10322.799999999999</v>
      </c>
      <c r="N821" s="2">
        <v>6931.68</v>
      </c>
      <c r="O821" s="2">
        <v>3391.12</v>
      </c>
      <c r="P821" t="s">
        <v>41</v>
      </c>
      <c r="Q821" t="s">
        <v>28</v>
      </c>
    </row>
    <row r="822" spans="1:17" x14ac:dyDescent="0.3">
      <c r="A822" t="s">
        <v>1674</v>
      </c>
      <c r="B822" s="1">
        <v>46045</v>
      </c>
      <c r="C822" t="s">
        <v>86</v>
      </c>
      <c r="D822" t="s">
        <v>87</v>
      </c>
      <c r="E822" t="s">
        <v>44</v>
      </c>
      <c r="F822" t="s">
        <v>37</v>
      </c>
      <c r="G822" t="s">
        <v>45</v>
      </c>
      <c r="H822" t="s">
        <v>123</v>
      </c>
      <c r="I822" t="s">
        <v>1675</v>
      </c>
      <c r="J822">
        <v>10</v>
      </c>
      <c r="K822" s="2">
        <v>4555.0600000000004</v>
      </c>
      <c r="L822">
        <v>20</v>
      </c>
      <c r="M822" s="2">
        <v>36440.480000000003</v>
      </c>
      <c r="N822" s="2">
        <v>23277.98</v>
      </c>
      <c r="O822" s="2">
        <v>13162.5</v>
      </c>
      <c r="P822" t="s">
        <v>48</v>
      </c>
      <c r="Q822" t="s">
        <v>28</v>
      </c>
    </row>
    <row r="823" spans="1:17" x14ac:dyDescent="0.3">
      <c r="A823" t="s">
        <v>1676</v>
      </c>
      <c r="B823" s="1">
        <v>45872</v>
      </c>
      <c r="C823" t="s">
        <v>86</v>
      </c>
      <c r="D823" t="s">
        <v>90</v>
      </c>
      <c r="E823" t="s">
        <v>22</v>
      </c>
      <c r="F823" t="s">
        <v>37</v>
      </c>
      <c r="G823" t="s">
        <v>24</v>
      </c>
      <c r="H823" t="s">
        <v>25</v>
      </c>
      <c r="I823" t="s">
        <v>1677</v>
      </c>
      <c r="J823">
        <v>14</v>
      </c>
      <c r="K823" s="2">
        <v>2365.17</v>
      </c>
      <c r="L823">
        <v>20</v>
      </c>
      <c r="M823" s="2">
        <v>26489.9</v>
      </c>
      <c r="N823" s="2">
        <v>15949.27</v>
      </c>
      <c r="O823" s="2">
        <v>10540.63</v>
      </c>
      <c r="P823" t="s">
        <v>41</v>
      </c>
      <c r="Q823" t="s">
        <v>42</v>
      </c>
    </row>
    <row r="824" spans="1:17" x14ac:dyDescent="0.3">
      <c r="A824" t="s">
        <v>1678</v>
      </c>
      <c r="B824" s="1">
        <v>45702</v>
      </c>
      <c r="C824" t="s">
        <v>35</v>
      </c>
      <c r="D824" t="s">
        <v>36</v>
      </c>
      <c r="E824" t="s">
        <v>120</v>
      </c>
      <c r="F824" t="s">
        <v>37</v>
      </c>
      <c r="G824" t="s">
        <v>24</v>
      </c>
      <c r="H824" t="s">
        <v>32</v>
      </c>
      <c r="I824" t="s">
        <v>1679</v>
      </c>
      <c r="J824">
        <v>3</v>
      </c>
      <c r="K824" s="2">
        <v>4319.6400000000003</v>
      </c>
      <c r="L824">
        <v>15</v>
      </c>
      <c r="M824" s="2">
        <v>11015.08</v>
      </c>
      <c r="N824" s="2">
        <v>7058.32</v>
      </c>
      <c r="O824" s="2">
        <v>3956.76</v>
      </c>
      <c r="P824" t="s">
        <v>48</v>
      </c>
      <c r="Q824" t="s">
        <v>49</v>
      </c>
    </row>
    <row r="825" spans="1:17" x14ac:dyDescent="0.3">
      <c r="A825" t="s">
        <v>1680</v>
      </c>
      <c r="B825" s="1">
        <v>46008</v>
      </c>
      <c r="C825" t="s">
        <v>20</v>
      </c>
      <c r="D825" t="s">
        <v>55</v>
      </c>
      <c r="E825" t="s">
        <v>113</v>
      </c>
      <c r="F825" t="s">
        <v>37</v>
      </c>
      <c r="G825" t="s">
        <v>38</v>
      </c>
      <c r="H825" t="s">
        <v>63</v>
      </c>
      <c r="I825" t="s">
        <v>1681</v>
      </c>
      <c r="J825">
        <v>10</v>
      </c>
      <c r="K825" s="2">
        <v>4034.68</v>
      </c>
      <c r="L825">
        <v>15</v>
      </c>
      <c r="M825" s="2">
        <v>34294.78</v>
      </c>
      <c r="N825" s="2">
        <v>18871.23</v>
      </c>
      <c r="O825" s="2">
        <v>15423.55</v>
      </c>
      <c r="P825" t="s">
        <v>48</v>
      </c>
      <c r="Q825" t="s">
        <v>28</v>
      </c>
    </row>
    <row r="826" spans="1:17" x14ac:dyDescent="0.3">
      <c r="A826" t="s">
        <v>1682</v>
      </c>
      <c r="B826" s="1">
        <v>46202</v>
      </c>
      <c r="C826" t="s">
        <v>70</v>
      </c>
      <c r="D826" t="s">
        <v>75</v>
      </c>
      <c r="E826" t="s">
        <v>22</v>
      </c>
      <c r="F826" t="s">
        <v>23</v>
      </c>
      <c r="G826" t="s">
        <v>24</v>
      </c>
      <c r="H826" t="s">
        <v>32</v>
      </c>
      <c r="I826" t="s">
        <v>1683</v>
      </c>
      <c r="J826">
        <v>4</v>
      </c>
      <c r="K826" s="2">
        <v>279.39</v>
      </c>
      <c r="L826">
        <v>0</v>
      </c>
      <c r="M826" s="2">
        <v>1117.56</v>
      </c>
      <c r="N826" s="2">
        <v>670.43</v>
      </c>
      <c r="O826" s="2">
        <v>447.13</v>
      </c>
      <c r="P826" t="s">
        <v>41</v>
      </c>
      <c r="Q826" t="s">
        <v>61</v>
      </c>
    </row>
    <row r="827" spans="1:17" x14ac:dyDescent="0.3">
      <c r="A827" t="s">
        <v>1684</v>
      </c>
      <c r="B827" s="1">
        <v>45783</v>
      </c>
      <c r="C827" t="s">
        <v>20</v>
      </c>
      <c r="D827" t="s">
        <v>55</v>
      </c>
      <c r="E827" t="s">
        <v>120</v>
      </c>
      <c r="F827" t="s">
        <v>37</v>
      </c>
      <c r="G827" t="s">
        <v>24</v>
      </c>
      <c r="H827" t="s">
        <v>134</v>
      </c>
      <c r="I827" t="s">
        <v>1685</v>
      </c>
      <c r="J827">
        <v>5</v>
      </c>
      <c r="K827" s="2">
        <v>1709.5</v>
      </c>
      <c r="L827">
        <v>15</v>
      </c>
      <c r="M827" s="2">
        <v>7265.38</v>
      </c>
      <c r="N827" s="2">
        <v>4722.57</v>
      </c>
      <c r="O827" s="2">
        <v>2542.81</v>
      </c>
      <c r="P827" t="s">
        <v>27</v>
      </c>
      <c r="Q827" t="s">
        <v>28</v>
      </c>
    </row>
    <row r="828" spans="1:17" x14ac:dyDescent="0.3">
      <c r="A828" t="s">
        <v>1686</v>
      </c>
      <c r="B828" s="1">
        <v>45862</v>
      </c>
      <c r="C828" t="s">
        <v>35</v>
      </c>
      <c r="D828" t="s">
        <v>59</v>
      </c>
      <c r="E828" t="s">
        <v>120</v>
      </c>
      <c r="F828" t="s">
        <v>31</v>
      </c>
      <c r="G828" t="s">
        <v>45</v>
      </c>
      <c r="H828" t="s">
        <v>52</v>
      </c>
      <c r="I828" t="s">
        <v>1687</v>
      </c>
      <c r="J828">
        <v>10</v>
      </c>
      <c r="K828" s="2">
        <v>1707.11</v>
      </c>
      <c r="L828">
        <v>15</v>
      </c>
      <c r="M828" s="2">
        <v>14510.43</v>
      </c>
      <c r="N828" s="2">
        <v>10448.64</v>
      </c>
      <c r="O828" s="2">
        <v>4061.79</v>
      </c>
      <c r="P828" t="s">
        <v>27</v>
      </c>
      <c r="Q828" t="s">
        <v>42</v>
      </c>
    </row>
    <row r="829" spans="1:17" x14ac:dyDescent="0.3">
      <c r="A829" t="s">
        <v>1688</v>
      </c>
      <c r="B829" s="1">
        <v>46183</v>
      </c>
      <c r="C829" t="s">
        <v>20</v>
      </c>
      <c r="D829" t="s">
        <v>21</v>
      </c>
      <c r="E829" t="s">
        <v>30</v>
      </c>
      <c r="F829" t="s">
        <v>31</v>
      </c>
      <c r="G829" t="s">
        <v>45</v>
      </c>
      <c r="H829" t="s">
        <v>159</v>
      </c>
      <c r="I829" t="s">
        <v>1689</v>
      </c>
      <c r="J829">
        <v>3</v>
      </c>
      <c r="K829" s="2">
        <v>403.08</v>
      </c>
      <c r="L829">
        <v>15</v>
      </c>
      <c r="M829" s="2">
        <v>1027.8499999999999</v>
      </c>
      <c r="N829" s="2">
        <v>817.05</v>
      </c>
      <c r="O829" s="2">
        <v>210.8</v>
      </c>
      <c r="P829" t="s">
        <v>27</v>
      </c>
      <c r="Q829" t="s">
        <v>28</v>
      </c>
    </row>
    <row r="830" spans="1:17" x14ac:dyDescent="0.3">
      <c r="A830" t="s">
        <v>1690</v>
      </c>
      <c r="B830" s="1">
        <v>46039</v>
      </c>
      <c r="C830" t="s">
        <v>70</v>
      </c>
      <c r="D830" t="s">
        <v>75</v>
      </c>
      <c r="E830" t="s">
        <v>51</v>
      </c>
      <c r="F830" t="s">
        <v>37</v>
      </c>
      <c r="G830" t="s">
        <v>24</v>
      </c>
      <c r="H830" t="s">
        <v>56</v>
      </c>
      <c r="I830" t="s">
        <v>1691</v>
      </c>
      <c r="J830">
        <v>8</v>
      </c>
      <c r="K830" s="2">
        <v>2599.12</v>
      </c>
      <c r="L830">
        <v>0</v>
      </c>
      <c r="M830" s="2">
        <v>20792.96</v>
      </c>
      <c r="N830" s="2">
        <v>12025.49</v>
      </c>
      <c r="O830" s="2">
        <v>8767.4699999999993</v>
      </c>
      <c r="P830" t="s">
        <v>48</v>
      </c>
      <c r="Q830" t="s">
        <v>28</v>
      </c>
    </row>
    <row r="831" spans="1:17" x14ac:dyDescent="0.3">
      <c r="A831" t="s">
        <v>1692</v>
      </c>
      <c r="B831" s="1">
        <v>46180</v>
      </c>
      <c r="C831" t="s">
        <v>70</v>
      </c>
      <c r="D831" t="s">
        <v>75</v>
      </c>
      <c r="E831" t="s">
        <v>44</v>
      </c>
      <c r="F831" t="s">
        <v>37</v>
      </c>
      <c r="G831" t="s">
        <v>38</v>
      </c>
      <c r="H831" t="s">
        <v>91</v>
      </c>
      <c r="I831" t="s">
        <v>1693</v>
      </c>
      <c r="J831">
        <v>3</v>
      </c>
      <c r="K831" s="2">
        <v>1419.17</v>
      </c>
      <c r="L831">
        <v>15</v>
      </c>
      <c r="M831" s="2">
        <v>3618.88</v>
      </c>
      <c r="N831" s="2">
        <v>2668.64</v>
      </c>
      <c r="O831" s="2">
        <v>950.24</v>
      </c>
      <c r="P831" t="s">
        <v>27</v>
      </c>
      <c r="Q831" t="s">
        <v>49</v>
      </c>
    </row>
    <row r="832" spans="1:17" x14ac:dyDescent="0.3">
      <c r="A832" t="s">
        <v>1694</v>
      </c>
      <c r="B832" s="1">
        <v>46168</v>
      </c>
      <c r="C832" t="s">
        <v>70</v>
      </c>
      <c r="D832" t="s">
        <v>71</v>
      </c>
      <c r="E832" t="s">
        <v>44</v>
      </c>
      <c r="F832" t="s">
        <v>23</v>
      </c>
      <c r="G832" t="s">
        <v>24</v>
      </c>
      <c r="H832" t="s">
        <v>134</v>
      </c>
      <c r="I832" t="s">
        <v>1695</v>
      </c>
      <c r="J832">
        <v>11</v>
      </c>
      <c r="K832" s="2">
        <v>469.68</v>
      </c>
      <c r="L832">
        <v>15</v>
      </c>
      <c r="M832" s="2">
        <v>4391.51</v>
      </c>
      <c r="N832" s="2">
        <v>3308.26</v>
      </c>
      <c r="O832" s="2">
        <v>1083.25</v>
      </c>
      <c r="P832" t="s">
        <v>27</v>
      </c>
      <c r="Q832" t="s">
        <v>61</v>
      </c>
    </row>
    <row r="833" spans="1:17" x14ac:dyDescent="0.3">
      <c r="A833" t="s">
        <v>1696</v>
      </c>
      <c r="B833" s="1">
        <v>45680</v>
      </c>
      <c r="C833" t="s">
        <v>86</v>
      </c>
      <c r="D833" t="s">
        <v>90</v>
      </c>
      <c r="E833" t="s">
        <v>120</v>
      </c>
      <c r="F833" t="s">
        <v>37</v>
      </c>
      <c r="G833" t="s">
        <v>38</v>
      </c>
      <c r="H833" t="s">
        <v>63</v>
      </c>
      <c r="I833" t="s">
        <v>1697</v>
      </c>
      <c r="J833">
        <v>7</v>
      </c>
      <c r="K833" s="2">
        <v>1108.3800000000001</v>
      </c>
      <c r="L833">
        <v>10</v>
      </c>
      <c r="M833" s="2">
        <v>6982.79</v>
      </c>
      <c r="N833" s="2">
        <v>4623.54</v>
      </c>
      <c r="O833" s="2">
        <v>2359.25</v>
      </c>
      <c r="P833" t="s">
        <v>41</v>
      </c>
      <c r="Q833" t="s">
        <v>61</v>
      </c>
    </row>
    <row r="834" spans="1:17" x14ac:dyDescent="0.3">
      <c r="A834" t="s">
        <v>1698</v>
      </c>
      <c r="B834" s="1">
        <v>45892</v>
      </c>
      <c r="C834" t="s">
        <v>70</v>
      </c>
      <c r="D834" t="s">
        <v>71</v>
      </c>
      <c r="E834" t="s">
        <v>170</v>
      </c>
      <c r="F834" t="s">
        <v>31</v>
      </c>
      <c r="G834" t="s">
        <v>38</v>
      </c>
      <c r="H834" t="s">
        <v>72</v>
      </c>
      <c r="I834" t="s">
        <v>1699</v>
      </c>
      <c r="J834">
        <v>5</v>
      </c>
      <c r="K834" s="2">
        <v>1931.6</v>
      </c>
      <c r="L834">
        <v>20</v>
      </c>
      <c r="M834" s="2">
        <v>7726.4</v>
      </c>
      <c r="N834" s="2">
        <v>4565.67</v>
      </c>
      <c r="O834" s="2">
        <v>3160.73</v>
      </c>
      <c r="P834" t="s">
        <v>48</v>
      </c>
      <c r="Q834" t="s">
        <v>61</v>
      </c>
    </row>
    <row r="835" spans="1:17" x14ac:dyDescent="0.3">
      <c r="A835" t="s">
        <v>1700</v>
      </c>
      <c r="B835" s="1">
        <v>46091</v>
      </c>
      <c r="C835" t="s">
        <v>70</v>
      </c>
      <c r="D835" t="s">
        <v>75</v>
      </c>
      <c r="E835" t="s">
        <v>66</v>
      </c>
      <c r="F835" t="s">
        <v>37</v>
      </c>
      <c r="G835" t="s">
        <v>45</v>
      </c>
      <c r="H835" t="s">
        <v>52</v>
      </c>
      <c r="I835" t="s">
        <v>1701</v>
      </c>
      <c r="J835">
        <v>4</v>
      </c>
      <c r="K835" s="2">
        <v>1646.28</v>
      </c>
      <c r="L835">
        <v>10</v>
      </c>
      <c r="M835" s="2">
        <v>5926.61</v>
      </c>
      <c r="N835" s="2">
        <v>3905.11</v>
      </c>
      <c r="O835" s="2">
        <v>2021.5</v>
      </c>
      <c r="P835" t="s">
        <v>27</v>
      </c>
      <c r="Q835" t="s">
        <v>42</v>
      </c>
    </row>
    <row r="836" spans="1:17" x14ac:dyDescent="0.3">
      <c r="A836" t="s">
        <v>1702</v>
      </c>
      <c r="B836" s="1">
        <v>46021</v>
      </c>
      <c r="C836" t="s">
        <v>86</v>
      </c>
      <c r="D836" t="s">
        <v>87</v>
      </c>
      <c r="E836" t="s">
        <v>66</v>
      </c>
      <c r="F836" t="s">
        <v>37</v>
      </c>
      <c r="G836" t="s">
        <v>45</v>
      </c>
      <c r="H836" t="s">
        <v>46</v>
      </c>
      <c r="I836" t="s">
        <v>1703</v>
      </c>
      <c r="J836">
        <v>8</v>
      </c>
      <c r="K836" s="2">
        <v>3187.6</v>
      </c>
      <c r="L836">
        <v>15</v>
      </c>
      <c r="M836" s="2">
        <v>21675.68</v>
      </c>
      <c r="N836" s="2">
        <v>12260.34</v>
      </c>
      <c r="O836" s="2">
        <v>9415.34</v>
      </c>
      <c r="P836" t="s">
        <v>48</v>
      </c>
      <c r="Q836" t="s">
        <v>42</v>
      </c>
    </row>
    <row r="837" spans="1:17" x14ac:dyDescent="0.3">
      <c r="A837" t="s">
        <v>1704</v>
      </c>
      <c r="B837" s="1">
        <v>45812</v>
      </c>
      <c r="C837" t="s">
        <v>86</v>
      </c>
      <c r="D837" t="s">
        <v>90</v>
      </c>
      <c r="E837" t="s">
        <v>51</v>
      </c>
      <c r="F837" t="s">
        <v>23</v>
      </c>
      <c r="G837" t="s">
        <v>24</v>
      </c>
      <c r="H837" t="s">
        <v>56</v>
      </c>
      <c r="I837" t="s">
        <v>1705</v>
      </c>
      <c r="J837">
        <v>2</v>
      </c>
      <c r="K837" s="2">
        <v>1739.2</v>
      </c>
      <c r="L837">
        <v>20</v>
      </c>
      <c r="M837" s="2">
        <v>2782.72</v>
      </c>
      <c r="N837" s="2">
        <v>1986.25</v>
      </c>
      <c r="O837" s="2">
        <v>796.47</v>
      </c>
      <c r="P837" t="s">
        <v>48</v>
      </c>
      <c r="Q837" t="s">
        <v>28</v>
      </c>
    </row>
    <row r="838" spans="1:17" x14ac:dyDescent="0.3">
      <c r="A838" t="s">
        <v>1706</v>
      </c>
      <c r="B838" s="1">
        <v>46175</v>
      </c>
      <c r="C838" t="s">
        <v>86</v>
      </c>
      <c r="D838" t="s">
        <v>87</v>
      </c>
      <c r="E838" t="s">
        <v>44</v>
      </c>
      <c r="F838" t="s">
        <v>37</v>
      </c>
      <c r="G838" t="s">
        <v>45</v>
      </c>
      <c r="H838" t="s">
        <v>123</v>
      </c>
      <c r="I838" t="s">
        <v>1707</v>
      </c>
      <c r="J838">
        <v>7</v>
      </c>
      <c r="K838" s="2">
        <v>4800.96</v>
      </c>
      <c r="L838">
        <v>5</v>
      </c>
      <c r="M838" s="2">
        <v>31926.38</v>
      </c>
      <c r="N838" s="2">
        <v>25477.46</v>
      </c>
      <c r="O838" s="2">
        <v>6448.92</v>
      </c>
      <c r="P838" t="s">
        <v>27</v>
      </c>
      <c r="Q838" t="s">
        <v>28</v>
      </c>
    </row>
    <row r="839" spans="1:17" x14ac:dyDescent="0.3">
      <c r="A839" t="s">
        <v>1708</v>
      </c>
      <c r="B839" s="1">
        <v>46015</v>
      </c>
      <c r="C839" t="s">
        <v>70</v>
      </c>
      <c r="D839" t="s">
        <v>71</v>
      </c>
      <c r="E839" t="s">
        <v>44</v>
      </c>
      <c r="F839" t="s">
        <v>31</v>
      </c>
      <c r="G839" t="s">
        <v>24</v>
      </c>
      <c r="H839" t="s">
        <v>171</v>
      </c>
      <c r="I839" t="s">
        <v>1709</v>
      </c>
      <c r="J839">
        <v>13</v>
      </c>
      <c r="K839" s="2">
        <v>3085.82</v>
      </c>
      <c r="L839">
        <v>0</v>
      </c>
      <c r="M839" s="2">
        <v>40115.660000000003</v>
      </c>
      <c r="N839" s="2">
        <v>29913.82</v>
      </c>
      <c r="O839" s="2">
        <v>10201.84</v>
      </c>
      <c r="P839" t="s">
        <v>27</v>
      </c>
      <c r="Q839" t="s">
        <v>61</v>
      </c>
    </row>
    <row r="840" spans="1:17" x14ac:dyDescent="0.3">
      <c r="A840" t="s">
        <v>1710</v>
      </c>
      <c r="B840" s="1">
        <v>45806</v>
      </c>
      <c r="C840" t="s">
        <v>35</v>
      </c>
      <c r="D840" t="s">
        <v>36</v>
      </c>
      <c r="E840" t="s">
        <v>66</v>
      </c>
      <c r="F840" t="s">
        <v>37</v>
      </c>
      <c r="G840" t="s">
        <v>24</v>
      </c>
      <c r="H840" t="s">
        <v>134</v>
      </c>
      <c r="I840" t="s">
        <v>728</v>
      </c>
      <c r="J840">
        <v>14</v>
      </c>
      <c r="K840" s="2">
        <v>2416.2600000000002</v>
      </c>
      <c r="L840">
        <v>10</v>
      </c>
      <c r="M840" s="2">
        <v>30444.880000000001</v>
      </c>
      <c r="N840" s="2">
        <v>23014.3</v>
      </c>
      <c r="O840" s="2">
        <v>7430.58</v>
      </c>
      <c r="P840" t="s">
        <v>48</v>
      </c>
      <c r="Q840" t="s">
        <v>28</v>
      </c>
    </row>
    <row r="841" spans="1:17" x14ac:dyDescent="0.3">
      <c r="A841" t="s">
        <v>1711</v>
      </c>
      <c r="B841" s="1">
        <v>46158</v>
      </c>
      <c r="C841" t="s">
        <v>20</v>
      </c>
      <c r="D841" t="s">
        <v>55</v>
      </c>
      <c r="E841" t="s">
        <v>66</v>
      </c>
      <c r="F841" t="s">
        <v>31</v>
      </c>
      <c r="G841" t="s">
        <v>38</v>
      </c>
      <c r="H841" t="s">
        <v>106</v>
      </c>
      <c r="I841" t="s">
        <v>1712</v>
      </c>
      <c r="J841">
        <v>12</v>
      </c>
      <c r="K841" s="2">
        <v>1695.97</v>
      </c>
      <c r="L841">
        <v>20</v>
      </c>
      <c r="M841" s="2">
        <v>16281.31</v>
      </c>
      <c r="N841" s="2">
        <v>12998.45</v>
      </c>
      <c r="O841" s="2">
        <v>3282.86</v>
      </c>
      <c r="P841" t="s">
        <v>41</v>
      </c>
      <c r="Q841" t="s">
        <v>61</v>
      </c>
    </row>
    <row r="842" spans="1:17" x14ac:dyDescent="0.3">
      <c r="A842" t="s">
        <v>1713</v>
      </c>
      <c r="B842" s="1">
        <v>46073</v>
      </c>
      <c r="C842" t="s">
        <v>35</v>
      </c>
      <c r="D842" t="s">
        <v>59</v>
      </c>
      <c r="E842" t="s">
        <v>30</v>
      </c>
      <c r="F842" t="s">
        <v>37</v>
      </c>
      <c r="G842" t="s">
        <v>45</v>
      </c>
      <c r="H842" t="s">
        <v>52</v>
      </c>
      <c r="I842" t="s">
        <v>1714</v>
      </c>
      <c r="J842">
        <v>7</v>
      </c>
      <c r="K842" s="2">
        <v>1898.62</v>
      </c>
      <c r="L842">
        <v>10</v>
      </c>
      <c r="M842" s="2">
        <v>11961.31</v>
      </c>
      <c r="N842" s="2">
        <v>9232.58</v>
      </c>
      <c r="O842" s="2">
        <v>2728.73</v>
      </c>
      <c r="P842" t="s">
        <v>27</v>
      </c>
      <c r="Q842" t="s">
        <v>49</v>
      </c>
    </row>
    <row r="843" spans="1:17" x14ac:dyDescent="0.3">
      <c r="A843" t="s">
        <v>1715</v>
      </c>
      <c r="B843" s="1">
        <v>45798</v>
      </c>
      <c r="C843" t="s">
        <v>70</v>
      </c>
      <c r="D843" t="s">
        <v>71</v>
      </c>
      <c r="E843" t="s">
        <v>66</v>
      </c>
      <c r="F843" t="s">
        <v>31</v>
      </c>
      <c r="G843" t="s">
        <v>45</v>
      </c>
      <c r="H843" t="s">
        <v>52</v>
      </c>
      <c r="I843" t="s">
        <v>1716</v>
      </c>
      <c r="J843">
        <v>9</v>
      </c>
      <c r="K843" s="2">
        <v>2017.33</v>
      </c>
      <c r="L843">
        <v>15</v>
      </c>
      <c r="M843" s="2">
        <v>15432.57</v>
      </c>
      <c r="N843" s="2">
        <v>10872.95</v>
      </c>
      <c r="O843" s="2">
        <v>4559.62</v>
      </c>
      <c r="P843" t="s">
        <v>48</v>
      </c>
      <c r="Q843" t="s">
        <v>49</v>
      </c>
    </row>
    <row r="844" spans="1:17" x14ac:dyDescent="0.3">
      <c r="A844" t="s">
        <v>1717</v>
      </c>
      <c r="B844" s="1">
        <v>46049</v>
      </c>
      <c r="C844" t="s">
        <v>86</v>
      </c>
      <c r="D844" t="s">
        <v>87</v>
      </c>
      <c r="E844" t="s">
        <v>120</v>
      </c>
      <c r="F844" t="s">
        <v>23</v>
      </c>
      <c r="G844" t="s">
        <v>24</v>
      </c>
      <c r="H844" t="s">
        <v>134</v>
      </c>
      <c r="I844" t="s">
        <v>1718</v>
      </c>
      <c r="J844">
        <v>7</v>
      </c>
      <c r="K844" s="2">
        <v>2562.86</v>
      </c>
      <c r="L844">
        <v>10</v>
      </c>
      <c r="M844" s="2">
        <v>16146.02</v>
      </c>
      <c r="N844" s="2">
        <v>8988.25</v>
      </c>
      <c r="O844" s="2">
        <v>7157.77</v>
      </c>
      <c r="P844" t="s">
        <v>27</v>
      </c>
      <c r="Q844" t="s">
        <v>28</v>
      </c>
    </row>
    <row r="845" spans="1:17" x14ac:dyDescent="0.3">
      <c r="A845" t="s">
        <v>1719</v>
      </c>
      <c r="B845" s="1">
        <v>45917</v>
      </c>
      <c r="C845" t="s">
        <v>70</v>
      </c>
      <c r="D845" t="s">
        <v>75</v>
      </c>
      <c r="E845" t="s">
        <v>113</v>
      </c>
      <c r="F845" t="s">
        <v>31</v>
      </c>
      <c r="G845" t="s">
        <v>45</v>
      </c>
      <c r="H845" t="s">
        <v>52</v>
      </c>
      <c r="I845" t="s">
        <v>1720</v>
      </c>
      <c r="J845">
        <v>3</v>
      </c>
      <c r="K845" s="2">
        <v>675.37</v>
      </c>
      <c r="L845">
        <v>5</v>
      </c>
      <c r="M845" s="2">
        <v>1924.8</v>
      </c>
      <c r="N845" s="2">
        <v>1389.91</v>
      </c>
      <c r="O845" s="2">
        <v>534.89</v>
      </c>
      <c r="P845" t="s">
        <v>41</v>
      </c>
      <c r="Q845" t="s">
        <v>28</v>
      </c>
    </row>
    <row r="846" spans="1:17" x14ac:dyDescent="0.3">
      <c r="A846" t="s">
        <v>1721</v>
      </c>
      <c r="B846" s="1">
        <v>45999</v>
      </c>
      <c r="C846" t="s">
        <v>35</v>
      </c>
      <c r="D846" t="s">
        <v>36</v>
      </c>
      <c r="E846" t="s">
        <v>44</v>
      </c>
      <c r="F846" t="s">
        <v>23</v>
      </c>
      <c r="G846" t="s">
        <v>24</v>
      </c>
      <c r="H846" t="s">
        <v>134</v>
      </c>
      <c r="I846" t="s">
        <v>1722</v>
      </c>
      <c r="J846">
        <v>15</v>
      </c>
      <c r="K846" s="2">
        <v>4923.88</v>
      </c>
      <c r="L846">
        <v>5</v>
      </c>
      <c r="M846" s="2">
        <v>70165.289999999994</v>
      </c>
      <c r="N846" s="2">
        <v>39936.160000000003</v>
      </c>
      <c r="O846" s="2">
        <v>30229.13</v>
      </c>
      <c r="P846" t="s">
        <v>41</v>
      </c>
      <c r="Q846" t="s">
        <v>28</v>
      </c>
    </row>
    <row r="847" spans="1:17" x14ac:dyDescent="0.3">
      <c r="A847" t="s">
        <v>1723</v>
      </c>
      <c r="B847" s="1">
        <v>46201</v>
      </c>
      <c r="C847" t="s">
        <v>20</v>
      </c>
      <c r="D847" t="s">
        <v>55</v>
      </c>
      <c r="E847" t="s">
        <v>22</v>
      </c>
      <c r="F847" t="s">
        <v>23</v>
      </c>
      <c r="G847" t="s">
        <v>38</v>
      </c>
      <c r="H847" t="s">
        <v>72</v>
      </c>
      <c r="I847" t="s">
        <v>1724</v>
      </c>
      <c r="J847">
        <v>9</v>
      </c>
      <c r="K847" s="2">
        <v>1601.02</v>
      </c>
      <c r="L847">
        <v>15</v>
      </c>
      <c r="M847" s="2">
        <v>12247.8</v>
      </c>
      <c r="N847" s="2">
        <v>8782.89</v>
      </c>
      <c r="O847" s="2">
        <v>3464.91</v>
      </c>
      <c r="P847" t="s">
        <v>48</v>
      </c>
      <c r="Q847" t="s">
        <v>49</v>
      </c>
    </row>
    <row r="848" spans="1:17" x14ac:dyDescent="0.3">
      <c r="A848" t="s">
        <v>1725</v>
      </c>
      <c r="B848" s="1">
        <v>45923</v>
      </c>
      <c r="C848" t="s">
        <v>86</v>
      </c>
      <c r="D848" t="s">
        <v>87</v>
      </c>
      <c r="E848" t="s">
        <v>170</v>
      </c>
      <c r="F848" t="s">
        <v>37</v>
      </c>
      <c r="G848" t="s">
        <v>38</v>
      </c>
      <c r="H848" t="s">
        <v>39</v>
      </c>
      <c r="I848" t="s">
        <v>1726</v>
      </c>
      <c r="J848">
        <v>7</v>
      </c>
      <c r="K848" s="2">
        <v>4030.89</v>
      </c>
      <c r="L848">
        <v>20</v>
      </c>
      <c r="M848" s="2">
        <v>22572.98</v>
      </c>
      <c r="N848" s="2">
        <v>13364.18</v>
      </c>
      <c r="O848" s="2">
        <v>9208.7999999999993</v>
      </c>
      <c r="P848" t="s">
        <v>41</v>
      </c>
      <c r="Q848" t="s">
        <v>61</v>
      </c>
    </row>
    <row r="849" spans="1:17" x14ac:dyDescent="0.3">
      <c r="A849" t="s">
        <v>1727</v>
      </c>
      <c r="B849" s="1">
        <v>46160</v>
      </c>
      <c r="C849" t="s">
        <v>70</v>
      </c>
      <c r="D849" t="s">
        <v>75</v>
      </c>
      <c r="E849" t="s">
        <v>113</v>
      </c>
      <c r="F849" t="s">
        <v>31</v>
      </c>
      <c r="G849" t="s">
        <v>38</v>
      </c>
      <c r="H849" t="s">
        <v>106</v>
      </c>
      <c r="I849" t="s">
        <v>1728</v>
      </c>
      <c r="J849">
        <v>8</v>
      </c>
      <c r="K849" s="2">
        <v>4946.68</v>
      </c>
      <c r="L849">
        <v>15</v>
      </c>
      <c r="M849" s="2">
        <v>33637.42</v>
      </c>
      <c r="N849" s="2">
        <v>19121.95</v>
      </c>
      <c r="O849" s="2">
        <v>14515.47</v>
      </c>
      <c r="P849" t="s">
        <v>27</v>
      </c>
      <c r="Q849" t="s">
        <v>28</v>
      </c>
    </row>
    <row r="850" spans="1:17" x14ac:dyDescent="0.3">
      <c r="A850" t="s">
        <v>1729</v>
      </c>
      <c r="B850" s="1">
        <v>46033</v>
      </c>
      <c r="C850" t="s">
        <v>20</v>
      </c>
      <c r="D850" t="s">
        <v>21</v>
      </c>
      <c r="E850" t="s">
        <v>44</v>
      </c>
      <c r="F850" t="s">
        <v>31</v>
      </c>
      <c r="G850" t="s">
        <v>38</v>
      </c>
      <c r="H850" t="s">
        <v>72</v>
      </c>
      <c r="I850" t="s">
        <v>1730</v>
      </c>
      <c r="J850">
        <v>11</v>
      </c>
      <c r="K850" s="2">
        <v>2325.85</v>
      </c>
      <c r="L850">
        <v>15</v>
      </c>
      <c r="M850" s="2">
        <v>21746.7</v>
      </c>
      <c r="N850" s="2">
        <v>16436.919999999998</v>
      </c>
      <c r="O850" s="2">
        <v>5309.78</v>
      </c>
      <c r="P850" t="s">
        <v>41</v>
      </c>
      <c r="Q850" t="s">
        <v>61</v>
      </c>
    </row>
    <row r="851" spans="1:17" x14ac:dyDescent="0.3">
      <c r="A851" t="s">
        <v>1731</v>
      </c>
      <c r="B851" s="1">
        <v>45847</v>
      </c>
      <c r="C851" t="s">
        <v>86</v>
      </c>
      <c r="D851" t="s">
        <v>87</v>
      </c>
      <c r="E851" t="s">
        <v>22</v>
      </c>
      <c r="F851" t="s">
        <v>31</v>
      </c>
      <c r="G851" t="s">
        <v>24</v>
      </c>
      <c r="H851" t="s">
        <v>32</v>
      </c>
      <c r="I851" t="s">
        <v>1732</v>
      </c>
      <c r="J851">
        <v>2</v>
      </c>
      <c r="K851" s="2">
        <v>1144.47</v>
      </c>
      <c r="L851">
        <v>5</v>
      </c>
      <c r="M851" s="2">
        <v>2174.4899999999998</v>
      </c>
      <c r="N851" s="2">
        <v>1666.34</v>
      </c>
      <c r="O851" s="2">
        <v>508.15</v>
      </c>
      <c r="P851" t="s">
        <v>41</v>
      </c>
      <c r="Q851" t="s">
        <v>28</v>
      </c>
    </row>
    <row r="852" spans="1:17" x14ac:dyDescent="0.3">
      <c r="A852" t="s">
        <v>1733</v>
      </c>
      <c r="B852" s="1">
        <v>46178</v>
      </c>
      <c r="C852" t="s">
        <v>70</v>
      </c>
      <c r="D852" t="s">
        <v>71</v>
      </c>
      <c r="E852" t="s">
        <v>51</v>
      </c>
      <c r="F852" t="s">
        <v>37</v>
      </c>
      <c r="G852" t="s">
        <v>45</v>
      </c>
      <c r="H852" t="s">
        <v>67</v>
      </c>
      <c r="I852" t="s">
        <v>1734</v>
      </c>
      <c r="J852">
        <v>9</v>
      </c>
      <c r="K852" s="2">
        <v>3956.53</v>
      </c>
      <c r="L852">
        <v>10</v>
      </c>
      <c r="M852" s="2">
        <v>32047.89</v>
      </c>
      <c r="N852" s="2">
        <v>23624.13</v>
      </c>
      <c r="O852" s="2">
        <v>8423.76</v>
      </c>
      <c r="P852" t="s">
        <v>48</v>
      </c>
      <c r="Q852" t="s">
        <v>42</v>
      </c>
    </row>
    <row r="853" spans="1:17" x14ac:dyDescent="0.3">
      <c r="A853" t="s">
        <v>1735</v>
      </c>
      <c r="B853" s="1">
        <v>45710</v>
      </c>
      <c r="C853" t="s">
        <v>35</v>
      </c>
      <c r="D853" t="s">
        <v>36</v>
      </c>
      <c r="E853" t="s">
        <v>66</v>
      </c>
      <c r="F853" t="s">
        <v>37</v>
      </c>
      <c r="G853" t="s">
        <v>45</v>
      </c>
      <c r="H853" t="s">
        <v>159</v>
      </c>
      <c r="I853" t="s">
        <v>1736</v>
      </c>
      <c r="J853">
        <v>11</v>
      </c>
      <c r="K853" s="2">
        <v>2939.92</v>
      </c>
      <c r="L853">
        <v>10</v>
      </c>
      <c r="M853" s="2">
        <v>29105.21</v>
      </c>
      <c r="N853" s="2">
        <v>18063.93</v>
      </c>
      <c r="O853" s="2">
        <v>11041.28</v>
      </c>
      <c r="P853" t="s">
        <v>27</v>
      </c>
      <c r="Q853" t="s">
        <v>28</v>
      </c>
    </row>
    <row r="854" spans="1:17" x14ac:dyDescent="0.3">
      <c r="A854" t="s">
        <v>1737</v>
      </c>
      <c r="B854" s="1">
        <v>45736</v>
      </c>
      <c r="C854" t="s">
        <v>70</v>
      </c>
      <c r="D854" t="s">
        <v>71</v>
      </c>
      <c r="E854" t="s">
        <v>51</v>
      </c>
      <c r="F854" t="s">
        <v>37</v>
      </c>
      <c r="G854" t="s">
        <v>24</v>
      </c>
      <c r="H854" t="s">
        <v>56</v>
      </c>
      <c r="I854" t="s">
        <v>1738</v>
      </c>
      <c r="J854">
        <v>12</v>
      </c>
      <c r="K854" s="2">
        <v>588.48</v>
      </c>
      <c r="L854">
        <v>20</v>
      </c>
      <c r="M854" s="2">
        <v>5649.41</v>
      </c>
      <c r="N854" s="2">
        <v>3153.52</v>
      </c>
      <c r="O854" s="2">
        <v>2495.89</v>
      </c>
      <c r="P854" t="s">
        <v>41</v>
      </c>
      <c r="Q854" t="s">
        <v>61</v>
      </c>
    </row>
    <row r="855" spans="1:17" x14ac:dyDescent="0.3">
      <c r="A855" t="s">
        <v>1739</v>
      </c>
      <c r="B855" s="1">
        <v>45776</v>
      </c>
      <c r="C855" t="s">
        <v>35</v>
      </c>
      <c r="D855" t="s">
        <v>36</v>
      </c>
      <c r="E855" t="s">
        <v>22</v>
      </c>
      <c r="F855" t="s">
        <v>31</v>
      </c>
      <c r="G855" t="s">
        <v>45</v>
      </c>
      <c r="H855" t="s">
        <v>52</v>
      </c>
      <c r="I855" t="s">
        <v>1740</v>
      </c>
      <c r="J855">
        <v>12</v>
      </c>
      <c r="K855" s="2">
        <v>3309.56</v>
      </c>
      <c r="L855">
        <v>0</v>
      </c>
      <c r="M855" s="2">
        <v>39714.720000000001</v>
      </c>
      <c r="N855" s="2">
        <v>23449.82</v>
      </c>
      <c r="O855" s="2">
        <v>16264.9</v>
      </c>
      <c r="P855" t="s">
        <v>27</v>
      </c>
      <c r="Q855" t="s">
        <v>42</v>
      </c>
    </row>
    <row r="856" spans="1:17" x14ac:dyDescent="0.3">
      <c r="A856" t="s">
        <v>1741</v>
      </c>
      <c r="B856" s="1">
        <v>45741</v>
      </c>
      <c r="C856" t="s">
        <v>35</v>
      </c>
      <c r="D856" t="s">
        <v>36</v>
      </c>
      <c r="E856" t="s">
        <v>170</v>
      </c>
      <c r="F856" t="s">
        <v>37</v>
      </c>
      <c r="G856" t="s">
        <v>45</v>
      </c>
      <c r="H856" t="s">
        <v>67</v>
      </c>
      <c r="I856" t="s">
        <v>1742</v>
      </c>
      <c r="J856">
        <v>7</v>
      </c>
      <c r="K856" s="2">
        <v>4442.42</v>
      </c>
      <c r="L856">
        <v>10</v>
      </c>
      <c r="M856" s="2">
        <v>27987.25</v>
      </c>
      <c r="N856" s="2">
        <v>21015.93</v>
      </c>
      <c r="O856" s="2">
        <v>6971.32</v>
      </c>
      <c r="P856" t="s">
        <v>48</v>
      </c>
      <c r="Q856" t="s">
        <v>42</v>
      </c>
    </row>
    <row r="857" spans="1:17" x14ac:dyDescent="0.3">
      <c r="A857" t="s">
        <v>1743</v>
      </c>
      <c r="B857" s="1">
        <v>46019</v>
      </c>
      <c r="C857" t="s">
        <v>35</v>
      </c>
      <c r="D857" t="s">
        <v>36</v>
      </c>
      <c r="E857" t="s">
        <v>113</v>
      </c>
      <c r="F857" t="s">
        <v>23</v>
      </c>
      <c r="G857" t="s">
        <v>38</v>
      </c>
      <c r="H857" t="s">
        <v>106</v>
      </c>
      <c r="I857" t="s">
        <v>1744</v>
      </c>
      <c r="J857">
        <v>8</v>
      </c>
      <c r="K857" s="2">
        <v>260.08999999999997</v>
      </c>
      <c r="L857">
        <v>15</v>
      </c>
      <c r="M857" s="2">
        <v>1768.61</v>
      </c>
      <c r="N857" s="2">
        <v>1100.07</v>
      </c>
      <c r="O857" s="2">
        <v>668.54</v>
      </c>
      <c r="P857" t="s">
        <v>27</v>
      </c>
      <c r="Q857" t="s">
        <v>61</v>
      </c>
    </row>
    <row r="858" spans="1:17" x14ac:dyDescent="0.3">
      <c r="A858" t="s">
        <v>1745</v>
      </c>
      <c r="B858" s="1">
        <v>46021</v>
      </c>
      <c r="C858" t="s">
        <v>70</v>
      </c>
      <c r="D858" t="s">
        <v>75</v>
      </c>
      <c r="E858" t="s">
        <v>170</v>
      </c>
      <c r="F858" t="s">
        <v>37</v>
      </c>
      <c r="G858" t="s">
        <v>38</v>
      </c>
      <c r="H858" t="s">
        <v>39</v>
      </c>
      <c r="I858" t="s">
        <v>1746</v>
      </c>
      <c r="J858">
        <v>9</v>
      </c>
      <c r="K858" s="2">
        <v>4882.91</v>
      </c>
      <c r="L858">
        <v>0</v>
      </c>
      <c r="M858" s="2">
        <v>43946.19</v>
      </c>
      <c r="N858" s="2">
        <v>34100.53</v>
      </c>
      <c r="O858" s="2">
        <v>9845.66</v>
      </c>
      <c r="P858" t="s">
        <v>27</v>
      </c>
      <c r="Q858" t="s">
        <v>49</v>
      </c>
    </row>
    <row r="859" spans="1:17" x14ac:dyDescent="0.3">
      <c r="A859" t="s">
        <v>1747</v>
      </c>
      <c r="B859" s="1">
        <v>45970</v>
      </c>
      <c r="C859" t="s">
        <v>70</v>
      </c>
      <c r="D859" t="s">
        <v>71</v>
      </c>
      <c r="E859" t="s">
        <v>51</v>
      </c>
      <c r="F859" t="s">
        <v>37</v>
      </c>
      <c r="G859" t="s">
        <v>38</v>
      </c>
      <c r="H859" t="s">
        <v>91</v>
      </c>
      <c r="I859" t="s">
        <v>1748</v>
      </c>
      <c r="J859">
        <v>4</v>
      </c>
      <c r="K859" s="2">
        <v>3286.78</v>
      </c>
      <c r="L859">
        <v>0</v>
      </c>
      <c r="M859" s="2">
        <v>13147.12</v>
      </c>
      <c r="N859" s="2">
        <v>10699.71</v>
      </c>
      <c r="O859" s="2">
        <v>2447.41</v>
      </c>
      <c r="P859" t="s">
        <v>27</v>
      </c>
      <c r="Q859" t="s">
        <v>49</v>
      </c>
    </row>
    <row r="860" spans="1:17" x14ac:dyDescent="0.3">
      <c r="A860" t="s">
        <v>1749</v>
      </c>
      <c r="B860" s="1">
        <v>45785</v>
      </c>
      <c r="C860" t="s">
        <v>86</v>
      </c>
      <c r="D860" t="s">
        <v>87</v>
      </c>
      <c r="E860" t="s">
        <v>66</v>
      </c>
      <c r="F860" t="s">
        <v>31</v>
      </c>
      <c r="G860" t="s">
        <v>45</v>
      </c>
      <c r="H860" t="s">
        <v>159</v>
      </c>
      <c r="I860" t="s">
        <v>1750</v>
      </c>
      <c r="J860">
        <v>8</v>
      </c>
      <c r="K860" s="2">
        <v>2688.13</v>
      </c>
      <c r="L860">
        <v>15</v>
      </c>
      <c r="M860" s="2">
        <v>18279.28</v>
      </c>
      <c r="N860" s="2">
        <v>11255.94</v>
      </c>
      <c r="O860" s="2">
        <v>7023.34</v>
      </c>
      <c r="P860" t="s">
        <v>27</v>
      </c>
      <c r="Q860" t="s">
        <v>61</v>
      </c>
    </row>
    <row r="861" spans="1:17" x14ac:dyDescent="0.3">
      <c r="A861" t="s">
        <v>1751</v>
      </c>
      <c r="B861" s="1">
        <v>46005</v>
      </c>
      <c r="C861" t="s">
        <v>86</v>
      </c>
      <c r="D861" t="s">
        <v>90</v>
      </c>
      <c r="E861" t="s">
        <v>120</v>
      </c>
      <c r="F861" t="s">
        <v>31</v>
      </c>
      <c r="G861" t="s">
        <v>24</v>
      </c>
      <c r="H861" t="s">
        <v>32</v>
      </c>
      <c r="I861" t="s">
        <v>1752</v>
      </c>
      <c r="J861">
        <v>4</v>
      </c>
      <c r="K861" s="2">
        <v>725.08</v>
      </c>
      <c r="L861">
        <v>15</v>
      </c>
      <c r="M861" s="2">
        <v>2465.27</v>
      </c>
      <c r="N861" s="2">
        <v>1466.1</v>
      </c>
      <c r="O861" s="2">
        <v>999.17</v>
      </c>
      <c r="P861" t="s">
        <v>41</v>
      </c>
      <c r="Q861" t="s">
        <v>42</v>
      </c>
    </row>
    <row r="862" spans="1:17" x14ac:dyDescent="0.3">
      <c r="A862" t="s">
        <v>1753</v>
      </c>
      <c r="B862" s="1">
        <v>45778</v>
      </c>
      <c r="C862" t="s">
        <v>35</v>
      </c>
      <c r="D862" t="s">
        <v>36</v>
      </c>
      <c r="E862" t="s">
        <v>66</v>
      </c>
      <c r="F862" t="s">
        <v>37</v>
      </c>
      <c r="G862" t="s">
        <v>45</v>
      </c>
      <c r="H862" t="s">
        <v>67</v>
      </c>
      <c r="I862" t="s">
        <v>1754</v>
      </c>
      <c r="J862">
        <v>1</v>
      </c>
      <c r="K862" s="2">
        <v>2323.4499999999998</v>
      </c>
      <c r="L862">
        <v>5</v>
      </c>
      <c r="M862" s="2">
        <v>2207.2800000000002</v>
      </c>
      <c r="N862" s="2">
        <v>1239.52</v>
      </c>
      <c r="O862" s="2">
        <v>967.76</v>
      </c>
      <c r="P862" t="s">
        <v>48</v>
      </c>
      <c r="Q862" t="s">
        <v>28</v>
      </c>
    </row>
    <row r="863" spans="1:17" x14ac:dyDescent="0.3">
      <c r="A863" t="s">
        <v>1755</v>
      </c>
      <c r="B863" s="1">
        <v>45861</v>
      </c>
      <c r="C863" t="s">
        <v>86</v>
      </c>
      <c r="D863" t="s">
        <v>90</v>
      </c>
      <c r="E863" t="s">
        <v>66</v>
      </c>
      <c r="F863" t="s">
        <v>37</v>
      </c>
      <c r="G863" t="s">
        <v>38</v>
      </c>
      <c r="H863" t="s">
        <v>72</v>
      </c>
      <c r="I863" t="s">
        <v>1756</v>
      </c>
      <c r="J863">
        <v>9</v>
      </c>
      <c r="K863" s="2">
        <v>3391.65</v>
      </c>
      <c r="L863">
        <v>10</v>
      </c>
      <c r="M863" s="2">
        <v>27472.37</v>
      </c>
      <c r="N863" s="2">
        <v>22525.200000000001</v>
      </c>
      <c r="O863" s="2">
        <v>4947.17</v>
      </c>
      <c r="P863" t="s">
        <v>41</v>
      </c>
      <c r="Q863" t="s">
        <v>42</v>
      </c>
    </row>
    <row r="864" spans="1:17" x14ac:dyDescent="0.3">
      <c r="A864" t="s">
        <v>1757</v>
      </c>
      <c r="B864" s="1">
        <v>45718</v>
      </c>
      <c r="C864" t="s">
        <v>20</v>
      </c>
      <c r="D864" t="s">
        <v>21</v>
      </c>
      <c r="E864" t="s">
        <v>30</v>
      </c>
      <c r="F864" t="s">
        <v>37</v>
      </c>
      <c r="G864" t="s">
        <v>45</v>
      </c>
      <c r="H864" t="s">
        <v>52</v>
      </c>
      <c r="I864" t="s">
        <v>1758</v>
      </c>
      <c r="J864">
        <v>12</v>
      </c>
      <c r="K864" s="2">
        <v>1317.04</v>
      </c>
      <c r="L864">
        <v>15</v>
      </c>
      <c r="M864" s="2">
        <v>13433.81</v>
      </c>
      <c r="N864" s="2">
        <v>9749.26</v>
      </c>
      <c r="O864" s="2">
        <v>3684.55</v>
      </c>
      <c r="P864" t="s">
        <v>48</v>
      </c>
      <c r="Q864" t="s">
        <v>49</v>
      </c>
    </row>
    <row r="865" spans="1:17" x14ac:dyDescent="0.3">
      <c r="A865" t="s">
        <v>1759</v>
      </c>
      <c r="B865" s="1">
        <v>45675</v>
      </c>
      <c r="C865" t="s">
        <v>86</v>
      </c>
      <c r="D865" t="s">
        <v>90</v>
      </c>
      <c r="E865" t="s">
        <v>44</v>
      </c>
      <c r="F865" t="s">
        <v>31</v>
      </c>
      <c r="G865" t="s">
        <v>45</v>
      </c>
      <c r="H865" t="s">
        <v>46</v>
      </c>
      <c r="I865" t="s">
        <v>1760</v>
      </c>
      <c r="J865">
        <v>4</v>
      </c>
      <c r="K865" s="2">
        <v>2552.92</v>
      </c>
      <c r="L865">
        <v>20</v>
      </c>
      <c r="M865" s="2">
        <v>8169.34</v>
      </c>
      <c r="N865" s="2">
        <v>5510.51</v>
      </c>
      <c r="O865" s="2">
        <v>2658.83</v>
      </c>
      <c r="P865" t="s">
        <v>41</v>
      </c>
      <c r="Q865" t="s">
        <v>61</v>
      </c>
    </row>
    <row r="866" spans="1:17" x14ac:dyDescent="0.3">
      <c r="A866" t="s">
        <v>1761</v>
      </c>
      <c r="B866" s="1">
        <v>45852</v>
      </c>
      <c r="C866" t="s">
        <v>70</v>
      </c>
      <c r="D866" t="s">
        <v>71</v>
      </c>
      <c r="E866" t="s">
        <v>22</v>
      </c>
      <c r="F866" t="s">
        <v>37</v>
      </c>
      <c r="G866" t="s">
        <v>38</v>
      </c>
      <c r="H866" t="s">
        <v>72</v>
      </c>
      <c r="I866" t="s">
        <v>1762</v>
      </c>
      <c r="J866">
        <v>15</v>
      </c>
      <c r="K866" s="2">
        <v>1721.11</v>
      </c>
      <c r="L866">
        <v>10</v>
      </c>
      <c r="M866" s="2">
        <v>23234.98</v>
      </c>
      <c r="N866" s="2">
        <v>16760.939999999999</v>
      </c>
      <c r="O866" s="2">
        <v>6474.04</v>
      </c>
      <c r="P866" t="s">
        <v>41</v>
      </c>
      <c r="Q866" t="s">
        <v>61</v>
      </c>
    </row>
    <row r="867" spans="1:17" x14ac:dyDescent="0.3">
      <c r="A867" t="s">
        <v>1763</v>
      </c>
      <c r="B867" s="1">
        <v>45933</v>
      </c>
      <c r="C867" t="s">
        <v>86</v>
      </c>
      <c r="D867" t="s">
        <v>90</v>
      </c>
      <c r="E867" t="s">
        <v>170</v>
      </c>
      <c r="F867" t="s">
        <v>23</v>
      </c>
      <c r="G867" t="s">
        <v>45</v>
      </c>
      <c r="H867" t="s">
        <v>123</v>
      </c>
      <c r="I867" t="s">
        <v>1764</v>
      </c>
      <c r="J867">
        <v>5</v>
      </c>
      <c r="K867" s="2">
        <v>3979.88</v>
      </c>
      <c r="L867">
        <v>5</v>
      </c>
      <c r="M867" s="2">
        <v>18904.43</v>
      </c>
      <c r="N867" s="2">
        <v>11340.21</v>
      </c>
      <c r="O867" s="2">
        <v>7564.22</v>
      </c>
      <c r="P867" t="s">
        <v>48</v>
      </c>
      <c r="Q867" t="s">
        <v>49</v>
      </c>
    </row>
    <row r="868" spans="1:17" x14ac:dyDescent="0.3">
      <c r="A868" t="s">
        <v>1765</v>
      </c>
      <c r="B868" s="1">
        <v>45778</v>
      </c>
      <c r="C868" t="s">
        <v>86</v>
      </c>
      <c r="D868" t="s">
        <v>90</v>
      </c>
      <c r="E868" t="s">
        <v>22</v>
      </c>
      <c r="F868" t="s">
        <v>23</v>
      </c>
      <c r="G868" t="s">
        <v>45</v>
      </c>
      <c r="H868" t="s">
        <v>46</v>
      </c>
      <c r="I868" t="s">
        <v>1766</v>
      </c>
      <c r="J868">
        <v>9</v>
      </c>
      <c r="K868" s="2">
        <v>2585.0300000000002</v>
      </c>
      <c r="L868">
        <v>15</v>
      </c>
      <c r="M868" s="2">
        <v>19775.48</v>
      </c>
      <c r="N868" s="2">
        <v>15366.1</v>
      </c>
      <c r="O868" s="2">
        <v>4409.38</v>
      </c>
      <c r="P868" t="s">
        <v>27</v>
      </c>
      <c r="Q868" t="s">
        <v>49</v>
      </c>
    </row>
    <row r="869" spans="1:17" x14ac:dyDescent="0.3">
      <c r="A869" t="s">
        <v>1767</v>
      </c>
      <c r="B869" s="1">
        <v>46144</v>
      </c>
      <c r="C869" t="s">
        <v>20</v>
      </c>
      <c r="D869" t="s">
        <v>21</v>
      </c>
      <c r="E869" t="s">
        <v>170</v>
      </c>
      <c r="F869" t="s">
        <v>23</v>
      </c>
      <c r="G869" t="s">
        <v>45</v>
      </c>
      <c r="H869" t="s">
        <v>123</v>
      </c>
      <c r="I869" t="s">
        <v>371</v>
      </c>
      <c r="J869">
        <v>6</v>
      </c>
      <c r="K869" s="2">
        <v>3107.23</v>
      </c>
      <c r="L869">
        <v>5</v>
      </c>
      <c r="M869" s="2">
        <v>17711.21</v>
      </c>
      <c r="N869" s="2">
        <v>13613.49</v>
      </c>
      <c r="O869" s="2">
        <v>4097.72</v>
      </c>
      <c r="P869" t="s">
        <v>27</v>
      </c>
      <c r="Q869" t="s">
        <v>28</v>
      </c>
    </row>
    <row r="870" spans="1:17" x14ac:dyDescent="0.3">
      <c r="A870" t="s">
        <v>1768</v>
      </c>
      <c r="B870" s="1">
        <v>45989</v>
      </c>
      <c r="C870" t="s">
        <v>86</v>
      </c>
      <c r="D870" t="s">
        <v>90</v>
      </c>
      <c r="E870" t="s">
        <v>30</v>
      </c>
      <c r="F870" t="s">
        <v>23</v>
      </c>
      <c r="G870" t="s">
        <v>24</v>
      </c>
      <c r="H870" t="s">
        <v>171</v>
      </c>
      <c r="I870" t="s">
        <v>1769</v>
      </c>
      <c r="J870">
        <v>1</v>
      </c>
      <c r="K870" s="2">
        <v>1040.3699999999999</v>
      </c>
      <c r="L870">
        <v>0</v>
      </c>
      <c r="M870" s="2">
        <v>1040.3699999999999</v>
      </c>
      <c r="N870" s="2">
        <v>729.68</v>
      </c>
      <c r="O870" s="2">
        <v>310.69</v>
      </c>
      <c r="P870" t="s">
        <v>27</v>
      </c>
      <c r="Q870" t="s">
        <v>28</v>
      </c>
    </row>
    <row r="871" spans="1:17" x14ac:dyDescent="0.3">
      <c r="A871" t="s">
        <v>1770</v>
      </c>
      <c r="B871" s="1">
        <v>45847</v>
      </c>
      <c r="C871" t="s">
        <v>86</v>
      </c>
      <c r="D871" t="s">
        <v>90</v>
      </c>
      <c r="E871" t="s">
        <v>113</v>
      </c>
      <c r="F871" t="s">
        <v>23</v>
      </c>
      <c r="G871" t="s">
        <v>38</v>
      </c>
      <c r="H871" t="s">
        <v>72</v>
      </c>
      <c r="I871" t="s">
        <v>1771</v>
      </c>
      <c r="J871">
        <v>7</v>
      </c>
      <c r="K871" s="2">
        <v>868.05</v>
      </c>
      <c r="L871">
        <v>10</v>
      </c>
      <c r="M871" s="2">
        <v>5468.71</v>
      </c>
      <c r="N871" s="2">
        <v>3092.18</v>
      </c>
      <c r="O871" s="2">
        <v>2376.5300000000002</v>
      </c>
      <c r="P871" t="s">
        <v>48</v>
      </c>
      <c r="Q871" t="s">
        <v>28</v>
      </c>
    </row>
    <row r="872" spans="1:17" x14ac:dyDescent="0.3">
      <c r="A872" t="s">
        <v>1772</v>
      </c>
      <c r="B872" s="1">
        <v>46079</v>
      </c>
      <c r="C872" t="s">
        <v>35</v>
      </c>
      <c r="D872" t="s">
        <v>36</v>
      </c>
      <c r="E872" t="s">
        <v>170</v>
      </c>
      <c r="F872" t="s">
        <v>23</v>
      </c>
      <c r="G872" t="s">
        <v>24</v>
      </c>
      <c r="H872" t="s">
        <v>56</v>
      </c>
      <c r="I872" t="s">
        <v>1773</v>
      </c>
      <c r="J872">
        <v>13</v>
      </c>
      <c r="K872" s="2">
        <v>4391.58</v>
      </c>
      <c r="L872">
        <v>5</v>
      </c>
      <c r="M872" s="2">
        <v>54236.01</v>
      </c>
      <c r="N872" s="2">
        <v>35121.39</v>
      </c>
      <c r="O872" s="2">
        <v>19114.62</v>
      </c>
      <c r="P872" t="s">
        <v>27</v>
      </c>
      <c r="Q872" t="s">
        <v>28</v>
      </c>
    </row>
    <row r="873" spans="1:17" x14ac:dyDescent="0.3">
      <c r="A873" t="s">
        <v>1774</v>
      </c>
      <c r="B873" s="1">
        <v>45740</v>
      </c>
      <c r="C873" t="s">
        <v>70</v>
      </c>
      <c r="D873" t="s">
        <v>71</v>
      </c>
      <c r="E873" t="s">
        <v>51</v>
      </c>
      <c r="F873" t="s">
        <v>23</v>
      </c>
      <c r="G873" t="s">
        <v>45</v>
      </c>
      <c r="H873" t="s">
        <v>159</v>
      </c>
      <c r="I873" t="s">
        <v>1775</v>
      </c>
      <c r="J873">
        <v>6</v>
      </c>
      <c r="K873" s="2">
        <v>4464.59</v>
      </c>
      <c r="L873">
        <v>10</v>
      </c>
      <c r="M873" s="2">
        <v>24108.79</v>
      </c>
      <c r="N873" s="2">
        <v>16349.04</v>
      </c>
      <c r="O873" s="2">
        <v>7759.75</v>
      </c>
      <c r="P873" t="s">
        <v>41</v>
      </c>
      <c r="Q873" t="s">
        <v>61</v>
      </c>
    </row>
    <row r="874" spans="1:17" x14ac:dyDescent="0.3">
      <c r="A874" t="s">
        <v>1776</v>
      </c>
      <c r="B874" s="1">
        <v>45957</v>
      </c>
      <c r="C874" t="s">
        <v>70</v>
      </c>
      <c r="D874" t="s">
        <v>71</v>
      </c>
      <c r="E874" t="s">
        <v>22</v>
      </c>
      <c r="F874" t="s">
        <v>37</v>
      </c>
      <c r="G874" t="s">
        <v>24</v>
      </c>
      <c r="H874" t="s">
        <v>25</v>
      </c>
      <c r="I874" t="s">
        <v>1777</v>
      </c>
      <c r="J874">
        <v>2</v>
      </c>
      <c r="K874" s="2">
        <v>757.31</v>
      </c>
      <c r="L874">
        <v>5</v>
      </c>
      <c r="M874" s="2">
        <v>1438.89</v>
      </c>
      <c r="N874" s="2">
        <v>1083.3399999999999</v>
      </c>
      <c r="O874" s="2">
        <v>355.55</v>
      </c>
      <c r="P874" t="s">
        <v>27</v>
      </c>
      <c r="Q874" t="s">
        <v>61</v>
      </c>
    </row>
    <row r="875" spans="1:17" x14ac:dyDescent="0.3">
      <c r="A875" t="s">
        <v>1778</v>
      </c>
      <c r="B875" s="1">
        <v>45970</v>
      </c>
      <c r="C875" t="s">
        <v>70</v>
      </c>
      <c r="D875" t="s">
        <v>75</v>
      </c>
      <c r="E875" t="s">
        <v>113</v>
      </c>
      <c r="F875" t="s">
        <v>37</v>
      </c>
      <c r="G875" t="s">
        <v>24</v>
      </c>
      <c r="H875" t="s">
        <v>25</v>
      </c>
      <c r="I875" t="s">
        <v>1779</v>
      </c>
      <c r="J875">
        <v>10</v>
      </c>
      <c r="K875" s="2">
        <v>2806.68</v>
      </c>
      <c r="L875">
        <v>5</v>
      </c>
      <c r="M875" s="2">
        <v>26663.46</v>
      </c>
      <c r="N875" s="2">
        <v>21161.66</v>
      </c>
      <c r="O875" s="2">
        <v>5501.8</v>
      </c>
      <c r="P875" t="s">
        <v>41</v>
      </c>
      <c r="Q875" t="s">
        <v>49</v>
      </c>
    </row>
    <row r="876" spans="1:17" x14ac:dyDescent="0.3">
      <c r="A876" t="s">
        <v>1780</v>
      </c>
      <c r="B876" s="1">
        <v>45694</v>
      </c>
      <c r="C876" t="s">
        <v>35</v>
      </c>
      <c r="D876" t="s">
        <v>59</v>
      </c>
      <c r="E876" t="s">
        <v>170</v>
      </c>
      <c r="F876" t="s">
        <v>31</v>
      </c>
      <c r="G876" t="s">
        <v>38</v>
      </c>
      <c r="H876" t="s">
        <v>39</v>
      </c>
      <c r="I876" t="s">
        <v>1781</v>
      </c>
      <c r="J876">
        <v>8</v>
      </c>
      <c r="K876" s="2">
        <v>3642.33</v>
      </c>
      <c r="L876">
        <v>15</v>
      </c>
      <c r="M876" s="2">
        <v>24767.84</v>
      </c>
      <c r="N876" s="2">
        <v>13640.9</v>
      </c>
      <c r="O876" s="2">
        <v>11126.94</v>
      </c>
      <c r="P876" t="s">
        <v>48</v>
      </c>
      <c r="Q876" t="s">
        <v>61</v>
      </c>
    </row>
    <row r="877" spans="1:17" x14ac:dyDescent="0.3">
      <c r="A877" t="s">
        <v>1782</v>
      </c>
      <c r="B877" s="1">
        <v>45859</v>
      </c>
      <c r="C877" t="s">
        <v>86</v>
      </c>
      <c r="D877" t="s">
        <v>87</v>
      </c>
      <c r="E877" t="s">
        <v>30</v>
      </c>
      <c r="F877" t="s">
        <v>37</v>
      </c>
      <c r="G877" t="s">
        <v>24</v>
      </c>
      <c r="H877" t="s">
        <v>32</v>
      </c>
      <c r="I877" t="s">
        <v>1783</v>
      </c>
      <c r="J877">
        <v>15</v>
      </c>
      <c r="K877" s="2">
        <v>2235.4499999999998</v>
      </c>
      <c r="L877">
        <v>20</v>
      </c>
      <c r="M877" s="2">
        <v>26825.4</v>
      </c>
      <c r="N877" s="2">
        <v>18973.939999999999</v>
      </c>
      <c r="O877" s="2">
        <v>7851.46</v>
      </c>
      <c r="P877" t="s">
        <v>41</v>
      </c>
      <c r="Q877" t="s">
        <v>42</v>
      </c>
    </row>
    <row r="878" spans="1:17" x14ac:dyDescent="0.3">
      <c r="A878" t="s">
        <v>1784</v>
      </c>
      <c r="B878" s="1">
        <v>45877</v>
      </c>
      <c r="C878" t="s">
        <v>86</v>
      </c>
      <c r="D878" t="s">
        <v>90</v>
      </c>
      <c r="E878" t="s">
        <v>170</v>
      </c>
      <c r="F878" t="s">
        <v>37</v>
      </c>
      <c r="G878" t="s">
        <v>45</v>
      </c>
      <c r="H878" t="s">
        <v>46</v>
      </c>
      <c r="I878" t="s">
        <v>1785</v>
      </c>
      <c r="J878">
        <v>9</v>
      </c>
      <c r="K878" s="2">
        <v>368.61</v>
      </c>
      <c r="L878">
        <v>15</v>
      </c>
      <c r="M878" s="2">
        <v>2819.87</v>
      </c>
      <c r="N878" s="2">
        <v>1964.51</v>
      </c>
      <c r="O878" s="2">
        <v>855.36</v>
      </c>
      <c r="P878" t="s">
        <v>27</v>
      </c>
      <c r="Q878" t="s">
        <v>28</v>
      </c>
    </row>
    <row r="879" spans="1:17" x14ac:dyDescent="0.3">
      <c r="A879" t="s">
        <v>1786</v>
      </c>
      <c r="B879" s="1">
        <v>45795</v>
      </c>
      <c r="C879" t="s">
        <v>70</v>
      </c>
      <c r="D879" t="s">
        <v>71</v>
      </c>
      <c r="E879" t="s">
        <v>170</v>
      </c>
      <c r="F879" t="s">
        <v>23</v>
      </c>
      <c r="G879" t="s">
        <v>45</v>
      </c>
      <c r="H879" t="s">
        <v>123</v>
      </c>
      <c r="I879" t="s">
        <v>1787</v>
      </c>
      <c r="J879">
        <v>2</v>
      </c>
      <c r="K879" s="2">
        <v>1023.68</v>
      </c>
      <c r="L879">
        <v>0</v>
      </c>
      <c r="M879" s="2">
        <v>2047.36</v>
      </c>
      <c r="N879" s="2">
        <v>1204.04</v>
      </c>
      <c r="O879" s="2">
        <v>843.32</v>
      </c>
      <c r="P879" t="s">
        <v>41</v>
      </c>
      <c r="Q879" t="s">
        <v>42</v>
      </c>
    </row>
    <row r="880" spans="1:17" x14ac:dyDescent="0.3">
      <c r="A880" t="s">
        <v>1788</v>
      </c>
      <c r="B880" s="1">
        <v>45861</v>
      </c>
      <c r="C880" t="s">
        <v>70</v>
      </c>
      <c r="D880" t="s">
        <v>75</v>
      </c>
      <c r="E880" t="s">
        <v>113</v>
      </c>
      <c r="F880" t="s">
        <v>23</v>
      </c>
      <c r="G880" t="s">
        <v>24</v>
      </c>
      <c r="H880" t="s">
        <v>134</v>
      </c>
      <c r="I880" t="s">
        <v>417</v>
      </c>
      <c r="J880">
        <v>14</v>
      </c>
      <c r="K880" s="2">
        <v>3690.87</v>
      </c>
      <c r="L880">
        <v>15</v>
      </c>
      <c r="M880" s="2">
        <v>43921.35</v>
      </c>
      <c r="N880" s="2">
        <v>29602.15</v>
      </c>
      <c r="O880" s="2">
        <v>14319.2</v>
      </c>
      <c r="P880" t="s">
        <v>48</v>
      </c>
      <c r="Q880" t="s">
        <v>49</v>
      </c>
    </row>
    <row r="881" spans="1:17" x14ac:dyDescent="0.3">
      <c r="A881" t="s">
        <v>1789</v>
      </c>
      <c r="B881" s="1">
        <v>46038</v>
      </c>
      <c r="C881" t="s">
        <v>70</v>
      </c>
      <c r="D881" t="s">
        <v>71</v>
      </c>
      <c r="E881" t="s">
        <v>66</v>
      </c>
      <c r="F881" t="s">
        <v>37</v>
      </c>
      <c r="G881" t="s">
        <v>45</v>
      </c>
      <c r="H881" t="s">
        <v>123</v>
      </c>
      <c r="I881" t="s">
        <v>1790</v>
      </c>
      <c r="J881">
        <v>14</v>
      </c>
      <c r="K881" s="2">
        <v>793.21</v>
      </c>
      <c r="L881">
        <v>0</v>
      </c>
      <c r="M881" s="2">
        <v>11104.94</v>
      </c>
      <c r="N881" s="2">
        <v>6345.26</v>
      </c>
      <c r="O881" s="2">
        <v>4759.68</v>
      </c>
      <c r="P881" t="s">
        <v>48</v>
      </c>
      <c r="Q881" t="s">
        <v>61</v>
      </c>
    </row>
    <row r="882" spans="1:17" x14ac:dyDescent="0.3">
      <c r="A882" t="s">
        <v>1791</v>
      </c>
      <c r="B882" s="1">
        <v>45973</v>
      </c>
      <c r="C882" t="s">
        <v>70</v>
      </c>
      <c r="D882" t="s">
        <v>75</v>
      </c>
      <c r="E882" t="s">
        <v>44</v>
      </c>
      <c r="F882" t="s">
        <v>23</v>
      </c>
      <c r="G882" t="s">
        <v>24</v>
      </c>
      <c r="H882" t="s">
        <v>25</v>
      </c>
      <c r="I882" t="s">
        <v>1792</v>
      </c>
      <c r="J882">
        <v>15</v>
      </c>
      <c r="K882" s="2">
        <v>3660.46</v>
      </c>
      <c r="L882">
        <v>0</v>
      </c>
      <c r="M882" s="2">
        <v>54906.9</v>
      </c>
      <c r="N882" s="2">
        <v>36877.31</v>
      </c>
      <c r="O882" s="2">
        <v>18029.59</v>
      </c>
      <c r="P882" t="s">
        <v>48</v>
      </c>
      <c r="Q882" t="s">
        <v>28</v>
      </c>
    </row>
    <row r="883" spans="1:17" x14ac:dyDescent="0.3">
      <c r="A883" t="s">
        <v>1793</v>
      </c>
      <c r="B883" s="1">
        <v>45741</v>
      </c>
      <c r="C883" t="s">
        <v>35</v>
      </c>
      <c r="D883" t="s">
        <v>59</v>
      </c>
      <c r="E883" t="s">
        <v>22</v>
      </c>
      <c r="F883" t="s">
        <v>23</v>
      </c>
      <c r="G883" t="s">
        <v>38</v>
      </c>
      <c r="H883" t="s">
        <v>63</v>
      </c>
      <c r="I883" t="s">
        <v>1794</v>
      </c>
      <c r="J883">
        <v>5</v>
      </c>
      <c r="K883" s="2">
        <v>3542.73</v>
      </c>
      <c r="L883">
        <v>10</v>
      </c>
      <c r="M883" s="2">
        <v>15942.29</v>
      </c>
      <c r="N883" s="2">
        <v>9049.51</v>
      </c>
      <c r="O883" s="2">
        <v>6892.78</v>
      </c>
      <c r="P883" t="s">
        <v>48</v>
      </c>
      <c r="Q883" t="s">
        <v>61</v>
      </c>
    </row>
    <row r="884" spans="1:17" x14ac:dyDescent="0.3">
      <c r="A884" t="s">
        <v>1795</v>
      </c>
      <c r="B884" s="1">
        <v>45885</v>
      </c>
      <c r="C884" t="s">
        <v>20</v>
      </c>
      <c r="D884" t="s">
        <v>55</v>
      </c>
      <c r="E884" t="s">
        <v>51</v>
      </c>
      <c r="F884" t="s">
        <v>37</v>
      </c>
      <c r="G884" t="s">
        <v>45</v>
      </c>
      <c r="H884" t="s">
        <v>67</v>
      </c>
      <c r="I884" t="s">
        <v>1796</v>
      </c>
      <c r="J884">
        <v>8</v>
      </c>
      <c r="K884" s="2">
        <v>3033.64</v>
      </c>
      <c r="L884">
        <v>20</v>
      </c>
      <c r="M884" s="2">
        <v>19415.3</v>
      </c>
      <c r="N884" s="2">
        <v>13986.69</v>
      </c>
      <c r="O884" s="2">
        <v>5428.61</v>
      </c>
      <c r="P884" t="s">
        <v>41</v>
      </c>
      <c r="Q884" t="s">
        <v>28</v>
      </c>
    </row>
    <row r="885" spans="1:17" x14ac:dyDescent="0.3">
      <c r="A885" t="s">
        <v>1797</v>
      </c>
      <c r="B885" s="1">
        <v>46125</v>
      </c>
      <c r="C885" t="s">
        <v>35</v>
      </c>
      <c r="D885" t="s">
        <v>59</v>
      </c>
      <c r="E885" t="s">
        <v>44</v>
      </c>
      <c r="F885" t="s">
        <v>31</v>
      </c>
      <c r="G885" t="s">
        <v>45</v>
      </c>
      <c r="H885" t="s">
        <v>46</v>
      </c>
      <c r="I885" t="s">
        <v>1798</v>
      </c>
      <c r="J885">
        <v>7</v>
      </c>
      <c r="K885" s="2">
        <v>2665.79</v>
      </c>
      <c r="L885">
        <v>5</v>
      </c>
      <c r="M885" s="2">
        <v>17727.5</v>
      </c>
      <c r="N885" s="2">
        <v>11187.44</v>
      </c>
      <c r="O885" s="2">
        <v>6540.06</v>
      </c>
      <c r="P885" t="s">
        <v>41</v>
      </c>
      <c r="Q885" t="s">
        <v>49</v>
      </c>
    </row>
    <row r="886" spans="1:17" x14ac:dyDescent="0.3">
      <c r="A886" t="s">
        <v>1799</v>
      </c>
      <c r="B886" s="1">
        <v>45764</v>
      </c>
      <c r="C886" t="s">
        <v>70</v>
      </c>
      <c r="D886" t="s">
        <v>75</v>
      </c>
      <c r="E886" t="s">
        <v>44</v>
      </c>
      <c r="F886" t="s">
        <v>23</v>
      </c>
      <c r="G886" t="s">
        <v>38</v>
      </c>
      <c r="H886" t="s">
        <v>72</v>
      </c>
      <c r="I886" t="s">
        <v>1800</v>
      </c>
      <c r="J886">
        <v>12</v>
      </c>
      <c r="K886" s="2">
        <v>593.89</v>
      </c>
      <c r="L886">
        <v>5</v>
      </c>
      <c r="M886" s="2">
        <v>6770.35</v>
      </c>
      <c r="N886" s="2">
        <v>4824.66</v>
      </c>
      <c r="O886" s="2">
        <v>1945.69</v>
      </c>
      <c r="P886" t="s">
        <v>27</v>
      </c>
      <c r="Q886" t="s">
        <v>61</v>
      </c>
    </row>
    <row r="887" spans="1:17" x14ac:dyDescent="0.3">
      <c r="A887" t="s">
        <v>1801</v>
      </c>
      <c r="B887" s="1">
        <v>46047</v>
      </c>
      <c r="C887" t="s">
        <v>70</v>
      </c>
      <c r="D887" t="s">
        <v>75</v>
      </c>
      <c r="E887" t="s">
        <v>66</v>
      </c>
      <c r="F887" t="s">
        <v>37</v>
      </c>
      <c r="G887" t="s">
        <v>38</v>
      </c>
      <c r="H887" t="s">
        <v>91</v>
      </c>
      <c r="I887" t="s">
        <v>1802</v>
      </c>
      <c r="J887">
        <v>9</v>
      </c>
      <c r="K887" s="2">
        <v>2523.89</v>
      </c>
      <c r="L887">
        <v>0</v>
      </c>
      <c r="M887" s="2">
        <v>22715.01</v>
      </c>
      <c r="N887" s="2">
        <v>17320.009999999998</v>
      </c>
      <c r="O887" s="2">
        <v>5395</v>
      </c>
      <c r="P887" t="s">
        <v>48</v>
      </c>
      <c r="Q887" t="s">
        <v>28</v>
      </c>
    </row>
    <row r="888" spans="1:17" x14ac:dyDescent="0.3">
      <c r="A888" t="s">
        <v>1803</v>
      </c>
      <c r="B888" s="1">
        <v>45872</v>
      </c>
      <c r="C888" t="s">
        <v>35</v>
      </c>
      <c r="D888" t="s">
        <v>59</v>
      </c>
      <c r="E888" t="s">
        <v>44</v>
      </c>
      <c r="F888" t="s">
        <v>31</v>
      </c>
      <c r="G888" t="s">
        <v>45</v>
      </c>
      <c r="H888" t="s">
        <v>46</v>
      </c>
      <c r="I888" t="s">
        <v>1804</v>
      </c>
      <c r="J888">
        <v>1</v>
      </c>
      <c r="K888" s="2">
        <v>1750.65</v>
      </c>
      <c r="L888">
        <v>15</v>
      </c>
      <c r="M888" s="2">
        <v>1488.05</v>
      </c>
      <c r="N888" s="2">
        <v>1202.5</v>
      </c>
      <c r="O888" s="2">
        <v>285.55</v>
      </c>
      <c r="P888" t="s">
        <v>48</v>
      </c>
      <c r="Q888" t="s">
        <v>49</v>
      </c>
    </row>
    <row r="889" spans="1:17" x14ac:dyDescent="0.3">
      <c r="A889" t="s">
        <v>1805</v>
      </c>
      <c r="B889" s="1">
        <v>45955</v>
      </c>
      <c r="C889" t="s">
        <v>70</v>
      </c>
      <c r="D889" t="s">
        <v>75</v>
      </c>
      <c r="E889" t="s">
        <v>170</v>
      </c>
      <c r="F889" t="s">
        <v>23</v>
      </c>
      <c r="G889" t="s">
        <v>38</v>
      </c>
      <c r="H889" t="s">
        <v>91</v>
      </c>
      <c r="I889" t="s">
        <v>1806</v>
      </c>
      <c r="J889">
        <v>4</v>
      </c>
      <c r="K889" s="2">
        <v>909.74</v>
      </c>
      <c r="L889">
        <v>0</v>
      </c>
      <c r="M889" s="2">
        <v>3638.96</v>
      </c>
      <c r="N889" s="2">
        <v>2505.44</v>
      </c>
      <c r="O889" s="2">
        <v>1133.52</v>
      </c>
      <c r="P889" t="s">
        <v>27</v>
      </c>
      <c r="Q889" t="s">
        <v>28</v>
      </c>
    </row>
    <row r="890" spans="1:17" x14ac:dyDescent="0.3">
      <c r="A890" t="s">
        <v>1807</v>
      </c>
      <c r="B890" s="1">
        <v>45957</v>
      </c>
      <c r="C890" t="s">
        <v>70</v>
      </c>
      <c r="D890" t="s">
        <v>71</v>
      </c>
      <c r="E890" t="s">
        <v>30</v>
      </c>
      <c r="F890" t="s">
        <v>37</v>
      </c>
      <c r="G890" t="s">
        <v>45</v>
      </c>
      <c r="H890" t="s">
        <v>159</v>
      </c>
      <c r="I890" t="s">
        <v>1808</v>
      </c>
      <c r="J890">
        <v>8</v>
      </c>
      <c r="K890" s="2">
        <v>3096.64</v>
      </c>
      <c r="L890">
        <v>20</v>
      </c>
      <c r="M890" s="2">
        <v>19818.5</v>
      </c>
      <c r="N890" s="2">
        <v>12369.44</v>
      </c>
      <c r="O890" s="2">
        <v>7449.06</v>
      </c>
      <c r="P890" t="s">
        <v>27</v>
      </c>
      <c r="Q890" t="s">
        <v>49</v>
      </c>
    </row>
    <row r="891" spans="1:17" x14ac:dyDescent="0.3">
      <c r="A891" t="s">
        <v>1809</v>
      </c>
      <c r="B891" s="1">
        <v>45838</v>
      </c>
      <c r="C891" t="s">
        <v>86</v>
      </c>
      <c r="D891" t="s">
        <v>87</v>
      </c>
      <c r="E891" t="s">
        <v>51</v>
      </c>
      <c r="F891" t="s">
        <v>31</v>
      </c>
      <c r="G891" t="s">
        <v>38</v>
      </c>
      <c r="H891" t="s">
        <v>106</v>
      </c>
      <c r="I891" t="s">
        <v>1810</v>
      </c>
      <c r="J891">
        <v>4</v>
      </c>
      <c r="K891" s="2">
        <v>1584.29</v>
      </c>
      <c r="L891">
        <v>20</v>
      </c>
      <c r="M891" s="2">
        <v>5069.7299999999996</v>
      </c>
      <c r="N891" s="2">
        <v>3554.23</v>
      </c>
      <c r="O891" s="2">
        <v>1515.5</v>
      </c>
      <c r="P891" t="s">
        <v>48</v>
      </c>
      <c r="Q891" t="s">
        <v>49</v>
      </c>
    </row>
    <row r="892" spans="1:17" x14ac:dyDescent="0.3">
      <c r="A892" t="s">
        <v>1811</v>
      </c>
      <c r="B892" s="1">
        <v>45971</v>
      </c>
      <c r="C892" t="s">
        <v>70</v>
      </c>
      <c r="D892" t="s">
        <v>71</v>
      </c>
      <c r="E892" t="s">
        <v>30</v>
      </c>
      <c r="F892" t="s">
        <v>37</v>
      </c>
      <c r="G892" t="s">
        <v>38</v>
      </c>
      <c r="H892" t="s">
        <v>63</v>
      </c>
      <c r="I892" t="s">
        <v>1812</v>
      </c>
      <c r="J892">
        <v>12</v>
      </c>
      <c r="K892" s="2">
        <v>4011.52</v>
      </c>
      <c r="L892">
        <v>5</v>
      </c>
      <c r="M892" s="2">
        <v>45731.33</v>
      </c>
      <c r="N892" s="2">
        <v>34730.5</v>
      </c>
      <c r="O892" s="2">
        <v>11000.83</v>
      </c>
      <c r="P892" t="s">
        <v>27</v>
      </c>
      <c r="Q892" t="s">
        <v>61</v>
      </c>
    </row>
    <row r="893" spans="1:17" x14ac:dyDescent="0.3">
      <c r="A893" t="s">
        <v>1813</v>
      </c>
      <c r="B893" s="1">
        <v>45789</v>
      </c>
      <c r="C893" t="s">
        <v>35</v>
      </c>
      <c r="D893" t="s">
        <v>36</v>
      </c>
      <c r="E893" t="s">
        <v>113</v>
      </c>
      <c r="F893" t="s">
        <v>31</v>
      </c>
      <c r="G893" t="s">
        <v>38</v>
      </c>
      <c r="H893" t="s">
        <v>106</v>
      </c>
      <c r="I893" t="s">
        <v>1814</v>
      </c>
      <c r="J893">
        <v>10</v>
      </c>
      <c r="K893" s="2">
        <v>4758.78</v>
      </c>
      <c r="L893">
        <v>5</v>
      </c>
      <c r="M893" s="2">
        <v>45208.41</v>
      </c>
      <c r="N893" s="2">
        <v>27667.21</v>
      </c>
      <c r="O893" s="2">
        <v>17541.2</v>
      </c>
      <c r="P893" t="s">
        <v>27</v>
      </c>
      <c r="Q893" t="s">
        <v>61</v>
      </c>
    </row>
    <row r="894" spans="1:17" x14ac:dyDescent="0.3">
      <c r="A894" t="s">
        <v>1815</v>
      </c>
      <c r="B894" s="1">
        <v>46052</v>
      </c>
      <c r="C894" t="s">
        <v>20</v>
      </c>
      <c r="D894" t="s">
        <v>55</v>
      </c>
      <c r="E894" t="s">
        <v>170</v>
      </c>
      <c r="F894" t="s">
        <v>37</v>
      </c>
      <c r="G894" t="s">
        <v>38</v>
      </c>
      <c r="H894" t="s">
        <v>63</v>
      </c>
      <c r="I894" t="s">
        <v>1816</v>
      </c>
      <c r="J894">
        <v>12</v>
      </c>
      <c r="K894" s="2">
        <v>1165.72</v>
      </c>
      <c r="L894">
        <v>0</v>
      </c>
      <c r="M894" s="2">
        <v>13988.64</v>
      </c>
      <c r="N894" s="2">
        <v>11112.68</v>
      </c>
      <c r="O894" s="2">
        <v>2875.96</v>
      </c>
      <c r="P894" t="s">
        <v>48</v>
      </c>
      <c r="Q894" t="s">
        <v>61</v>
      </c>
    </row>
    <row r="895" spans="1:17" x14ac:dyDescent="0.3">
      <c r="A895" t="s">
        <v>1817</v>
      </c>
      <c r="B895" s="1">
        <v>45977</v>
      </c>
      <c r="C895" t="s">
        <v>20</v>
      </c>
      <c r="D895" t="s">
        <v>21</v>
      </c>
      <c r="E895" t="s">
        <v>30</v>
      </c>
      <c r="F895" t="s">
        <v>37</v>
      </c>
      <c r="G895" t="s">
        <v>24</v>
      </c>
      <c r="H895" t="s">
        <v>56</v>
      </c>
      <c r="I895" t="s">
        <v>1818</v>
      </c>
      <c r="J895">
        <v>5</v>
      </c>
      <c r="K895" s="2">
        <v>3882.09</v>
      </c>
      <c r="L895">
        <v>15</v>
      </c>
      <c r="M895" s="2">
        <v>16498.88</v>
      </c>
      <c r="N895" s="2">
        <v>12269.95</v>
      </c>
      <c r="O895" s="2">
        <v>4228.93</v>
      </c>
      <c r="P895" t="s">
        <v>48</v>
      </c>
      <c r="Q895" t="s">
        <v>61</v>
      </c>
    </row>
    <row r="896" spans="1:17" x14ac:dyDescent="0.3">
      <c r="A896" t="s">
        <v>1819</v>
      </c>
      <c r="B896" s="1">
        <v>45771</v>
      </c>
      <c r="C896" t="s">
        <v>86</v>
      </c>
      <c r="D896" t="s">
        <v>90</v>
      </c>
      <c r="E896" t="s">
        <v>30</v>
      </c>
      <c r="F896" t="s">
        <v>37</v>
      </c>
      <c r="G896" t="s">
        <v>24</v>
      </c>
      <c r="H896" t="s">
        <v>56</v>
      </c>
      <c r="I896" t="s">
        <v>1820</v>
      </c>
      <c r="J896">
        <v>11</v>
      </c>
      <c r="K896" s="2">
        <v>1919.23</v>
      </c>
      <c r="L896">
        <v>5</v>
      </c>
      <c r="M896" s="2">
        <v>20055.95</v>
      </c>
      <c r="N896" s="2">
        <v>13984.48</v>
      </c>
      <c r="O896" s="2">
        <v>6071.47</v>
      </c>
      <c r="P896" t="s">
        <v>27</v>
      </c>
      <c r="Q896" t="s">
        <v>42</v>
      </c>
    </row>
    <row r="897" spans="1:17" x14ac:dyDescent="0.3">
      <c r="A897" t="s">
        <v>1821</v>
      </c>
      <c r="B897" s="1">
        <v>45761</v>
      </c>
      <c r="C897" t="s">
        <v>70</v>
      </c>
      <c r="D897" t="s">
        <v>75</v>
      </c>
      <c r="E897" t="s">
        <v>51</v>
      </c>
      <c r="F897" t="s">
        <v>37</v>
      </c>
      <c r="G897" t="s">
        <v>45</v>
      </c>
      <c r="H897" t="s">
        <v>67</v>
      </c>
      <c r="I897" t="s">
        <v>1822</v>
      </c>
      <c r="J897">
        <v>7</v>
      </c>
      <c r="K897" s="2">
        <v>3617.93</v>
      </c>
      <c r="L897">
        <v>5</v>
      </c>
      <c r="M897" s="2">
        <v>24059.23</v>
      </c>
      <c r="N897" s="2">
        <v>14150.19</v>
      </c>
      <c r="O897" s="2">
        <v>9909.0400000000009</v>
      </c>
      <c r="P897" t="s">
        <v>41</v>
      </c>
      <c r="Q897" t="s">
        <v>49</v>
      </c>
    </row>
    <row r="898" spans="1:17" x14ac:dyDescent="0.3">
      <c r="A898" t="s">
        <v>1823</v>
      </c>
      <c r="B898" s="1">
        <v>45931</v>
      </c>
      <c r="C898" t="s">
        <v>86</v>
      </c>
      <c r="D898" t="s">
        <v>87</v>
      </c>
      <c r="E898" t="s">
        <v>66</v>
      </c>
      <c r="F898" t="s">
        <v>37</v>
      </c>
      <c r="G898" t="s">
        <v>38</v>
      </c>
      <c r="H898" t="s">
        <v>72</v>
      </c>
      <c r="I898" t="s">
        <v>1824</v>
      </c>
      <c r="J898">
        <v>8</v>
      </c>
      <c r="K898" s="2">
        <v>3932.92</v>
      </c>
      <c r="L898">
        <v>0</v>
      </c>
      <c r="M898" s="2">
        <v>31463.360000000001</v>
      </c>
      <c r="N898" s="2">
        <v>20690.169999999998</v>
      </c>
      <c r="O898" s="2">
        <v>10773.19</v>
      </c>
      <c r="P898" t="s">
        <v>41</v>
      </c>
      <c r="Q898" t="s">
        <v>28</v>
      </c>
    </row>
    <row r="899" spans="1:17" x14ac:dyDescent="0.3">
      <c r="A899" t="s">
        <v>1825</v>
      </c>
      <c r="B899" s="1">
        <v>45671</v>
      </c>
      <c r="C899" t="s">
        <v>70</v>
      </c>
      <c r="D899" t="s">
        <v>75</v>
      </c>
      <c r="E899" t="s">
        <v>170</v>
      </c>
      <c r="F899" t="s">
        <v>37</v>
      </c>
      <c r="G899" t="s">
        <v>24</v>
      </c>
      <c r="H899" t="s">
        <v>25</v>
      </c>
      <c r="I899" t="s">
        <v>1826</v>
      </c>
      <c r="J899">
        <v>5</v>
      </c>
      <c r="K899" s="2">
        <v>2821.55</v>
      </c>
      <c r="L899">
        <v>10</v>
      </c>
      <c r="M899" s="2">
        <v>12696.98</v>
      </c>
      <c r="N899" s="2">
        <v>9244.84</v>
      </c>
      <c r="O899" s="2">
        <v>3452.14</v>
      </c>
      <c r="P899" t="s">
        <v>27</v>
      </c>
      <c r="Q899" t="s">
        <v>49</v>
      </c>
    </row>
    <row r="900" spans="1:17" x14ac:dyDescent="0.3">
      <c r="A900" t="s">
        <v>1827</v>
      </c>
      <c r="B900" s="1">
        <v>46156</v>
      </c>
      <c r="C900" t="s">
        <v>20</v>
      </c>
      <c r="D900" t="s">
        <v>55</v>
      </c>
      <c r="E900" t="s">
        <v>44</v>
      </c>
      <c r="F900" t="s">
        <v>23</v>
      </c>
      <c r="G900" t="s">
        <v>45</v>
      </c>
      <c r="H900" t="s">
        <v>52</v>
      </c>
      <c r="I900" t="s">
        <v>1828</v>
      </c>
      <c r="J900">
        <v>6</v>
      </c>
      <c r="K900" s="2">
        <v>2041.09</v>
      </c>
      <c r="L900">
        <v>15</v>
      </c>
      <c r="M900" s="2">
        <v>10409.56</v>
      </c>
      <c r="N900" s="2">
        <v>5744.77</v>
      </c>
      <c r="O900" s="2">
        <v>4664.79</v>
      </c>
      <c r="P900" t="s">
        <v>48</v>
      </c>
      <c r="Q900" t="s">
        <v>49</v>
      </c>
    </row>
    <row r="901" spans="1:17" x14ac:dyDescent="0.3">
      <c r="A901" t="s">
        <v>1829</v>
      </c>
      <c r="B901" s="1">
        <v>46132</v>
      </c>
      <c r="C901" t="s">
        <v>86</v>
      </c>
      <c r="D901" t="s">
        <v>87</v>
      </c>
      <c r="E901" t="s">
        <v>120</v>
      </c>
      <c r="F901" t="s">
        <v>23</v>
      </c>
      <c r="G901" t="s">
        <v>38</v>
      </c>
      <c r="H901" t="s">
        <v>106</v>
      </c>
      <c r="I901" t="s">
        <v>1830</v>
      </c>
      <c r="J901">
        <v>7</v>
      </c>
      <c r="K901" s="2">
        <v>594.51</v>
      </c>
      <c r="L901">
        <v>5</v>
      </c>
      <c r="M901" s="2">
        <v>3953.49</v>
      </c>
      <c r="N901" s="2">
        <v>2267.9</v>
      </c>
      <c r="O901" s="2">
        <v>1685.59</v>
      </c>
      <c r="P901" t="s">
        <v>27</v>
      </c>
      <c r="Q901" t="s">
        <v>61</v>
      </c>
    </row>
    <row r="902" spans="1:17" x14ac:dyDescent="0.3">
      <c r="A902" t="s">
        <v>1831</v>
      </c>
      <c r="B902" s="1">
        <v>46018</v>
      </c>
      <c r="C902" t="s">
        <v>86</v>
      </c>
      <c r="D902" t="s">
        <v>87</v>
      </c>
      <c r="E902" t="s">
        <v>44</v>
      </c>
      <c r="F902" t="s">
        <v>31</v>
      </c>
      <c r="G902" t="s">
        <v>45</v>
      </c>
      <c r="H902" t="s">
        <v>52</v>
      </c>
      <c r="I902" t="s">
        <v>1832</v>
      </c>
      <c r="J902">
        <v>7</v>
      </c>
      <c r="K902" s="2">
        <v>257.27</v>
      </c>
      <c r="L902">
        <v>5</v>
      </c>
      <c r="M902" s="2">
        <v>1710.85</v>
      </c>
      <c r="N902" s="2">
        <v>949.96</v>
      </c>
      <c r="O902" s="2">
        <v>760.89</v>
      </c>
      <c r="P902" t="s">
        <v>48</v>
      </c>
      <c r="Q902" t="s">
        <v>49</v>
      </c>
    </row>
    <row r="903" spans="1:17" x14ac:dyDescent="0.3">
      <c r="A903" t="s">
        <v>1833</v>
      </c>
      <c r="B903" s="1">
        <v>46187</v>
      </c>
      <c r="C903" t="s">
        <v>70</v>
      </c>
      <c r="D903" t="s">
        <v>75</v>
      </c>
      <c r="E903" t="s">
        <v>22</v>
      </c>
      <c r="F903" t="s">
        <v>23</v>
      </c>
      <c r="G903" t="s">
        <v>45</v>
      </c>
      <c r="H903" t="s">
        <v>46</v>
      </c>
      <c r="I903" t="s">
        <v>1834</v>
      </c>
      <c r="J903">
        <v>14</v>
      </c>
      <c r="K903" s="2">
        <v>4373.01</v>
      </c>
      <c r="L903">
        <v>20</v>
      </c>
      <c r="M903" s="2">
        <v>48977.71</v>
      </c>
      <c r="N903" s="2">
        <v>35770.1</v>
      </c>
      <c r="O903" s="2">
        <v>13207.61</v>
      </c>
      <c r="P903" t="s">
        <v>41</v>
      </c>
      <c r="Q903" t="s">
        <v>28</v>
      </c>
    </row>
    <row r="904" spans="1:17" x14ac:dyDescent="0.3">
      <c r="A904" t="s">
        <v>1835</v>
      </c>
      <c r="B904" s="1">
        <v>45984</v>
      </c>
      <c r="C904" t="s">
        <v>86</v>
      </c>
      <c r="D904" t="s">
        <v>87</v>
      </c>
      <c r="E904" t="s">
        <v>66</v>
      </c>
      <c r="F904" t="s">
        <v>37</v>
      </c>
      <c r="G904" t="s">
        <v>38</v>
      </c>
      <c r="H904" t="s">
        <v>106</v>
      </c>
      <c r="I904" t="s">
        <v>1836</v>
      </c>
      <c r="J904">
        <v>15</v>
      </c>
      <c r="K904" s="2">
        <v>2346.6</v>
      </c>
      <c r="L904">
        <v>10</v>
      </c>
      <c r="M904" s="2">
        <v>31679.1</v>
      </c>
      <c r="N904" s="2">
        <v>20073.64</v>
      </c>
      <c r="O904" s="2">
        <v>11605.46</v>
      </c>
      <c r="P904" t="s">
        <v>41</v>
      </c>
      <c r="Q904" t="s">
        <v>42</v>
      </c>
    </row>
    <row r="905" spans="1:17" x14ac:dyDescent="0.3">
      <c r="A905" t="s">
        <v>1837</v>
      </c>
      <c r="B905" s="1">
        <v>46015</v>
      </c>
      <c r="C905" t="s">
        <v>35</v>
      </c>
      <c r="D905" t="s">
        <v>36</v>
      </c>
      <c r="E905" t="s">
        <v>113</v>
      </c>
      <c r="F905" t="s">
        <v>31</v>
      </c>
      <c r="G905" t="s">
        <v>24</v>
      </c>
      <c r="H905" t="s">
        <v>32</v>
      </c>
      <c r="I905" t="s">
        <v>680</v>
      </c>
      <c r="J905">
        <v>11</v>
      </c>
      <c r="K905" s="2">
        <v>4332.5</v>
      </c>
      <c r="L905">
        <v>15</v>
      </c>
      <c r="M905" s="2">
        <v>40508.879999999997</v>
      </c>
      <c r="N905" s="2">
        <v>25641.82</v>
      </c>
      <c r="O905" s="2">
        <v>14867.06</v>
      </c>
      <c r="P905" t="s">
        <v>48</v>
      </c>
      <c r="Q905" t="s">
        <v>28</v>
      </c>
    </row>
    <row r="906" spans="1:17" x14ac:dyDescent="0.3">
      <c r="A906" t="s">
        <v>1838</v>
      </c>
      <c r="B906" s="1">
        <v>45967</v>
      </c>
      <c r="C906" t="s">
        <v>35</v>
      </c>
      <c r="D906" t="s">
        <v>36</v>
      </c>
      <c r="E906" t="s">
        <v>44</v>
      </c>
      <c r="F906" t="s">
        <v>31</v>
      </c>
      <c r="G906" t="s">
        <v>38</v>
      </c>
      <c r="H906" t="s">
        <v>91</v>
      </c>
      <c r="I906" t="s">
        <v>810</v>
      </c>
      <c r="J906">
        <v>7</v>
      </c>
      <c r="K906" s="2">
        <v>1938.53</v>
      </c>
      <c r="L906">
        <v>0</v>
      </c>
      <c r="M906" s="2">
        <v>13569.71</v>
      </c>
      <c r="N906" s="2">
        <v>7645.81</v>
      </c>
      <c r="O906" s="2">
        <v>5923.9</v>
      </c>
      <c r="P906" t="s">
        <v>27</v>
      </c>
      <c r="Q906" t="s">
        <v>42</v>
      </c>
    </row>
    <row r="907" spans="1:17" x14ac:dyDescent="0.3">
      <c r="A907" t="s">
        <v>1839</v>
      </c>
      <c r="B907" s="1">
        <v>46105</v>
      </c>
      <c r="C907" t="s">
        <v>86</v>
      </c>
      <c r="D907" t="s">
        <v>90</v>
      </c>
      <c r="E907" t="s">
        <v>113</v>
      </c>
      <c r="F907" t="s">
        <v>23</v>
      </c>
      <c r="G907" t="s">
        <v>24</v>
      </c>
      <c r="H907" t="s">
        <v>171</v>
      </c>
      <c r="I907" t="s">
        <v>1840</v>
      </c>
      <c r="J907">
        <v>7</v>
      </c>
      <c r="K907" s="2">
        <v>2591.87</v>
      </c>
      <c r="L907">
        <v>10</v>
      </c>
      <c r="M907" s="2">
        <v>16328.78</v>
      </c>
      <c r="N907" s="2">
        <v>11129.84</v>
      </c>
      <c r="O907" s="2">
        <v>5198.9399999999996</v>
      </c>
      <c r="P907" t="s">
        <v>27</v>
      </c>
      <c r="Q907" t="s">
        <v>28</v>
      </c>
    </row>
    <row r="908" spans="1:17" x14ac:dyDescent="0.3">
      <c r="A908" t="s">
        <v>1841</v>
      </c>
      <c r="B908" s="1">
        <v>46102</v>
      </c>
      <c r="C908" t="s">
        <v>35</v>
      </c>
      <c r="D908" t="s">
        <v>59</v>
      </c>
      <c r="E908" t="s">
        <v>22</v>
      </c>
      <c r="F908" t="s">
        <v>37</v>
      </c>
      <c r="G908" t="s">
        <v>45</v>
      </c>
      <c r="H908" t="s">
        <v>159</v>
      </c>
      <c r="I908" t="s">
        <v>1842</v>
      </c>
      <c r="J908">
        <v>11</v>
      </c>
      <c r="K908" s="2">
        <v>317.02999999999997</v>
      </c>
      <c r="L908">
        <v>10</v>
      </c>
      <c r="M908" s="2">
        <v>3138.6</v>
      </c>
      <c r="N908" s="2">
        <v>1925.42</v>
      </c>
      <c r="O908" s="2">
        <v>1213.18</v>
      </c>
      <c r="P908" t="s">
        <v>48</v>
      </c>
      <c r="Q908" t="s">
        <v>49</v>
      </c>
    </row>
    <row r="909" spans="1:17" x14ac:dyDescent="0.3">
      <c r="A909" t="s">
        <v>1843</v>
      </c>
      <c r="B909" s="1">
        <v>46089</v>
      </c>
      <c r="C909" t="s">
        <v>35</v>
      </c>
      <c r="D909" t="s">
        <v>59</v>
      </c>
      <c r="E909" t="s">
        <v>44</v>
      </c>
      <c r="F909" t="s">
        <v>23</v>
      </c>
      <c r="G909" t="s">
        <v>38</v>
      </c>
      <c r="H909" t="s">
        <v>63</v>
      </c>
      <c r="I909" t="s">
        <v>1844</v>
      </c>
      <c r="J909">
        <v>8</v>
      </c>
      <c r="K909" s="2">
        <v>1272.9100000000001</v>
      </c>
      <c r="L909">
        <v>0</v>
      </c>
      <c r="M909" s="2">
        <v>10183.280000000001</v>
      </c>
      <c r="N909" s="2">
        <v>6685.35</v>
      </c>
      <c r="O909" s="2">
        <v>3497.93</v>
      </c>
      <c r="P909" t="s">
        <v>48</v>
      </c>
      <c r="Q909" t="s">
        <v>42</v>
      </c>
    </row>
    <row r="910" spans="1:17" x14ac:dyDescent="0.3">
      <c r="A910" t="s">
        <v>1845</v>
      </c>
      <c r="B910" s="1">
        <v>46174</v>
      </c>
      <c r="C910" t="s">
        <v>35</v>
      </c>
      <c r="D910" t="s">
        <v>36</v>
      </c>
      <c r="E910" t="s">
        <v>44</v>
      </c>
      <c r="F910" t="s">
        <v>37</v>
      </c>
      <c r="G910" t="s">
        <v>24</v>
      </c>
      <c r="H910" t="s">
        <v>32</v>
      </c>
      <c r="I910" t="s">
        <v>1846</v>
      </c>
      <c r="J910">
        <v>2</v>
      </c>
      <c r="K910" s="2">
        <v>2612.8000000000002</v>
      </c>
      <c r="L910">
        <v>20</v>
      </c>
      <c r="M910" s="2">
        <v>4180.4799999999996</v>
      </c>
      <c r="N910" s="2">
        <v>2424.08</v>
      </c>
      <c r="O910" s="2">
        <v>1756.4</v>
      </c>
      <c r="P910" t="s">
        <v>27</v>
      </c>
      <c r="Q910" t="s">
        <v>49</v>
      </c>
    </row>
    <row r="911" spans="1:17" x14ac:dyDescent="0.3">
      <c r="A911" t="s">
        <v>1847</v>
      </c>
      <c r="B911" s="1">
        <v>46055</v>
      </c>
      <c r="C911" t="s">
        <v>70</v>
      </c>
      <c r="D911" t="s">
        <v>75</v>
      </c>
      <c r="E911" t="s">
        <v>22</v>
      </c>
      <c r="F911" t="s">
        <v>37</v>
      </c>
      <c r="G911" t="s">
        <v>38</v>
      </c>
      <c r="H911" t="s">
        <v>106</v>
      </c>
      <c r="I911" t="s">
        <v>1848</v>
      </c>
      <c r="J911">
        <v>5</v>
      </c>
      <c r="K911" s="2">
        <v>1020.67</v>
      </c>
      <c r="L911">
        <v>5</v>
      </c>
      <c r="M911" s="2">
        <v>4848.18</v>
      </c>
      <c r="N911" s="2">
        <v>3094.09</v>
      </c>
      <c r="O911" s="2">
        <v>1754.09</v>
      </c>
      <c r="P911" t="s">
        <v>41</v>
      </c>
      <c r="Q911" t="s">
        <v>42</v>
      </c>
    </row>
    <row r="912" spans="1:17" x14ac:dyDescent="0.3">
      <c r="A912" t="s">
        <v>1849</v>
      </c>
      <c r="B912" s="1">
        <v>45679</v>
      </c>
      <c r="C912" t="s">
        <v>35</v>
      </c>
      <c r="D912" t="s">
        <v>36</v>
      </c>
      <c r="E912" t="s">
        <v>170</v>
      </c>
      <c r="F912" t="s">
        <v>37</v>
      </c>
      <c r="G912" t="s">
        <v>38</v>
      </c>
      <c r="H912" t="s">
        <v>72</v>
      </c>
      <c r="I912" t="s">
        <v>1601</v>
      </c>
      <c r="J912">
        <v>6</v>
      </c>
      <c r="K912" s="2">
        <v>3457.55</v>
      </c>
      <c r="L912">
        <v>0</v>
      </c>
      <c r="M912" s="2">
        <v>20745.3</v>
      </c>
      <c r="N912" s="2">
        <v>13814.65</v>
      </c>
      <c r="O912" s="2">
        <v>6930.65</v>
      </c>
      <c r="P912" t="s">
        <v>41</v>
      </c>
      <c r="Q912" t="s">
        <v>49</v>
      </c>
    </row>
    <row r="913" spans="1:17" x14ac:dyDescent="0.3">
      <c r="A913" t="s">
        <v>1850</v>
      </c>
      <c r="B913" s="1">
        <v>45880</v>
      </c>
      <c r="C913" t="s">
        <v>35</v>
      </c>
      <c r="D913" t="s">
        <v>59</v>
      </c>
      <c r="E913" t="s">
        <v>113</v>
      </c>
      <c r="F913" t="s">
        <v>31</v>
      </c>
      <c r="G913" t="s">
        <v>45</v>
      </c>
      <c r="H913" t="s">
        <v>123</v>
      </c>
      <c r="I913" t="s">
        <v>1851</v>
      </c>
      <c r="J913">
        <v>9</v>
      </c>
      <c r="K913" s="2">
        <v>1082.3800000000001</v>
      </c>
      <c r="L913">
        <v>15</v>
      </c>
      <c r="M913" s="2">
        <v>8280.2099999999991</v>
      </c>
      <c r="N913" s="2">
        <v>5543.58</v>
      </c>
      <c r="O913" s="2">
        <v>2736.63</v>
      </c>
      <c r="P913" t="s">
        <v>41</v>
      </c>
      <c r="Q913" t="s">
        <v>28</v>
      </c>
    </row>
    <row r="914" spans="1:17" x14ac:dyDescent="0.3">
      <c r="A914" t="s">
        <v>1852</v>
      </c>
      <c r="B914" s="1">
        <v>46120</v>
      </c>
      <c r="C914" t="s">
        <v>86</v>
      </c>
      <c r="D914" t="s">
        <v>90</v>
      </c>
      <c r="E914" t="s">
        <v>22</v>
      </c>
      <c r="F914" t="s">
        <v>37</v>
      </c>
      <c r="G914" t="s">
        <v>45</v>
      </c>
      <c r="H914" t="s">
        <v>123</v>
      </c>
      <c r="I914" t="s">
        <v>1853</v>
      </c>
      <c r="J914">
        <v>10</v>
      </c>
      <c r="K914" s="2">
        <v>320.16000000000003</v>
      </c>
      <c r="L914">
        <v>5</v>
      </c>
      <c r="M914" s="2">
        <v>3041.52</v>
      </c>
      <c r="N914" s="2">
        <v>2318.37</v>
      </c>
      <c r="O914" s="2">
        <v>723.15</v>
      </c>
      <c r="P914" t="s">
        <v>27</v>
      </c>
      <c r="Q914" t="s">
        <v>49</v>
      </c>
    </row>
    <row r="915" spans="1:17" x14ac:dyDescent="0.3">
      <c r="A915" t="s">
        <v>1854</v>
      </c>
      <c r="B915" s="1">
        <v>46108</v>
      </c>
      <c r="C915" t="s">
        <v>86</v>
      </c>
      <c r="D915" t="s">
        <v>90</v>
      </c>
      <c r="E915" t="s">
        <v>44</v>
      </c>
      <c r="F915" t="s">
        <v>23</v>
      </c>
      <c r="G915" t="s">
        <v>24</v>
      </c>
      <c r="H915" t="s">
        <v>134</v>
      </c>
      <c r="I915" t="s">
        <v>1855</v>
      </c>
      <c r="J915">
        <v>5</v>
      </c>
      <c r="K915" s="2">
        <v>3515.36</v>
      </c>
      <c r="L915">
        <v>20</v>
      </c>
      <c r="M915" s="2">
        <v>14061.44</v>
      </c>
      <c r="N915" s="2">
        <v>11433.38</v>
      </c>
      <c r="O915" s="2">
        <v>2628.06</v>
      </c>
      <c r="P915" t="s">
        <v>41</v>
      </c>
      <c r="Q915" t="s">
        <v>61</v>
      </c>
    </row>
    <row r="916" spans="1:17" x14ac:dyDescent="0.3">
      <c r="A916" t="s">
        <v>1856</v>
      </c>
      <c r="B916" s="1">
        <v>46187</v>
      </c>
      <c r="C916" t="s">
        <v>35</v>
      </c>
      <c r="D916" t="s">
        <v>36</v>
      </c>
      <c r="E916" t="s">
        <v>66</v>
      </c>
      <c r="F916" t="s">
        <v>37</v>
      </c>
      <c r="G916" t="s">
        <v>24</v>
      </c>
      <c r="H916" t="s">
        <v>56</v>
      </c>
      <c r="I916" t="s">
        <v>1857</v>
      </c>
      <c r="J916">
        <v>1</v>
      </c>
      <c r="K916" s="2">
        <v>3305.19</v>
      </c>
      <c r="L916">
        <v>5</v>
      </c>
      <c r="M916" s="2">
        <v>3139.93</v>
      </c>
      <c r="N916" s="2">
        <v>2328.6999999999998</v>
      </c>
      <c r="O916" s="2">
        <v>811.23</v>
      </c>
      <c r="P916" t="s">
        <v>41</v>
      </c>
      <c r="Q916" t="s">
        <v>42</v>
      </c>
    </row>
    <row r="917" spans="1:17" x14ac:dyDescent="0.3">
      <c r="A917" t="s">
        <v>1858</v>
      </c>
      <c r="B917" s="1">
        <v>45931</v>
      </c>
      <c r="C917" t="s">
        <v>35</v>
      </c>
      <c r="D917" t="s">
        <v>36</v>
      </c>
      <c r="E917" t="s">
        <v>113</v>
      </c>
      <c r="F917" t="s">
        <v>31</v>
      </c>
      <c r="G917" t="s">
        <v>45</v>
      </c>
      <c r="H917" t="s">
        <v>123</v>
      </c>
      <c r="I917" t="s">
        <v>1149</v>
      </c>
      <c r="J917">
        <v>13</v>
      </c>
      <c r="K917" s="2">
        <v>616.66999999999996</v>
      </c>
      <c r="L917">
        <v>10</v>
      </c>
      <c r="M917" s="2">
        <v>7215.04</v>
      </c>
      <c r="N917" s="2">
        <v>4300.6000000000004</v>
      </c>
      <c r="O917" s="2">
        <v>2914.44</v>
      </c>
      <c r="P917" t="s">
        <v>48</v>
      </c>
      <c r="Q917" t="s">
        <v>28</v>
      </c>
    </row>
    <row r="918" spans="1:17" x14ac:dyDescent="0.3">
      <c r="A918" t="s">
        <v>1859</v>
      </c>
      <c r="B918" s="1">
        <v>45802</v>
      </c>
      <c r="C918" t="s">
        <v>86</v>
      </c>
      <c r="D918" t="s">
        <v>90</v>
      </c>
      <c r="E918" t="s">
        <v>30</v>
      </c>
      <c r="F918" t="s">
        <v>37</v>
      </c>
      <c r="G918" t="s">
        <v>45</v>
      </c>
      <c r="H918" t="s">
        <v>159</v>
      </c>
      <c r="I918" t="s">
        <v>1860</v>
      </c>
      <c r="J918">
        <v>7</v>
      </c>
      <c r="K918" s="2">
        <v>3503.21</v>
      </c>
      <c r="L918">
        <v>20</v>
      </c>
      <c r="M918" s="2">
        <v>19617.98</v>
      </c>
      <c r="N918" s="2">
        <v>10906.09</v>
      </c>
      <c r="O918" s="2">
        <v>8711.89</v>
      </c>
      <c r="P918" t="s">
        <v>41</v>
      </c>
      <c r="Q918" t="s">
        <v>61</v>
      </c>
    </row>
    <row r="919" spans="1:17" x14ac:dyDescent="0.3">
      <c r="A919" t="s">
        <v>1861</v>
      </c>
      <c r="B919" s="1">
        <v>46169</v>
      </c>
      <c r="C919" t="s">
        <v>86</v>
      </c>
      <c r="D919" t="s">
        <v>87</v>
      </c>
      <c r="E919" t="s">
        <v>120</v>
      </c>
      <c r="F919" t="s">
        <v>37</v>
      </c>
      <c r="G919" t="s">
        <v>38</v>
      </c>
      <c r="H919" t="s">
        <v>91</v>
      </c>
      <c r="I919" t="s">
        <v>1862</v>
      </c>
      <c r="J919">
        <v>6</v>
      </c>
      <c r="K919" s="2">
        <v>4868.3500000000004</v>
      </c>
      <c r="L919">
        <v>5</v>
      </c>
      <c r="M919" s="2">
        <v>27749.599999999999</v>
      </c>
      <c r="N919" s="2">
        <v>21475.200000000001</v>
      </c>
      <c r="O919" s="2">
        <v>6274.4</v>
      </c>
      <c r="P919" t="s">
        <v>41</v>
      </c>
      <c r="Q919" t="s">
        <v>61</v>
      </c>
    </row>
    <row r="920" spans="1:17" x14ac:dyDescent="0.3">
      <c r="A920" t="s">
        <v>1863</v>
      </c>
      <c r="B920" s="1">
        <v>46067</v>
      </c>
      <c r="C920" t="s">
        <v>86</v>
      </c>
      <c r="D920" t="s">
        <v>90</v>
      </c>
      <c r="E920" t="s">
        <v>30</v>
      </c>
      <c r="F920" t="s">
        <v>31</v>
      </c>
      <c r="G920" t="s">
        <v>24</v>
      </c>
      <c r="H920" t="s">
        <v>134</v>
      </c>
      <c r="I920" t="s">
        <v>1864</v>
      </c>
      <c r="J920">
        <v>15</v>
      </c>
      <c r="K920" s="2">
        <v>3538.77</v>
      </c>
      <c r="L920">
        <v>20</v>
      </c>
      <c r="M920" s="2">
        <v>42465.24</v>
      </c>
      <c r="N920" s="2">
        <v>30959.15</v>
      </c>
      <c r="O920" s="2">
        <v>11506.09</v>
      </c>
      <c r="P920" t="s">
        <v>48</v>
      </c>
      <c r="Q920" t="s">
        <v>49</v>
      </c>
    </row>
    <row r="921" spans="1:17" x14ac:dyDescent="0.3">
      <c r="A921" t="s">
        <v>1865</v>
      </c>
      <c r="B921" s="1">
        <v>46107</v>
      </c>
      <c r="C921" t="s">
        <v>35</v>
      </c>
      <c r="D921" t="s">
        <v>36</v>
      </c>
      <c r="E921" t="s">
        <v>120</v>
      </c>
      <c r="F921" t="s">
        <v>31</v>
      </c>
      <c r="G921" t="s">
        <v>38</v>
      </c>
      <c r="H921" t="s">
        <v>106</v>
      </c>
      <c r="I921" t="s">
        <v>1866</v>
      </c>
      <c r="J921">
        <v>4</v>
      </c>
      <c r="K921" s="2">
        <v>1661.74</v>
      </c>
      <c r="L921">
        <v>20</v>
      </c>
      <c r="M921" s="2">
        <v>5317.57</v>
      </c>
      <c r="N921" s="2">
        <v>4269</v>
      </c>
      <c r="O921" s="2">
        <v>1048.57</v>
      </c>
      <c r="P921" t="s">
        <v>48</v>
      </c>
      <c r="Q921" t="s">
        <v>42</v>
      </c>
    </row>
    <row r="922" spans="1:17" x14ac:dyDescent="0.3">
      <c r="A922" t="s">
        <v>1867</v>
      </c>
      <c r="B922" s="1">
        <v>46170</v>
      </c>
      <c r="C922" t="s">
        <v>20</v>
      </c>
      <c r="D922" t="s">
        <v>21</v>
      </c>
      <c r="E922" t="s">
        <v>120</v>
      </c>
      <c r="F922" t="s">
        <v>23</v>
      </c>
      <c r="G922" t="s">
        <v>45</v>
      </c>
      <c r="H922" t="s">
        <v>67</v>
      </c>
      <c r="I922" t="s">
        <v>1868</v>
      </c>
      <c r="J922">
        <v>2</v>
      </c>
      <c r="K922" s="2">
        <v>2613.35</v>
      </c>
      <c r="L922">
        <v>0</v>
      </c>
      <c r="M922" s="2">
        <v>5226.7</v>
      </c>
      <c r="N922" s="2">
        <v>3645.18</v>
      </c>
      <c r="O922" s="2">
        <v>1581.52</v>
      </c>
      <c r="P922" t="s">
        <v>27</v>
      </c>
      <c r="Q922" t="s">
        <v>42</v>
      </c>
    </row>
    <row r="923" spans="1:17" x14ac:dyDescent="0.3">
      <c r="A923" t="s">
        <v>1869</v>
      </c>
      <c r="B923" s="1">
        <v>46001</v>
      </c>
      <c r="C923" t="s">
        <v>20</v>
      </c>
      <c r="D923" t="s">
        <v>21</v>
      </c>
      <c r="E923" t="s">
        <v>66</v>
      </c>
      <c r="F923" t="s">
        <v>37</v>
      </c>
      <c r="G923" t="s">
        <v>45</v>
      </c>
      <c r="H923" t="s">
        <v>67</v>
      </c>
      <c r="I923" t="s">
        <v>1870</v>
      </c>
      <c r="J923">
        <v>13</v>
      </c>
      <c r="K923" s="2">
        <v>1039.1400000000001</v>
      </c>
      <c r="L923">
        <v>5</v>
      </c>
      <c r="M923" s="2">
        <v>12833.38</v>
      </c>
      <c r="N923" s="2">
        <v>8576.76</v>
      </c>
      <c r="O923" s="2">
        <v>4256.62</v>
      </c>
      <c r="P923" t="s">
        <v>41</v>
      </c>
      <c r="Q923" t="s">
        <v>28</v>
      </c>
    </row>
    <row r="924" spans="1:17" x14ac:dyDescent="0.3">
      <c r="A924" t="s">
        <v>1871</v>
      </c>
      <c r="B924" s="1">
        <v>45986</v>
      </c>
      <c r="C924" t="s">
        <v>70</v>
      </c>
      <c r="D924" t="s">
        <v>75</v>
      </c>
      <c r="E924" t="s">
        <v>30</v>
      </c>
      <c r="F924" t="s">
        <v>31</v>
      </c>
      <c r="G924" t="s">
        <v>38</v>
      </c>
      <c r="H924" t="s">
        <v>63</v>
      </c>
      <c r="I924" t="s">
        <v>1872</v>
      </c>
      <c r="J924">
        <v>2</v>
      </c>
      <c r="K924" s="2">
        <v>957.81</v>
      </c>
      <c r="L924">
        <v>0</v>
      </c>
      <c r="M924" s="2">
        <v>1915.62</v>
      </c>
      <c r="N924" s="2">
        <v>1228.71</v>
      </c>
      <c r="O924" s="2">
        <v>686.91</v>
      </c>
      <c r="P924" t="s">
        <v>41</v>
      </c>
      <c r="Q924" t="s">
        <v>42</v>
      </c>
    </row>
    <row r="925" spans="1:17" x14ac:dyDescent="0.3">
      <c r="A925" t="s">
        <v>1873</v>
      </c>
      <c r="B925" s="1">
        <v>45906</v>
      </c>
      <c r="C925" t="s">
        <v>70</v>
      </c>
      <c r="D925" t="s">
        <v>71</v>
      </c>
      <c r="E925" t="s">
        <v>30</v>
      </c>
      <c r="F925" t="s">
        <v>37</v>
      </c>
      <c r="G925" t="s">
        <v>24</v>
      </c>
      <c r="H925" t="s">
        <v>134</v>
      </c>
      <c r="I925" t="s">
        <v>1874</v>
      </c>
      <c r="J925">
        <v>9</v>
      </c>
      <c r="K925" s="2">
        <v>2740.77</v>
      </c>
      <c r="L925">
        <v>15</v>
      </c>
      <c r="M925" s="2">
        <v>20966.89</v>
      </c>
      <c r="N925" s="2">
        <v>12202.22</v>
      </c>
      <c r="O925" s="2">
        <v>8764.67</v>
      </c>
      <c r="P925" t="s">
        <v>41</v>
      </c>
      <c r="Q925" t="s">
        <v>49</v>
      </c>
    </row>
    <row r="926" spans="1:17" x14ac:dyDescent="0.3">
      <c r="A926" t="s">
        <v>1875</v>
      </c>
      <c r="B926" s="1">
        <v>45696</v>
      </c>
      <c r="C926" t="s">
        <v>35</v>
      </c>
      <c r="D926" t="s">
        <v>36</v>
      </c>
      <c r="E926" t="s">
        <v>22</v>
      </c>
      <c r="F926" t="s">
        <v>23</v>
      </c>
      <c r="G926" t="s">
        <v>24</v>
      </c>
      <c r="H926" t="s">
        <v>25</v>
      </c>
      <c r="I926" t="s">
        <v>1876</v>
      </c>
      <c r="J926">
        <v>15</v>
      </c>
      <c r="K926" s="2">
        <v>1973.06</v>
      </c>
      <c r="L926">
        <v>5</v>
      </c>
      <c r="M926" s="2">
        <v>28116.1</v>
      </c>
      <c r="N926" s="2">
        <v>20038.3</v>
      </c>
      <c r="O926" s="2">
        <v>8077.8</v>
      </c>
      <c r="P926" t="s">
        <v>48</v>
      </c>
      <c r="Q926" t="s">
        <v>42</v>
      </c>
    </row>
    <row r="927" spans="1:17" x14ac:dyDescent="0.3">
      <c r="A927" t="s">
        <v>1877</v>
      </c>
      <c r="B927" s="1">
        <v>45792</v>
      </c>
      <c r="C927" t="s">
        <v>20</v>
      </c>
      <c r="D927" t="s">
        <v>55</v>
      </c>
      <c r="E927" t="s">
        <v>44</v>
      </c>
      <c r="F927" t="s">
        <v>31</v>
      </c>
      <c r="G927" t="s">
        <v>45</v>
      </c>
      <c r="H927" t="s">
        <v>123</v>
      </c>
      <c r="I927" t="s">
        <v>1878</v>
      </c>
      <c r="J927">
        <v>12</v>
      </c>
      <c r="K927" s="2">
        <v>842.93</v>
      </c>
      <c r="L927">
        <v>10</v>
      </c>
      <c r="M927" s="2">
        <v>9103.64</v>
      </c>
      <c r="N927" s="2">
        <v>5138.47</v>
      </c>
      <c r="O927" s="2">
        <v>3965.17</v>
      </c>
      <c r="P927" t="s">
        <v>27</v>
      </c>
      <c r="Q927" t="s">
        <v>42</v>
      </c>
    </row>
    <row r="928" spans="1:17" x14ac:dyDescent="0.3">
      <c r="A928" t="s">
        <v>1879</v>
      </c>
      <c r="B928" s="1">
        <v>45753</v>
      </c>
      <c r="C928" t="s">
        <v>86</v>
      </c>
      <c r="D928" t="s">
        <v>90</v>
      </c>
      <c r="E928" t="s">
        <v>170</v>
      </c>
      <c r="F928" t="s">
        <v>31</v>
      </c>
      <c r="G928" t="s">
        <v>24</v>
      </c>
      <c r="H928" t="s">
        <v>32</v>
      </c>
      <c r="I928" t="s">
        <v>1880</v>
      </c>
      <c r="J928">
        <v>6</v>
      </c>
      <c r="K928" s="2">
        <v>4151.76</v>
      </c>
      <c r="L928">
        <v>20</v>
      </c>
      <c r="M928" s="2">
        <v>19928.45</v>
      </c>
      <c r="N928" s="2">
        <v>13855.08</v>
      </c>
      <c r="O928" s="2">
        <v>6073.37</v>
      </c>
      <c r="P928" t="s">
        <v>41</v>
      </c>
      <c r="Q928" t="s">
        <v>28</v>
      </c>
    </row>
    <row r="929" spans="1:17" x14ac:dyDescent="0.3">
      <c r="A929" t="s">
        <v>1881</v>
      </c>
      <c r="B929" s="1">
        <v>46170</v>
      </c>
      <c r="C929" t="s">
        <v>35</v>
      </c>
      <c r="D929" t="s">
        <v>36</v>
      </c>
      <c r="E929" t="s">
        <v>44</v>
      </c>
      <c r="F929" t="s">
        <v>31</v>
      </c>
      <c r="G929" t="s">
        <v>24</v>
      </c>
      <c r="H929" t="s">
        <v>134</v>
      </c>
      <c r="I929" t="s">
        <v>1882</v>
      </c>
      <c r="J929">
        <v>5</v>
      </c>
      <c r="K929" s="2">
        <v>548.79999999999995</v>
      </c>
      <c r="L929">
        <v>0</v>
      </c>
      <c r="M929" s="2">
        <v>2744</v>
      </c>
      <c r="N929" s="2">
        <v>2231.46</v>
      </c>
      <c r="O929" s="2">
        <v>512.54</v>
      </c>
      <c r="P929" t="s">
        <v>41</v>
      </c>
      <c r="Q929" t="s">
        <v>28</v>
      </c>
    </row>
    <row r="930" spans="1:17" x14ac:dyDescent="0.3">
      <c r="A930" t="s">
        <v>1883</v>
      </c>
      <c r="B930" s="1">
        <v>45669</v>
      </c>
      <c r="C930" t="s">
        <v>86</v>
      </c>
      <c r="D930" t="s">
        <v>87</v>
      </c>
      <c r="E930" t="s">
        <v>30</v>
      </c>
      <c r="F930" t="s">
        <v>23</v>
      </c>
      <c r="G930" t="s">
        <v>38</v>
      </c>
      <c r="H930" t="s">
        <v>39</v>
      </c>
      <c r="I930" t="s">
        <v>1884</v>
      </c>
      <c r="J930">
        <v>10</v>
      </c>
      <c r="K930" s="2">
        <v>2459.0300000000002</v>
      </c>
      <c r="L930">
        <v>15</v>
      </c>
      <c r="M930" s="2">
        <v>20901.759999999998</v>
      </c>
      <c r="N930" s="2">
        <v>13318.21</v>
      </c>
      <c r="O930" s="2">
        <v>7583.55</v>
      </c>
      <c r="P930" t="s">
        <v>41</v>
      </c>
      <c r="Q930" t="s">
        <v>49</v>
      </c>
    </row>
    <row r="931" spans="1:17" x14ac:dyDescent="0.3">
      <c r="A931" t="s">
        <v>1885</v>
      </c>
      <c r="B931" s="1">
        <v>45802</v>
      </c>
      <c r="C931" t="s">
        <v>86</v>
      </c>
      <c r="D931" t="s">
        <v>90</v>
      </c>
      <c r="E931" t="s">
        <v>113</v>
      </c>
      <c r="F931" t="s">
        <v>23</v>
      </c>
      <c r="G931" t="s">
        <v>24</v>
      </c>
      <c r="H931" t="s">
        <v>56</v>
      </c>
      <c r="I931" t="s">
        <v>1886</v>
      </c>
      <c r="J931">
        <v>1</v>
      </c>
      <c r="K931" s="2">
        <v>4479.53</v>
      </c>
      <c r="L931">
        <v>0</v>
      </c>
      <c r="M931" s="2">
        <v>4479.53</v>
      </c>
      <c r="N931" s="2">
        <v>2811.93</v>
      </c>
      <c r="O931" s="2">
        <v>1667.6</v>
      </c>
      <c r="P931" t="s">
        <v>27</v>
      </c>
      <c r="Q931" t="s">
        <v>42</v>
      </c>
    </row>
    <row r="932" spans="1:17" x14ac:dyDescent="0.3">
      <c r="A932" t="s">
        <v>1887</v>
      </c>
      <c r="B932" s="1">
        <v>45808</v>
      </c>
      <c r="C932" t="s">
        <v>20</v>
      </c>
      <c r="D932" t="s">
        <v>21</v>
      </c>
      <c r="E932" t="s">
        <v>113</v>
      </c>
      <c r="F932" t="s">
        <v>31</v>
      </c>
      <c r="G932" t="s">
        <v>38</v>
      </c>
      <c r="H932" t="s">
        <v>72</v>
      </c>
      <c r="I932" t="s">
        <v>1888</v>
      </c>
      <c r="J932">
        <v>7</v>
      </c>
      <c r="K932" s="2">
        <v>3281.06</v>
      </c>
      <c r="L932">
        <v>15</v>
      </c>
      <c r="M932" s="2">
        <v>19522.310000000001</v>
      </c>
      <c r="N932" s="2">
        <v>15319.07</v>
      </c>
      <c r="O932" s="2">
        <v>4203.24</v>
      </c>
      <c r="P932" t="s">
        <v>48</v>
      </c>
      <c r="Q932" t="s">
        <v>61</v>
      </c>
    </row>
    <row r="933" spans="1:17" x14ac:dyDescent="0.3">
      <c r="A933" t="s">
        <v>1889</v>
      </c>
      <c r="B933" s="1">
        <v>45783</v>
      </c>
      <c r="C933" t="s">
        <v>86</v>
      </c>
      <c r="D933" t="s">
        <v>90</v>
      </c>
      <c r="E933" t="s">
        <v>170</v>
      </c>
      <c r="F933" t="s">
        <v>37</v>
      </c>
      <c r="G933" t="s">
        <v>45</v>
      </c>
      <c r="H933" t="s">
        <v>67</v>
      </c>
      <c r="I933" t="s">
        <v>1890</v>
      </c>
      <c r="J933">
        <v>10</v>
      </c>
      <c r="K933" s="2">
        <v>3381.93</v>
      </c>
      <c r="L933">
        <v>10</v>
      </c>
      <c r="M933" s="2">
        <v>30437.37</v>
      </c>
      <c r="N933" s="2">
        <v>21717.99</v>
      </c>
      <c r="O933" s="2">
        <v>8719.3799999999992</v>
      </c>
      <c r="P933" t="s">
        <v>27</v>
      </c>
      <c r="Q933" t="s">
        <v>42</v>
      </c>
    </row>
    <row r="934" spans="1:17" x14ac:dyDescent="0.3">
      <c r="A934" t="s">
        <v>1891</v>
      </c>
      <c r="B934" s="1">
        <v>45736</v>
      </c>
      <c r="C934" t="s">
        <v>70</v>
      </c>
      <c r="D934" t="s">
        <v>75</v>
      </c>
      <c r="E934" t="s">
        <v>51</v>
      </c>
      <c r="F934" t="s">
        <v>31</v>
      </c>
      <c r="G934" t="s">
        <v>38</v>
      </c>
      <c r="H934" t="s">
        <v>72</v>
      </c>
      <c r="I934" t="s">
        <v>1892</v>
      </c>
      <c r="J934">
        <v>8</v>
      </c>
      <c r="K934" s="2">
        <v>3970.71</v>
      </c>
      <c r="L934">
        <v>5</v>
      </c>
      <c r="M934" s="2">
        <v>30177.4</v>
      </c>
      <c r="N934" s="2">
        <v>21810.6</v>
      </c>
      <c r="O934" s="2">
        <v>8366.7999999999993</v>
      </c>
      <c r="P934" t="s">
        <v>27</v>
      </c>
      <c r="Q934" t="s">
        <v>42</v>
      </c>
    </row>
    <row r="935" spans="1:17" x14ac:dyDescent="0.3">
      <c r="A935" t="s">
        <v>1893</v>
      </c>
      <c r="B935" s="1">
        <v>45695</v>
      </c>
      <c r="C935" t="s">
        <v>70</v>
      </c>
      <c r="D935" t="s">
        <v>71</v>
      </c>
      <c r="E935" t="s">
        <v>44</v>
      </c>
      <c r="F935" t="s">
        <v>31</v>
      </c>
      <c r="G935" t="s">
        <v>45</v>
      </c>
      <c r="H935" t="s">
        <v>67</v>
      </c>
      <c r="I935" t="s">
        <v>1894</v>
      </c>
      <c r="J935">
        <v>9</v>
      </c>
      <c r="K935" s="2">
        <v>4969.42</v>
      </c>
      <c r="L935">
        <v>20</v>
      </c>
      <c r="M935" s="2">
        <v>35779.82</v>
      </c>
      <c r="N935" s="2">
        <v>24015.11</v>
      </c>
      <c r="O935" s="2">
        <v>11764.71</v>
      </c>
      <c r="P935" t="s">
        <v>41</v>
      </c>
      <c r="Q935" t="s">
        <v>61</v>
      </c>
    </row>
    <row r="936" spans="1:17" x14ac:dyDescent="0.3">
      <c r="A936" t="s">
        <v>1895</v>
      </c>
      <c r="B936" s="1">
        <v>46078</v>
      </c>
      <c r="C936" t="s">
        <v>20</v>
      </c>
      <c r="D936" t="s">
        <v>55</v>
      </c>
      <c r="E936" t="s">
        <v>44</v>
      </c>
      <c r="F936" t="s">
        <v>37</v>
      </c>
      <c r="G936" t="s">
        <v>38</v>
      </c>
      <c r="H936" t="s">
        <v>91</v>
      </c>
      <c r="I936" t="s">
        <v>1896</v>
      </c>
      <c r="J936">
        <v>8</v>
      </c>
      <c r="K936" s="2">
        <v>1080.8900000000001</v>
      </c>
      <c r="L936">
        <v>5</v>
      </c>
      <c r="M936" s="2">
        <v>8214.76</v>
      </c>
      <c r="N936" s="2">
        <v>6449.48</v>
      </c>
      <c r="O936" s="2">
        <v>1765.28</v>
      </c>
      <c r="P936" t="s">
        <v>48</v>
      </c>
      <c r="Q936" t="s">
        <v>49</v>
      </c>
    </row>
    <row r="937" spans="1:17" x14ac:dyDescent="0.3">
      <c r="A937" t="s">
        <v>1897</v>
      </c>
      <c r="B937" s="1">
        <v>46136</v>
      </c>
      <c r="C937" t="s">
        <v>20</v>
      </c>
      <c r="D937" t="s">
        <v>55</v>
      </c>
      <c r="E937" t="s">
        <v>44</v>
      </c>
      <c r="F937" t="s">
        <v>31</v>
      </c>
      <c r="G937" t="s">
        <v>45</v>
      </c>
      <c r="H937" t="s">
        <v>67</v>
      </c>
      <c r="I937" t="s">
        <v>1898</v>
      </c>
      <c r="J937">
        <v>7</v>
      </c>
      <c r="K937" s="2">
        <v>1571.19</v>
      </c>
      <c r="L937">
        <v>10</v>
      </c>
      <c r="M937" s="2">
        <v>9898.5</v>
      </c>
      <c r="N937" s="2">
        <v>5548.24</v>
      </c>
      <c r="O937" s="2">
        <v>4350.26</v>
      </c>
      <c r="P937" t="s">
        <v>48</v>
      </c>
      <c r="Q937" t="s">
        <v>49</v>
      </c>
    </row>
    <row r="938" spans="1:17" x14ac:dyDescent="0.3">
      <c r="A938" t="s">
        <v>1899</v>
      </c>
      <c r="B938" s="1">
        <v>46007</v>
      </c>
      <c r="C938" t="s">
        <v>35</v>
      </c>
      <c r="D938" t="s">
        <v>36</v>
      </c>
      <c r="E938" t="s">
        <v>51</v>
      </c>
      <c r="F938" t="s">
        <v>23</v>
      </c>
      <c r="G938" t="s">
        <v>38</v>
      </c>
      <c r="H938" t="s">
        <v>106</v>
      </c>
      <c r="I938" t="s">
        <v>1900</v>
      </c>
      <c r="J938">
        <v>2</v>
      </c>
      <c r="K938" s="2">
        <v>3300.22</v>
      </c>
      <c r="L938">
        <v>15</v>
      </c>
      <c r="M938" s="2">
        <v>5610.37</v>
      </c>
      <c r="N938" s="2">
        <v>4330.62</v>
      </c>
      <c r="O938" s="2">
        <v>1279.75</v>
      </c>
      <c r="P938" t="s">
        <v>27</v>
      </c>
      <c r="Q938" t="s">
        <v>42</v>
      </c>
    </row>
    <row r="939" spans="1:17" x14ac:dyDescent="0.3">
      <c r="A939" t="s">
        <v>1901</v>
      </c>
      <c r="B939" s="1">
        <v>46103</v>
      </c>
      <c r="C939" t="s">
        <v>86</v>
      </c>
      <c r="D939" t="s">
        <v>87</v>
      </c>
      <c r="E939" t="s">
        <v>51</v>
      </c>
      <c r="F939" t="s">
        <v>31</v>
      </c>
      <c r="G939" t="s">
        <v>38</v>
      </c>
      <c r="H939" t="s">
        <v>72</v>
      </c>
      <c r="I939" t="s">
        <v>1902</v>
      </c>
      <c r="J939">
        <v>2</v>
      </c>
      <c r="K939" s="2">
        <v>1475.19</v>
      </c>
      <c r="L939">
        <v>0</v>
      </c>
      <c r="M939" s="2">
        <v>2950.38</v>
      </c>
      <c r="N939" s="2">
        <v>1947.64</v>
      </c>
      <c r="O939" s="2">
        <v>1002.74</v>
      </c>
      <c r="P939" t="s">
        <v>41</v>
      </c>
      <c r="Q939" t="s">
        <v>49</v>
      </c>
    </row>
    <row r="940" spans="1:17" x14ac:dyDescent="0.3">
      <c r="A940" t="s">
        <v>1903</v>
      </c>
      <c r="B940" s="1">
        <v>46057</v>
      </c>
      <c r="C940" t="s">
        <v>86</v>
      </c>
      <c r="D940" t="s">
        <v>90</v>
      </c>
      <c r="E940" t="s">
        <v>30</v>
      </c>
      <c r="F940" t="s">
        <v>23</v>
      </c>
      <c r="G940" t="s">
        <v>38</v>
      </c>
      <c r="H940" t="s">
        <v>72</v>
      </c>
      <c r="I940" t="s">
        <v>1904</v>
      </c>
      <c r="J940">
        <v>10</v>
      </c>
      <c r="K940" s="2">
        <v>4074.51</v>
      </c>
      <c r="L940">
        <v>0</v>
      </c>
      <c r="M940" s="2">
        <v>40745.1</v>
      </c>
      <c r="N940" s="2">
        <v>27165.31</v>
      </c>
      <c r="O940" s="2">
        <v>13579.79</v>
      </c>
      <c r="P940" t="s">
        <v>48</v>
      </c>
      <c r="Q940" t="s">
        <v>61</v>
      </c>
    </row>
    <row r="941" spans="1:17" x14ac:dyDescent="0.3">
      <c r="A941" t="s">
        <v>1905</v>
      </c>
      <c r="B941" s="1">
        <v>46203</v>
      </c>
      <c r="C941" t="s">
        <v>86</v>
      </c>
      <c r="D941" t="s">
        <v>87</v>
      </c>
      <c r="E941" t="s">
        <v>51</v>
      </c>
      <c r="F941" t="s">
        <v>23</v>
      </c>
      <c r="G941" t="s">
        <v>24</v>
      </c>
      <c r="H941" t="s">
        <v>134</v>
      </c>
      <c r="I941" t="s">
        <v>1906</v>
      </c>
      <c r="J941">
        <v>5</v>
      </c>
      <c r="K941" s="2">
        <v>3687.14</v>
      </c>
      <c r="L941">
        <v>15</v>
      </c>
      <c r="M941" s="2">
        <v>15670.34</v>
      </c>
      <c r="N941" s="2">
        <v>11704.8</v>
      </c>
      <c r="O941" s="2">
        <v>3965.54</v>
      </c>
      <c r="P941" t="s">
        <v>41</v>
      </c>
      <c r="Q941" t="s">
        <v>61</v>
      </c>
    </row>
    <row r="942" spans="1:17" x14ac:dyDescent="0.3">
      <c r="A942" t="s">
        <v>1907</v>
      </c>
      <c r="B942" s="1">
        <v>45853</v>
      </c>
      <c r="C942" t="s">
        <v>70</v>
      </c>
      <c r="D942" t="s">
        <v>75</v>
      </c>
      <c r="E942" t="s">
        <v>44</v>
      </c>
      <c r="F942" t="s">
        <v>37</v>
      </c>
      <c r="G942" t="s">
        <v>24</v>
      </c>
      <c r="H942" t="s">
        <v>32</v>
      </c>
      <c r="I942" t="s">
        <v>485</v>
      </c>
      <c r="J942">
        <v>1</v>
      </c>
      <c r="K942" s="2">
        <v>2213.21</v>
      </c>
      <c r="L942">
        <v>10</v>
      </c>
      <c r="M942" s="2">
        <v>1991.89</v>
      </c>
      <c r="N942" s="2">
        <v>1557.72</v>
      </c>
      <c r="O942" s="2">
        <v>434.17</v>
      </c>
      <c r="P942" t="s">
        <v>41</v>
      </c>
      <c r="Q942" t="s">
        <v>28</v>
      </c>
    </row>
    <row r="943" spans="1:17" x14ac:dyDescent="0.3">
      <c r="A943" t="s">
        <v>1908</v>
      </c>
      <c r="B943" s="1">
        <v>45931</v>
      </c>
      <c r="C943" t="s">
        <v>70</v>
      </c>
      <c r="D943" t="s">
        <v>71</v>
      </c>
      <c r="E943" t="s">
        <v>66</v>
      </c>
      <c r="F943" t="s">
        <v>31</v>
      </c>
      <c r="G943" t="s">
        <v>24</v>
      </c>
      <c r="H943" t="s">
        <v>56</v>
      </c>
      <c r="I943" t="s">
        <v>1909</v>
      </c>
      <c r="J943">
        <v>2</v>
      </c>
      <c r="K943" s="2">
        <v>946.46</v>
      </c>
      <c r="L943">
        <v>15</v>
      </c>
      <c r="M943" s="2">
        <v>1608.98</v>
      </c>
      <c r="N943" s="2">
        <v>1076.8800000000001</v>
      </c>
      <c r="O943" s="2">
        <v>532.1</v>
      </c>
      <c r="P943" t="s">
        <v>48</v>
      </c>
      <c r="Q943" t="s">
        <v>42</v>
      </c>
    </row>
    <row r="944" spans="1:17" x14ac:dyDescent="0.3">
      <c r="A944" t="s">
        <v>1910</v>
      </c>
      <c r="B944" s="1">
        <v>46093</v>
      </c>
      <c r="C944" t="s">
        <v>70</v>
      </c>
      <c r="D944" t="s">
        <v>71</v>
      </c>
      <c r="E944" t="s">
        <v>30</v>
      </c>
      <c r="F944" t="s">
        <v>23</v>
      </c>
      <c r="G944" t="s">
        <v>45</v>
      </c>
      <c r="H944" t="s">
        <v>67</v>
      </c>
      <c r="I944" t="s">
        <v>1911</v>
      </c>
      <c r="J944">
        <v>13</v>
      </c>
      <c r="K944" s="2">
        <v>1619.36</v>
      </c>
      <c r="L944">
        <v>0</v>
      </c>
      <c r="M944" s="2">
        <v>21051.68</v>
      </c>
      <c r="N944" s="2">
        <v>14579.1</v>
      </c>
      <c r="O944" s="2">
        <v>6472.58</v>
      </c>
      <c r="P944" t="s">
        <v>41</v>
      </c>
      <c r="Q944" t="s">
        <v>49</v>
      </c>
    </row>
    <row r="945" spans="1:17" x14ac:dyDescent="0.3">
      <c r="A945" t="s">
        <v>1912</v>
      </c>
      <c r="B945" s="1">
        <v>45761</v>
      </c>
      <c r="C945" t="s">
        <v>86</v>
      </c>
      <c r="D945" t="s">
        <v>87</v>
      </c>
      <c r="E945" t="s">
        <v>22</v>
      </c>
      <c r="F945" t="s">
        <v>23</v>
      </c>
      <c r="G945" t="s">
        <v>45</v>
      </c>
      <c r="H945" t="s">
        <v>52</v>
      </c>
      <c r="I945" t="s">
        <v>1913</v>
      </c>
      <c r="J945">
        <v>7</v>
      </c>
      <c r="K945" s="2">
        <v>2440.44</v>
      </c>
      <c r="L945">
        <v>0</v>
      </c>
      <c r="M945" s="2">
        <v>17083.080000000002</v>
      </c>
      <c r="N945" s="2">
        <v>13487.03</v>
      </c>
      <c r="O945" s="2">
        <v>3596.05</v>
      </c>
      <c r="P945" t="s">
        <v>27</v>
      </c>
      <c r="Q945" t="s">
        <v>61</v>
      </c>
    </row>
    <row r="946" spans="1:17" x14ac:dyDescent="0.3">
      <c r="A946" t="s">
        <v>1914</v>
      </c>
      <c r="B946" s="1">
        <v>45855</v>
      </c>
      <c r="C946" t="s">
        <v>20</v>
      </c>
      <c r="D946" t="s">
        <v>55</v>
      </c>
      <c r="E946" t="s">
        <v>170</v>
      </c>
      <c r="F946" t="s">
        <v>23</v>
      </c>
      <c r="G946" t="s">
        <v>24</v>
      </c>
      <c r="H946" t="s">
        <v>56</v>
      </c>
      <c r="I946" t="s">
        <v>1915</v>
      </c>
      <c r="J946">
        <v>14</v>
      </c>
      <c r="K946" s="2">
        <v>2325.61</v>
      </c>
      <c r="L946">
        <v>0</v>
      </c>
      <c r="M946" s="2">
        <v>32558.54</v>
      </c>
      <c r="N946" s="2">
        <v>23539.38</v>
      </c>
      <c r="O946" s="2">
        <v>9019.16</v>
      </c>
      <c r="P946" t="s">
        <v>41</v>
      </c>
      <c r="Q946" t="s">
        <v>61</v>
      </c>
    </row>
    <row r="947" spans="1:17" x14ac:dyDescent="0.3">
      <c r="A947" t="s">
        <v>1916</v>
      </c>
      <c r="B947" s="1">
        <v>45787</v>
      </c>
      <c r="C947" t="s">
        <v>20</v>
      </c>
      <c r="D947" t="s">
        <v>55</v>
      </c>
      <c r="E947" t="s">
        <v>113</v>
      </c>
      <c r="F947" t="s">
        <v>31</v>
      </c>
      <c r="G947" t="s">
        <v>45</v>
      </c>
      <c r="H947" t="s">
        <v>52</v>
      </c>
      <c r="I947" t="s">
        <v>1917</v>
      </c>
      <c r="J947">
        <v>10</v>
      </c>
      <c r="K947" s="2">
        <v>396.86</v>
      </c>
      <c r="L947">
        <v>5</v>
      </c>
      <c r="M947" s="2">
        <v>3770.17</v>
      </c>
      <c r="N947" s="2">
        <v>2528.06</v>
      </c>
      <c r="O947" s="2">
        <v>1242.1099999999999</v>
      </c>
      <c r="P947" t="s">
        <v>27</v>
      </c>
      <c r="Q947" t="s">
        <v>61</v>
      </c>
    </row>
    <row r="948" spans="1:17" x14ac:dyDescent="0.3">
      <c r="A948" t="s">
        <v>1918</v>
      </c>
      <c r="B948" s="1">
        <v>45780</v>
      </c>
      <c r="C948" t="s">
        <v>70</v>
      </c>
      <c r="D948" t="s">
        <v>75</v>
      </c>
      <c r="E948" t="s">
        <v>30</v>
      </c>
      <c r="F948" t="s">
        <v>23</v>
      </c>
      <c r="G948" t="s">
        <v>45</v>
      </c>
      <c r="H948" t="s">
        <v>123</v>
      </c>
      <c r="I948" t="s">
        <v>1919</v>
      </c>
      <c r="J948">
        <v>13</v>
      </c>
      <c r="K948" s="2">
        <v>1624.24</v>
      </c>
      <c r="L948">
        <v>0</v>
      </c>
      <c r="M948" s="2">
        <v>21115.119999999999</v>
      </c>
      <c r="N948" s="2">
        <v>15670.66</v>
      </c>
      <c r="O948" s="2">
        <v>5444.46</v>
      </c>
      <c r="P948" t="s">
        <v>27</v>
      </c>
      <c r="Q948" t="s">
        <v>61</v>
      </c>
    </row>
    <row r="949" spans="1:17" x14ac:dyDescent="0.3">
      <c r="A949" t="s">
        <v>1920</v>
      </c>
      <c r="B949" s="1">
        <v>45663</v>
      </c>
      <c r="C949" t="s">
        <v>70</v>
      </c>
      <c r="D949" t="s">
        <v>75</v>
      </c>
      <c r="E949" t="s">
        <v>66</v>
      </c>
      <c r="F949" t="s">
        <v>23</v>
      </c>
      <c r="G949" t="s">
        <v>38</v>
      </c>
      <c r="H949" t="s">
        <v>91</v>
      </c>
      <c r="I949" t="s">
        <v>1921</v>
      </c>
      <c r="J949">
        <v>8</v>
      </c>
      <c r="K949" s="2">
        <v>3419.3</v>
      </c>
      <c r="L949">
        <v>20</v>
      </c>
      <c r="M949" s="2">
        <v>21883.52</v>
      </c>
      <c r="N949" s="2">
        <v>15559.3</v>
      </c>
      <c r="O949" s="2">
        <v>6324.22</v>
      </c>
      <c r="P949" t="s">
        <v>48</v>
      </c>
      <c r="Q949" t="s">
        <v>61</v>
      </c>
    </row>
    <row r="950" spans="1:17" x14ac:dyDescent="0.3">
      <c r="A950" t="s">
        <v>1922</v>
      </c>
      <c r="B950" s="1">
        <v>45839</v>
      </c>
      <c r="C950" t="s">
        <v>20</v>
      </c>
      <c r="D950" t="s">
        <v>55</v>
      </c>
      <c r="E950" t="s">
        <v>170</v>
      </c>
      <c r="F950" t="s">
        <v>31</v>
      </c>
      <c r="G950" t="s">
        <v>24</v>
      </c>
      <c r="H950" t="s">
        <v>56</v>
      </c>
      <c r="I950" t="s">
        <v>1923</v>
      </c>
      <c r="J950">
        <v>12</v>
      </c>
      <c r="K950" s="2">
        <v>3021.86</v>
      </c>
      <c r="L950">
        <v>20</v>
      </c>
      <c r="M950" s="2">
        <v>29009.86</v>
      </c>
      <c r="N950" s="2">
        <v>23734.45</v>
      </c>
      <c r="O950" s="2">
        <v>5275.41</v>
      </c>
      <c r="P950" t="s">
        <v>48</v>
      </c>
      <c r="Q950" t="s">
        <v>28</v>
      </c>
    </row>
    <row r="951" spans="1:17" x14ac:dyDescent="0.3">
      <c r="A951" t="s">
        <v>1924</v>
      </c>
      <c r="B951" s="1">
        <v>46202</v>
      </c>
      <c r="C951" t="s">
        <v>86</v>
      </c>
      <c r="D951" t="s">
        <v>87</v>
      </c>
      <c r="E951" t="s">
        <v>120</v>
      </c>
      <c r="F951" t="s">
        <v>23</v>
      </c>
      <c r="G951" t="s">
        <v>38</v>
      </c>
      <c r="H951" t="s">
        <v>39</v>
      </c>
      <c r="I951" t="s">
        <v>1925</v>
      </c>
      <c r="J951">
        <v>14</v>
      </c>
      <c r="K951" s="2">
        <v>817.64</v>
      </c>
      <c r="L951">
        <v>5</v>
      </c>
      <c r="M951" s="2">
        <v>10874.61</v>
      </c>
      <c r="N951" s="2">
        <v>6718.25</v>
      </c>
      <c r="O951" s="2">
        <v>4156.3599999999997</v>
      </c>
      <c r="P951" t="s">
        <v>27</v>
      </c>
      <c r="Q951" t="s">
        <v>28</v>
      </c>
    </row>
    <row r="952" spans="1:17" x14ac:dyDescent="0.3">
      <c r="A952" t="s">
        <v>1926</v>
      </c>
      <c r="B952" s="1">
        <v>46035</v>
      </c>
      <c r="C952" t="s">
        <v>70</v>
      </c>
      <c r="D952" t="s">
        <v>71</v>
      </c>
      <c r="E952" t="s">
        <v>120</v>
      </c>
      <c r="F952" t="s">
        <v>23</v>
      </c>
      <c r="G952" t="s">
        <v>38</v>
      </c>
      <c r="H952" t="s">
        <v>106</v>
      </c>
      <c r="I952" t="s">
        <v>1927</v>
      </c>
      <c r="J952">
        <v>9</v>
      </c>
      <c r="K952" s="2">
        <v>2607.2399999999998</v>
      </c>
      <c r="L952">
        <v>20</v>
      </c>
      <c r="M952" s="2">
        <v>18772.13</v>
      </c>
      <c r="N952" s="2">
        <v>12446.7</v>
      </c>
      <c r="O952" s="2">
        <v>6325.43</v>
      </c>
      <c r="P952" t="s">
        <v>48</v>
      </c>
      <c r="Q952" t="s">
        <v>42</v>
      </c>
    </row>
    <row r="953" spans="1:17" x14ac:dyDescent="0.3">
      <c r="A953" t="s">
        <v>1928</v>
      </c>
      <c r="B953" s="1">
        <v>45816</v>
      </c>
      <c r="C953" t="s">
        <v>35</v>
      </c>
      <c r="D953" t="s">
        <v>36</v>
      </c>
      <c r="E953" t="s">
        <v>44</v>
      </c>
      <c r="F953" t="s">
        <v>23</v>
      </c>
      <c r="G953" t="s">
        <v>38</v>
      </c>
      <c r="H953" t="s">
        <v>72</v>
      </c>
      <c r="I953" t="s">
        <v>1929</v>
      </c>
      <c r="J953">
        <v>2</v>
      </c>
      <c r="K953" s="2">
        <v>4572.71</v>
      </c>
      <c r="L953">
        <v>15</v>
      </c>
      <c r="M953" s="2">
        <v>7773.61</v>
      </c>
      <c r="N953" s="2">
        <v>6083.77</v>
      </c>
      <c r="O953" s="2">
        <v>1689.84</v>
      </c>
      <c r="P953" t="s">
        <v>41</v>
      </c>
      <c r="Q953" t="s">
        <v>49</v>
      </c>
    </row>
    <row r="954" spans="1:17" x14ac:dyDescent="0.3">
      <c r="A954" t="s">
        <v>1930</v>
      </c>
      <c r="B954" s="1">
        <v>45662</v>
      </c>
      <c r="C954" t="s">
        <v>86</v>
      </c>
      <c r="D954" t="s">
        <v>90</v>
      </c>
      <c r="E954" t="s">
        <v>66</v>
      </c>
      <c r="F954" t="s">
        <v>37</v>
      </c>
      <c r="G954" t="s">
        <v>38</v>
      </c>
      <c r="H954" t="s">
        <v>106</v>
      </c>
      <c r="I954" t="s">
        <v>1931</v>
      </c>
      <c r="J954">
        <v>2</v>
      </c>
      <c r="K954" s="2">
        <v>1373.46</v>
      </c>
      <c r="L954">
        <v>15</v>
      </c>
      <c r="M954" s="2">
        <v>2334.88</v>
      </c>
      <c r="N954" s="2">
        <v>1887.61</v>
      </c>
      <c r="O954" s="2">
        <v>447.27</v>
      </c>
      <c r="P954" t="s">
        <v>48</v>
      </c>
      <c r="Q954" t="s">
        <v>42</v>
      </c>
    </row>
    <row r="955" spans="1:17" x14ac:dyDescent="0.3">
      <c r="A955" t="s">
        <v>1932</v>
      </c>
      <c r="B955" s="1">
        <v>45980</v>
      </c>
      <c r="C955" t="s">
        <v>86</v>
      </c>
      <c r="D955" t="s">
        <v>87</v>
      </c>
      <c r="E955" t="s">
        <v>66</v>
      </c>
      <c r="F955" t="s">
        <v>31</v>
      </c>
      <c r="G955" t="s">
        <v>38</v>
      </c>
      <c r="H955" t="s">
        <v>63</v>
      </c>
      <c r="I955" t="s">
        <v>1933</v>
      </c>
      <c r="J955">
        <v>2</v>
      </c>
      <c r="K955" s="2">
        <v>3636.42</v>
      </c>
      <c r="L955">
        <v>15</v>
      </c>
      <c r="M955" s="2">
        <v>6181.91</v>
      </c>
      <c r="N955" s="2">
        <v>3855.1</v>
      </c>
      <c r="O955" s="2">
        <v>2326.81</v>
      </c>
      <c r="P955" t="s">
        <v>27</v>
      </c>
      <c r="Q955" t="s">
        <v>28</v>
      </c>
    </row>
    <row r="956" spans="1:17" x14ac:dyDescent="0.3">
      <c r="A956" t="s">
        <v>1934</v>
      </c>
      <c r="B956" s="1">
        <v>46032</v>
      </c>
      <c r="C956" t="s">
        <v>35</v>
      </c>
      <c r="D956" t="s">
        <v>59</v>
      </c>
      <c r="E956" t="s">
        <v>22</v>
      </c>
      <c r="F956" t="s">
        <v>31</v>
      </c>
      <c r="G956" t="s">
        <v>45</v>
      </c>
      <c r="H956" t="s">
        <v>123</v>
      </c>
      <c r="I956" t="s">
        <v>1935</v>
      </c>
      <c r="J956">
        <v>10</v>
      </c>
      <c r="K956" s="2">
        <v>2228.86</v>
      </c>
      <c r="L956">
        <v>0</v>
      </c>
      <c r="M956" s="2">
        <v>22288.6</v>
      </c>
      <c r="N956" s="2">
        <v>17699.29</v>
      </c>
      <c r="O956" s="2">
        <v>4589.3100000000004</v>
      </c>
      <c r="P956" t="s">
        <v>48</v>
      </c>
      <c r="Q956" t="s">
        <v>49</v>
      </c>
    </row>
    <row r="957" spans="1:17" x14ac:dyDescent="0.3">
      <c r="A957" t="s">
        <v>1936</v>
      </c>
      <c r="B957" s="1">
        <v>45728</v>
      </c>
      <c r="C957" t="s">
        <v>70</v>
      </c>
      <c r="D957" t="s">
        <v>75</v>
      </c>
      <c r="E957" t="s">
        <v>66</v>
      </c>
      <c r="F957" t="s">
        <v>31</v>
      </c>
      <c r="G957" t="s">
        <v>45</v>
      </c>
      <c r="H957" t="s">
        <v>159</v>
      </c>
      <c r="I957" t="s">
        <v>1937</v>
      </c>
      <c r="J957">
        <v>8</v>
      </c>
      <c r="K957" s="2">
        <v>1001.84</v>
      </c>
      <c r="L957">
        <v>0</v>
      </c>
      <c r="M957" s="2">
        <v>8014.72</v>
      </c>
      <c r="N957" s="2">
        <v>6153.26</v>
      </c>
      <c r="O957" s="2">
        <v>1861.46</v>
      </c>
      <c r="P957" t="s">
        <v>48</v>
      </c>
      <c r="Q957" t="s">
        <v>49</v>
      </c>
    </row>
    <row r="958" spans="1:17" x14ac:dyDescent="0.3">
      <c r="A958" t="s">
        <v>1938</v>
      </c>
      <c r="B958" s="1">
        <v>46186</v>
      </c>
      <c r="C958" t="s">
        <v>20</v>
      </c>
      <c r="D958" t="s">
        <v>55</v>
      </c>
      <c r="E958" t="s">
        <v>120</v>
      </c>
      <c r="F958" t="s">
        <v>31</v>
      </c>
      <c r="G958" t="s">
        <v>45</v>
      </c>
      <c r="H958" t="s">
        <v>52</v>
      </c>
      <c r="I958" t="s">
        <v>1939</v>
      </c>
      <c r="J958">
        <v>4</v>
      </c>
      <c r="K958" s="2">
        <v>2721.28</v>
      </c>
      <c r="L958">
        <v>15</v>
      </c>
      <c r="M958" s="2">
        <v>9252.35</v>
      </c>
      <c r="N958" s="2">
        <v>5796.58</v>
      </c>
      <c r="O958" s="2">
        <v>3455.77</v>
      </c>
      <c r="P958" t="s">
        <v>48</v>
      </c>
      <c r="Q958" t="s">
        <v>49</v>
      </c>
    </row>
    <row r="959" spans="1:17" x14ac:dyDescent="0.3">
      <c r="A959" t="s">
        <v>1940</v>
      </c>
      <c r="B959" s="1">
        <v>46111</v>
      </c>
      <c r="C959" t="s">
        <v>35</v>
      </c>
      <c r="D959" t="s">
        <v>59</v>
      </c>
      <c r="E959" t="s">
        <v>51</v>
      </c>
      <c r="F959" t="s">
        <v>23</v>
      </c>
      <c r="G959" t="s">
        <v>38</v>
      </c>
      <c r="H959" t="s">
        <v>72</v>
      </c>
      <c r="I959" t="s">
        <v>456</v>
      </c>
      <c r="J959">
        <v>9</v>
      </c>
      <c r="K959" s="2">
        <v>4965.1000000000004</v>
      </c>
      <c r="L959">
        <v>15</v>
      </c>
      <c r="M959" s="2">
        <v>37983.01</v>
      </c>
      <c r="N959" s="2">
        <v>25346.799999999999</v>
      </c>
      <c r="O959" s="2">
        <v>12636.21</v>
      </c>
      <c r="P959" t="s">
        <v>41</v>
      </c>
      <c r="Q959" t="s">
        <v>49</v>
      </c>
    </row>
    <row r="960" spans="1:17" x14ac:dyDescent="0.3">
      <c r="A960" t="s">
        <v>1941</v>
      </c>
      <c r="B960" s="1">
        <v>45900</v>
      </c>
      <c r="C960" t="s">
        <v>35</v>
      </c>
      <c r="D960" t="s">
        <v>36</v>
      </c>
      <c r="E960" t="s">
        <v>66</v>
      </c>
      <c r="F960" t="s">
        <v>23</v>
      </c>
      <c r="G960" t="s">
        <v>38</v>
      </c>
      <c r="H960" t="s">
        <v>39</v>
      </c>
      <c r="I960" t="s">
        <v>1942</v>
      </c>
      <c r="J960">
        <v>14</v>
      </c>
      <c r="K960" s="2">
        <v>4771.1099999999997</v>
      </c>
      <c r="L960">
        <v>10</v>
      </c>
      <c r="M960" s="2">
        <v>60115.99</v>
      </c>
      <c r="N960" s="2">
        <v>36115.29</v>
      </c>
      <c r="O960" s="2">
        <v>24000.7</v>
      </c>
      <c r="P960" t="s">
        <v>41</v>
      </c>
      <c r="Q960" t="s">
        <v>49</v>
      </c>
    </row>
    <row r="961" spans="1:17" x14ac:dyDescent="0.3">
      <c r="A961" t="s">
        <v>1943</v>
      </c>
      <c r="B961" s="1">
        <v>45855</v>
      </c>
      <c r="C961" t="s">
        <v>70</v>
      </c>
      <c r="D961" t="s">
        <v>71</v>
      </c>
      <c r="E961" t="s">
        <v>44</v>
      </c>
      <c r="F961" t="s">
        <v>31</v>
      </c>
      <c r="G961" t="s">
        <v>24</v>
      </c>
      <c r="H961" t="s">
        <v>134</v>
      </c>
      <c r="I961" t="s">
        <v>1944</v>
      </c>
      <c r="J961">
        <v>8</v>
      </c>
      <c r="K961" s="2">
        <v>1566.24</v>
      </c>
      <c r="L961">
        <v>10</v>
      </c>
      <c r="M961" s="2">
        <v>11276.93</v>
      </c>
      <c r="N961" s="2">
        <v>7024.37</v>
      </c>
      <c r="O961" s="2">
        <v>4252.5600000000004</v>
      </c>
      <c r="P961" t="s">
        <v>48</v>
      </c>
      <c r="Q961" t="s">
        <v>28</v>
      </c>
    </row>
    <row r="962" spans="1:17" x14ac:dyDescent="0.3">
      <c r="A962" t="s">
        <v>1945</v>
      </c>
      <c r="B962" s="1">
        <v>45890</v>
      </c>
      <c r="C962" t="s">
        <v>35</v>
      </c>
      <c r="D962" t="s">
        <v>59</v>
      </c>
      <c r="E962" t="s">
        <v>44</v>
      </c>
      <c r="F962" t="s">
        <v>31</v>
      </c>
      <c r="G962" t="s">
        <v>24</v>
      </c>
      <c r="H962" t="s">
        <v>25</v>
      </c>
      <c r="I962" t="s">
        <v>1946</v>
      </c>
      <c r="J962">
        <v>1</v>
      </c>
      <c r="K962" s="2">
        <v>1232.6199999999999</v>
      </c>
      <c r="L962">
        <v>10</v>
      </c>
      <c r="M962" s="2">
        <v>1109.3599999999999</v>
      </c>
      <c r="N962" s="2">
        <v>743.38</v>
      </c>
      <c r="O962" s="2">
        <v>365.98</v>
      </c>
      <c r="P962" t="s">
        <v>27</v>
      </c>
      <c r="Q962" t="s">
        <v>28</v>
      </c>
    </row>
    <row r="963" spans="1:17" x14ac:dyDescent="0.3">
      <c r="A963" t="s">
        <v>1947</v>
      </c>
      <c r="B963" s="1">
        <v>45911</v>
      </c>
      <c r="C963" t="s">
        <v>70</v>
      </c>
      <c r="D963" t="s">
        <v>71</v>
      </c>
      <c r="E963" t="s">
        <v>113</v>
      </c>
      <c r="F963" t="s">
        <v>23</v>
      </c>
      <c r="G963" t="s">
        <v>45</v>
      </c>
      <c r="H963" t="s">
        <v>67</v>
      </c>
      <c r="I963" t="s">
        <v>1948</v>
      </c>
      <c r="J963">
        <v>11</v>
      </c>
      <c r="K963" s="2">
        <v>2919.88</v>
      </c>
      <c r="L963">
        <v>10</v>
      </c>
      <c r="M963" s="2">
        <v>28906.81</v>
      </c>
      <c r="N963" s="2">
        <v>21788.15</v>
      </c>
      <c r="O963" s="2">
        <v>7118.66</v>
      </c>
      <c r="P963" t="s">
        <v>48</v>
      </c>
      <c r="Q963" t="s">
        <v>61</v>
      </c>
    </row>
    <row r="964" spans="1:17" x14ac:dyDescent="0.3">
      <c r="A964" t="s">
        <v>1949</v>
      </c>
      <c r="B964" s="1">
        <v>46065</v>
      </c>
      <c r="C964" t="s">
        <v>86</v>
      </c>
      <c r="D964" t="s">
        <v>87</v>
      </c>
      <c r="E964" t="s">
        <v>51</v>
      </c>
      <c r="F964" t="s">
        <v>31</v>
      </c>
      <c r="G964" t="s">
        <v>24</v>
      </c>
      <c r="H964" t="s">
        <v>25</v>
      </c>
      <c r="I964" t="s">
        <v>1950</v>
      </c>
      <c r="J964">
        <v>12</v>
      </c>
      <c r="K964" s="2">
        <v>746.75</v>
      </c>
      <c r="L964">
        <v>20</v>
      </c>
      <c r="M964" s="2">
        <v>7168.8</v>
      </c>
      <c r="N964" s="2">
        <v>5555.87</v>
      </c>
      <c r="O964" s="2">
        <v>1612.93</v>
      </c>
      <c r="P964" t="s">
        <v>41</v>
      </c>
      <c r="Q964" t="s">
        <v>61</v>
      </c>
    </row>
    <row r="965" spans="1:17" x14ac:dyDescent="0.3">
      <c r="A965" t="s">
        <v>1951</v>
      </c>
      <c r="B965" s="1">
        <v>45810</v>
      </c>
      <c r="C965" t="s">
        <v>86</v>
      </c>
      <c r="D965" t="s">
        <v>87</v>
      </c>
      <c r="E965" t="s">
        <v>170</v>
      </c>
      <c r="F965" t="s">
        <v>37</v>
      </c>
      <c r="G965" t="s">
        <v>24</v>
      </c>
      <c r="H965" t="s">
        <v>171</v>
      </c>
      <c r="I965" t="s">
        <v>1952</v>
      </c>
      <c r="J965">
        <v>1</v>
      </c>
      <c r="K965" s="2">
        <v>1872.79</v>
      </c>
      <c r="L965">
        <v>5</v>
      </c>
      <c r="M965" s="2">
        <v>1779.15</v>
      </c>
      <c r="N965" s="2">
        <v>1053.5999999999999</v>
      </c>
      <c r="O965" s="2">
        <v>725.55</v>
      </c>
      <c r="P965" t="s">
        <v>48</v>
      </c>
      <c r="Q965" t="s">
        <v>28</v>
      </c>
    </row>
    <row r="966" spans="1:17" x14ac:dyDescent="0.3">
      <c r="A966" t="s">
        <v>1953</v>
      </c>
      <c r="B966" s="1">
        <v>45910</v>
      </c>
      <c r="C966" t="s">
        <v>86</v>
      </c>
      <c r="D966" t="s">
        <v>87</v>
      </c>
      <c r="E966" t="s">
        <v>66</v>
      </c>
      <c r="F966" t="s">
        <v>23</v>
      </c>
      <c r="G966" t="s">
        <v>45</v>
      </c>
      <c r="H966" t="s">
        <v>52</v>
      </c>
      <c r="I966" t="s">
        <v>1954</v>
      </c>
      <c r="J966">
        <v>8</v>
      </c>
      <c r="K966" s="2">
        <v>4870.26</v>
      </c>
      <c r="L966">
        <v>10</v>
      </c>
      <c r="M966" s="2">
        <v>35065.870000000003</v>
      </c>
      <c r="N966" s="2">
        <v>20580.849999999999</v>
      </c>
      <c r="O966" s="2">
        <v>14485.02</v>
      </c>
      <c r="P966" t="s">
        <v>48</v>
      </c>
      <c r="Q966" t="s">
        <v>61</v>
      </c>
    </row>
    <row r="967" spans="1:17" x14ac:dyDescent="0.3">
      <c r="A967" t="s">
        <v>1955</v>
      </c>
      <c r="B967" s="1">
        <v>45920</v>
      </c>
      <c r="C967" t="s">
        <v>70</v>
      </c>
      <c r="D967" t="s">
        <v>75</v>
      </c>
      <c r="E967" t="s">
        <v>113</v>
      </c>
      <c r="F967" t="s">
        <v>23</v>
      </c>
      <c r="G967" t="s">
        <v>45</v>
      </c>
      <c r="H967" t="s">
        <v>159</v>
      </c>
      <c r="I967" t="s">
        <v>1956</v>
      </c>
      <c r="J967">
        <v>2</v>
      </c>
      <c r="K967" s="2">
        <v>4138.5600000000004</v>
      </c>
      <c r="L967">
        <v>20</v>
      </c>
      <c r="M967" s="2">
        <v>6621.7</v>
      </c>
      <c r="N967" s="2">
        <v>4344.17</v>
      </c>
      <c r="O967" s="2">
        <v>2277.5300000000002</v>
      </c>
      <c r="P967" t="s">
        <v>48</v>
      </c>
      <c r="Q967" t="s">
        <v>49</v>
      </c>
    </row>
    <row r="968" spans="1:17" x14ac:dyDescent="0.3">
      <c r="A968" t="s">
        <v>1957</v>
      </c>
      <c r="B968" s="1">
        <v>45972</v>
      </c>
      <c r="C968" t="s">
        <v>70</v>
      </c>
      <c r="D968" t="s">
        <v>71</v>
      </c>
      <c r="E968" t="s">
        <v>170</v>
      </c>
      <c r="F968" t="s">
        <v>31</v>
      </c>
      <c r="G968" t="s">
        <v>24</v>
      </c>
      <c r="H968" t="s">
        <v>171</v>
      </c>
      <c r="I968" t="s">
        <v>1958</v>
      </c>
      <c r="J968">
        <v>12</v>
      </c>
      <c r="K968" s="2">
        <v>1288.94</v>
      </c>
      <c r="L968">
        <v>20</v>
      </c>
      <c r="M968" s="2">
        <v>12373.82</v>
      </c>
      <c r="N968" s="2">
        <v>7543.6</v>
      </c>
      <c r="O968" s="2">
        <v>4830.22</v>
      </c>
      <c r="P968" t="s">
        <v>41</v>
      </c>
      <c r="Q968" t="s">
        <v>49</v>
      </c>
    </row>
    <row r="969" spans="1:17" x14ac:dyDescent="0.3">
      <c r="A969" t="s">
        <v>1959</v>
      </c>
      <c r="B969" s="1">
        <v>46201</v>
      </c>
      <c r="C969" t="s">
        <v>35</v>
      </c>
      <c r="D969" t="s">
        <v>59</v>
      </c>
      <c r="E969" t="s">
        <v>22</v>
      </c>
      <c r="F969" t="s">
        <v>23</v>
      </c>
      <c r="G969" t="s">
        <v>24</v>
      </c>
      <c r="H969" t="s">
        <v>25</v>
      </c>
      <c r="I969" t="s">
        <v>1960</v>
      </c>
      <c r="J969">
        <v>6</v>
      </c>
      <c r="K969" s="2">
        <v>4938.95</v>
      </c>
      <c r="L969">
        <v>20</v>
      </c>
      <c r="M969" s="2">
        <v>23706.959999999999</v>
      </c>
      <c r="N969" s="2">
        <v>18154.09</v>
      </c>
      <c r="O969" s="2">
        <v>5552.87</v>
      </c>
      <c r="P969" t="s">
        <v>41</v>
      </c>
      <c r="Q969" t="s">
        <v>42</v>
      </c>
    </row>
    <row r="970" spans="1:17" x14ac:dyDescent="0.3">
      <c r="A970" t="s">
        <v>1961</v>
      </c>
      <c r="B970" s="1">
        <v>45714</v>
      </c>
      <c r="C970" t="s">
        <v>20</v>
      </c>
      <c r="D970" t="s">
        <v>21</v>
      </c>
      <c r="E970" t="s">
        <v>30</v>
      </c>
      <c r="F970" t="s">
        <v>37</v>
      </c>
      <c r="G970" t="s">
        <v>45</v>
      </c>
      <c r="H970" t="s">
        <v>46</v>
      </c>
      <c r="I970" t="s">
        <v>1962</v>
      </c>
      <c r="J970">
        <v>15</v>
      </c>
      <c r="K970" s="2">
        <v>661.68</v>
      </c>
      <c r="L970">
        <v>10</v>
      </c>
      <c r="M970" s="2">
        <v>8932.68</v>
      </c>
      <c r="N970" s="2">
        <v>5725.59</v>
      </c>
      <c r="O970" s="2">
        <v>3207.09</v>
      </c>
      <c r="P970" t="s">
        <v>48</v>
      </c>
      <c r="Q970" t="s">
        <v>61</v>
      </c>
    </row>
    <row r="971" spans="1:17" x14ac:dyDescent="0.3">
      <c r="A971" t="s">
        <v>1963</v>
      </c>
      <c r="B971" s="1">
        <v>45749</v>
      </c>
      <c r="C971" t="s">
        <v>35</v>
      </c>
      <c r="D971" t="s">
        <v>36</v>
      </c>
      <c r="E971" t="s">
        <v>44</v>
      </c>
      <c r="F971" t="s">
        <v>31</v>
      </c>
      <c r="G971" t="s">
        <v>38</v>
      </c>
      <c r="H971" t="s">
        <v>39</v>
      </c>
      <c r="I971" t="s">
        <v>1964</v>
      </c>
      <c r="J971">
        <v>5</v>
      </c>
      <c r="K971" s="2">
        <v>3282.1</v>
      </c>
      <c r="L971">
        <v>15</v>
      </c>
      <c r="M971" s="2">
        <v>13948.92</v>
      </c>
      <c r="N971" s="2">
        <v>9337.23</v>
      </c>
      <c r="O971" s="2">
        <v>4611.6899999999996</v>
      </c>
      <c r="P971" t="s">
        <v>48</v>
      </c>
      <c r="Q971" t="s">
        <v>61</v>
      </c>
    </row>
    <row r="972" spans="1:17" x14ac:dyDescent="0.3">
      <c r="A972" t="s">
        <v>1965</v>
      </c>
      <c r="B972" s="1">
        <v>46180</v>
      </c>
      <c r="C972" t="s">
        <v>86</v>
      </c>
      <c r="D972" t="s">
        <v>90</v>
      </c>
      <c r="E972" t="s">
        <v>44</v>
      </c>
      <c r="F972" t="s">
        <v>31</v>
      </c>
      <c r="G972" t="s">
        <v>38</v>
      </c>
      <c r="H972" t="s">
        <v>106</v>
      </c>
      <c r="I972" t="s">
        <v>1966</v>
      </c>
      <c r="J972">
        <v>5</v>
      </c>
      <c r="K972" s="2">
        <v>1713.16</v>
      </c>
      <c r="L972">
        <v>15</v>
      </c>
      <c r="M972" s="2">
        <v>7280.93</v>
      </c>
      <c r="N972" s="2">
        <v>4328.01</v>
      </c>
      <c r="O972" s="2">
        <v>2952.92</v>
      </c>
      <c r="P972" t="s">
        <v>48</v>
      </c>
      <c r="Q972" t="s">
        <v>42</v>
      </c>
    </row>
    <row r="973" spans="1:17" x14ac:dyDescent="0.3">
      <c r="A973" t="s">
        <v>1967</v>
      </c>
      <c r="B973" s="1">
        <v>45934</v>
      </c>
      <c r="C973" t="s">
        <v>70</v>
      </c>
      <c r="D973" t="s">
        <v>71</v>
      </c>
      <c r="E973" t="s">
        <v>113</v>
      </c>
      <c r="F973" t="s">
        <v>37</v>
      </c>
      <c r="G973" t="s">
        <v>38</v>
      </c>
      <c r="H973" t="s">
        <v>72</v>
      </c>
      <c r="I973" t="s">
        <v>1968</v>
      </c>
      <c r="J973">
        <v>2</v>
      </c>
      <c r="K973" s="2">
        <v>2900.33</v>
      </c>
      <c r="L973">
        <v>5</v>
      </c>
      <c r="M973" s="2">
        <v>5510.63</v>
      </c>
      <c r="N973" s="2">
        <v>3942.01</v>
      </c>
      <c r="O973" s="2">
        <v>1568.62</v>
      </c>
      <c r="P973" t="s">
        <v>41</v>
      </c>
      <c r="Q973" t="s">
        <v>49</v>
      </c>
    </row>
    <row r="974" spans="1:17" x14ac:dyDescent="0.3">
      <c r="A974" t="s">
        <v>1969</v>
      </c>
      <c r="B974" s="1">
        <v>46192</v>
      </c>
      <c r="C974" t="s">
        <v>20</v>
      </c>
      <c r="D974" t="s">
        <v>21</v>
      </c>
      <c r="E974" t="s">
        <v>51</v>
      </c>
      <c r="F974" t="s">
        <v>31</v>
      </c>
      <c r="G974" t="s">
        <v>24</v>
      </c>
      <c r="H974" t="s">
        <v>25</v>
      </c>
      <c r="I974" t="s">
        <v>1970</v>
      </c>
      <c r="J974">
        <v>6</v>
      </c>
      <c r="K974" s="2">
        <v>2323.7600000000002</v>
      </c>
      <c r="L974">
        <v>10</v>
      </c>
      <c r="M974" s="2">
        <v>12548.3</v>
      </c>
      <c r="N974" s="2">
        <v>10120.44</v>
      </c>
      <c r="O974" s="2">
        <v>2427.86</v>
      </c>
      <c r="P974" t="s">
        <v>48</v>
      </c>
      <c r="Q974" t="s">
        <v>49</v>
      </c>
    </row>
    <row r="975" spans="1:17" x14ac:dyDescent="0.3">
      <c r="A975" t="s">
        <v>1971</v>
      </c>
      <c r="B975" s="1">
        <v>45940</v>
      </c>
      <c r="C975" t="s">
        <v>70</v>
      </c>
      <c r="D975" t="s">
        <v>75</v>
      </c>
      <c r="E975" t="s">
        <v>44</v>
      </c>
      <c r="F975" t="s">
        <v>23</v>
      </c>
      <c r="G975" t="s">
        <v>24</v>
      </c>
      <c r="H975" t="s">
        <v>32</v>
      </c>
      <c r="I975" t="s">
        <v>1972</v>
      </c>
      <c r="J975">
        <v>11</v>
      </c>
      <c r="K975" s="2">
        <v>1048.82</v>
      </c>
      <c r="L975">
        <v>0</v>
      </c>
      <c r="M975" s="2">
        <v>11537.02</v>
      </c>
      <c r="N975" s="2">
        <v>9128.82</v>
      </c>
      <c r="O975" s="2">
        <v>2408.1999999999998</v>
      </c>
      <c r="P975" t="s">
        <v>48</v>
      </c>
      <c r="Q975" t="s">
        <v>61</v>
      </c>
    </row>
    <row r="976" spans="1:17" x14ac:dyDescent="0.3">
      <c r="A976" t="s">
        <v>1973</v>
      </c>
      <c r="B976" s="1">
        <v>45954</v>
      </c>
      <c r="C976" t="s">
        <v>20</v>
      </c>
      <c r="D976" t="s">
        <v>21</v>
      </c>
      <c r="E976" t="s">
        <v>30</v>
      </c>
      <c r="F976" t="s">
        <v>37</v>
      </c>
      <c r="G976" t="s">
        <v>24</v>
      </c>
      <c r="H976" t="s">
        <v>56</v>
      </c>
      <c r="I976" t="s">
        <v>1974</v>
      </c>
      <c r="J976">
        <v>13</v>
      </c>
      <c r="K976" s="2">
        <v>1813.5</v>
      </c>
      <c r="L976">
        <v>15</v>
      </c>
      <c r="M976" s="2">
        <v>20039.169999999998</v>
      </c>
      <c r="N976" s="2">
        <v>11711.98</v>
      </c>
      <c r="O976" s="2">
        <v>8327.19</v>
      </c>
      <c r="P976" t="s">
        <v>48</v>
      </c>
      <c r="Q976" t="s">
        <v>42</v>
      </c>
    </row>
    <row r="977" spans="1:17" x14ac:dyDescent="0.3">
      <c r="A977" t="s">
        <v>1975</v>
      </c>
      <c r="B977" s="1">
        <v>45740</v>
      </c>
      <c r="C977" t="s">
        <v>86</v>
      </c>
      <c r="D977" t="s">
        <v>87</v>
      </c>
      <c r="E977" t="s">
        <v>113</v>
      </c>
      <c r="F977" t="s">
        <v>31</v>
      </c>
      <c r="G977" t="s">
        <v>24</v>
      </c>
      <c r="H977" t="s">
        <v>171</v>
      </c>
      <c r="I977" t="s">
        <v>1976</v>
      </c>
      <c r="J977">
        <v>7</v>
      </c>
      <c r="K977" s="2">
        <v>4574.03</v>
      </c>
      <c r="L977">
        <v>15</v>
      </c>
      <c r="M977" s="2">
        <v>27215.48</v>
      </c>
      <c r="N977" s="2">
        <v>19005.73</v>
      </c>
      <c r="O977" s="2">
        <v>8209.75</v>
      </c>
      <c r="P977" t="s">
        <v>48</v>
      </c>
      <c r="Q977" t="s">
        <v>28</v>
      </c>
    </row>
    <row r="978" spans="1:17" x14ac:dyDescent="0.3">
      <c r="A978" t="s">
        <v>1977</v>
      </c>
      <c r="B978" s="1">
        <v>46140</v>
      </c>
      <c r="C978" t="s">
        <v>86</v>
      </c>
      <c r="D978" t="s">
        <v>90</v>
      </c>
      <c r="E978" t="s">
        <v>120</v>
      </c>
      <c r="F978" t="s">
        <v>31</v>
      </c>
      <c r="G978" t="s">
        <v>38</v>
      </c>
      <c r="H978" t="s">
        <v>106</v>
      </c>
      <c r="I978" t="s">
        <v>1978</v>
      </c>
      <c r="J978">
        <v>7</v>
      </c>
      <c r="K978" s="2">
        <v>3812.81</v>
      </c>
      <c r="L978">
        <v>10</v>
      </c>
      <c r="M978" s="2">
        <v>24020.7</v>
      </c>
      <c r="N978" s="2">
        <v>15085.36</v>
      </c>
      <c r="O978" s="2">
        <v>8935.34</v>
      </c>
      <c r="P978" t="s">
        <v>27</v>
      </c>
      <c r="Q978" t="s">
        <v>61</v>
      </c>
    </row>
    <row r="979" spans="1:17" x14ac:dyDescent="0.3">
      <c r="A979" t="s">
        <v>1979</v>
      </c>
      <c r="B979" s="1">
        <v>46111</v>
      </c>
      <c r="C979" t="s">
        <v>86</v>
      </c>
      <c r="D979" t="s">
        <v>90</v>
      </c>
      <c r="E979" t="s">
        <v>113</v>
      </c>
      <c r="F979" t="s">
        <v>37</v>
      </c>
      <c r="G979" t="s">
        <v>45</v>
      </c>
      <c r="H979" t="s">
        <v>52</v>
      </c>
      <c r="I979" t="s">
        <v>1980</v>
      </c>
      <c r="J979">
        <v>15</v>
      </c>
      <c r="K979" s="2">
        <v>2896.03</v>
      </c>
      <c r="L979">
        <v>15</v>
      </c>
      <c r="M979" s="2">
        <v>36924.379999999997</v>
      </c>
      <c r="N979" s="2">
        <v>26547.52</v>
      </c>
      <c r="O979" s="2">
        <v>10376.86</v>
      </c>
      <c r="P979" t="s">
        <v>48</v>
      </c>
      <c r="Q979" t="s">
        <v>42</v>
      </c>
    </row>
    <row r="980" spans="1:17" x14ac:dyDescent="0.3">
      <c r="A980" t="s">
        <v>1981</v>
      </c>
      <c r="B980" s="1">
        <v>46111</v>
      </c>
      <c r="C980" t="s">
        <v>70</v>
      </c>
      <c r="D980" t="s">
        <v>75</v>
      </c>
      <c r="E980" t="s">
        <v>44</v>
      </c>
      <c r="F980" t="s">
        <v>31</v>
      </c>
      <c r="G980" t="s">
        <v>45</v>
      </c>
      <c r="H980" t="s">
        <v>123</v>
      </c>
      <c r="I980" t="s">
        <v>1982</v>
      </c>
      <c r="J980">
        <v>9</v>
      </c>
      <c r="K980" s="2">
        <v>2549.0100000000002</v>
      </c>
      <c r="L980">
        <v>20</v>
      </c>
      <c r="M980" s="2">
        <v>18352.87</v>
      </c>
      <c r="N980" s="2">
        <v>11037.53</v>
      </c>
      <c r="O980" s="2">
        <v>7315.34</v>
      </c>
      <c r="P980" t="s">
        <v>27</v>
      </c>
      <c r="Q980" t="s">
        <v>61</v>
      </c>
    </row>
    <row r="981" spans="1:17" x14ac:dyDescent="0.3">
      <c r="A981" t="s">
        <v>1983</v>
      </c>
      <c r="B981" s="1">
        <v>45791</v>
      </c>
      <c r="C981" t="s">
        <v>86</v>
      </c>
      <c r="D981" t="s">
        <v>87</v>
      </c>
      <c r="E981" t="s">
        <v>66</v>
      </c>
      <c r="F981" t="s">
        <v>37</v>
      </c>
      <c r="G981" t="s">
        <v>45</v>
      </c>
      <c r="H981" t="s">
        <v>123</v>
      </c>
      <c r="I981" t="s">
        <v>1984</v>
      </c>
      <c r="J981">
        <v>11</v>
      </c>
      <c r="K981" s="2">
        <v>1248.79</v>
      </c>
      <c r="L981">
        <v>5</v>
      </c>
      <c r="M981" s="2">
        <v>13049.86</v>
      </c>
      <c r="N981" s="2">
        <v>9951.9599999999991</v>
      </c>
      <c r="O981" s="2">
        <v>3097.9</v>
      </c>
      <c r="P981" t="s">
        <v>48</v>
      </c>
      <c r="Q981" t="s">
        <v>49</v>
      </c>
    </row>
    <row r="982" spans="1:17" x14ac:dyDescent="0.3">
      <c r="A982" t="s">
        <v>1985</v>
      </c>
      <c r="B982" s="1">
        <v>45894</v>
      </c>
      <c r="C982" t="s">
        <v>35</v>
      </c>
      <c r="D982" t="s">
        <v>59</v>
      </c>
      <c r="E982" t="s">
        <v>22</v>
      </c>
      <c r="F982" t="s">
        <v>31</v>
      </c>
      <c r="G982" t="s">
        <v>38</v>
      </c>
      <c r="H982" t="s">
        <v>39</v>
      </c>
      <c r="I982" t="s">
        <v>1986</v>
      </c>
      <c r="J982">
        <v>11</v>
      </c>
      <c r="K982" s="2">
        <v>2871.86</v>
      </c>
      <c r="L982">
        <v>20</v>
      </c>
      <c r="M982" s="2">
        <v>25272.37</v>
      </c>
      <c r="N982" s="2">
        <v>17528.43</v>
      </c>
      <c r="O982" s="2">
        <v>7743.94</v>
      </c>
      <c r="P982" t="s">
        <v>41</v>
      </c>
      <c r="Q982" t="s">
        <v>49</v>
      </c>
    </row>
    <row r="983" spans="1:17" x14ac:dyDescent="0.3">
      <c r="A983" t="s">
        <v>1987</v>
      </c>
      <c r="B983" s="1">
        <v>45769</v>
      </c>
      <c r="C983" t="s">
        <v>35</v>
      </c>
      <c r="D983" t="s">
        <v>36</v>
      </c>
      <c r="E983" t="s">
        <v>51</v>
      </c>
      <c r="F983" t="s">
        <v>37</v>
      </c>
      <c r="G983" t="s">
        <v>38</v>
      </c>
      <c r="H983" t="s">
        <v>106</v>
      </c>
      <c r="I983" t="s">
        <v>1988</v>
      </c>
      <c r="J983">
        <v>15</v>
      </c>
      <c r="K983" s="2">
        <v>4155.51</v>
      </c>
      <c r="L983">
        <v>20</v>
      </c>
      <c r="M983" s="2">
        <v>49866.12</v>
      </c>
      <c r="N983" s="2">
        <v>38016.800000000003</v>
      </c>
      <c r="O983" s="2">
        <v>11849.32</v>
      </c>
      <c r="P983" t="s">
        <v>41</v>
      </c>
      <c r="Q983" t="s">
        <v>61</v>
      </c>
    </row>
    <row r="984" spans="1:17" x14ac:dyDescent="0.3">
      <c r="A984" t="s">
        <v>1989</v>
      </c>
      <c r="B984" s="1">
        <v>46117</v>
      </c>
      <c r="C984" t="s">
        <v>70</v>
      </c>
      <c r="D984" t="s">
        <v>75</v>
      </c>
      <c r="E984" t="s">
        <v>44</v>
      </c>
      <c r="F984" t="s">
        <v>31</v>
      </c>
      <c r="G984" t="s">
        <v>45</v>
      </c>
      <c r="H984" t="s">
        <v>52</v>
      </c>
      <c r="I984" t="s">
        <v>1990</v>
      </c>
      <c r="J984">
        <v>12</v>
      </c>
      <c r="K984" s="2">
        <v>354.83</v>
      </c>
      <c r="L984">
        <v>0</v>
      </c>
      <c r="M984" s="2">
        <v>4257.96</v>
      </c>
      <c r="N984" s="2">
        <v>2366.91</v>
      </c>
      <c r="O984" s="2">
        <v>1891.05</v>
      </c>
      <c r="P984" t="s">
        <v>41</v>
      </c>
      <c r="Q984" t="s">
        <v>49</v>
      </c>
    </row>
    <row r="985" spans="1:17" x14ac:dyDescent="0.3">
      <c r="A985" t="s">
        <v>1991</v>
      </c>
      <c r="B985" s="1">
        <v>46150</v>
      </c>
      <c r="C985" t="s">
        <v>20</v>
      </c>
      <c r="D985" t="s">
        <v>21</v>
      </c>
      <c r="E985" t="s">
        <v>30</v>
      </c>
      <c r="F985" t="s">
        <v>31</v>
      </c>
      <c r="G985" t="s">
        <v>24</v>
      </c>
      <c r="H985" t="s">
        <v>32</v>
      </c>
      <c r="I985" t="s">
        <v>1992</v>
      </c>
      <c r="J985">
        <v>8</v>
      </c>
      <c r="K985" s="2">
        <v>1776.57</v>
      </c>
      <c r="L985">
        <v>20</v>
      </c>
      <c r="M985" s="2">
        <v>11370.05</v>
      </c>
      <c r="N985" s="2">
        <v>8579.11</v>
      </c>
      <c r="O985" s="2">
        <v>2790.94</v>
      </c>
      <c r="P985" t="s">
        <v>41</v>
      </c>
      <c r="Q985" t="s">
        <v>28</v>
      </c>
    </row>
    <row r="986" spans="1:17" x14ac:dyDescent="0.3">
      <c r="A986" t="s">
        <v>1993</v>
      </c>
      <c r="B986" s="1">
        <v>45730</v>
      </c>
      <c r="C986" t="s">
        <v>86</v>
      </c>
      <c r="D986" t="s">
        <v>90</v>
      </c>
      <c r="E986" t="s">
        <v>51</v>
      </c>
      <c r="F986" t="s">
        <v>23</v>
      </c>
      <c r="G986" t="s">
        <v>45</v>
      </c>
      <c r="H986" t="s">
        <v>46</v>
      </c>
      <c r="I986" t="s">
        <v>1994</v>
      </c>
      <c r="J986">
        <v>15</v>
      </c>
      <c r="K986" s="2">
        <v>4526.45</v>
      </c>
      <c r="L986">
        <v>20</v>
      </c>
      <c r="M986" s="2">
        <v>54317.4</v>
      </c>
      <c r="N986" s="2">
        <v>31358.57</v>
      </c>
      <c r="O986" s="2">
        <v>22958.83</v>
      </c>
      <c r="P986" t="s">
        <v>48</v>
      </c>
      <c r="Q986" t="s">
        <v>28</v>
      </c>
    </row>
    <row r="987" spans="1:17" x14ac:dyDescent="0.3">
      <c r="A987" t="s">
        <v>1995</v>
      </c>
      <c r="B987" s="1">
        <v>46056</v>
      </c>
      <c r="C987" t="s">
        <v>86</v>
      </c>
      <c r="D987" t="s">
        <v>90</v>
      </c>
      <c r="E987" t="s">
        <v>66</v>
      </c>
      <c r="F987" t="s">
        <v>37</v>
      </c>
      <c r="G987" t="s">
        <v>24</v>
      </c>
      <c r="H987" t="s">
        <v>32</v>
      </c>
      <c r="I987" t="s">
        <v>1996</v>
      </c>
      <c r="J987">
        <v>15</v>
      </c>
      <c r="K987" s="2">
        <v>1578.99</v>
      </c>
      <c r="L987">
        <v>5</v>
      </c>
      <c r="M987" s="2">
        <v>22500.61</v>
      </c>
      <c r="N987" s="2">
        <v>17342.95</v>
      </c>
      <c r="O987" s="2">
        <v>5157.66</v>
      </c>
      <c r="P987" t="s">
        <v>48</v>
      </c>
      <c r="Q987" t="s">
        <v>42</v>
      </c>
    </row>
    <row r="988" spans="1:17" x14ac:dyDescent="0.3">
      <c r="A988" t="s">
        <v>1997</v>
      </c>
      <c r="B988" s="1">
        <v>45807</v>
      </c>
      <c r="C988" t="s">
        <v>20</v>
      </c>
      <c r="D988" t="s">
        <v>55</v>
      </c>
      <c r="E988" t="s">
        <v>66</v>
      </c>
      <c r="F988" t="s">
        <v>23</v>
      </c>
      <c r="G988" t="s">
        <v>38</v>
      </c>
      <c r="H988" t="s">
        <v>106</v>
      </c>
      <c r="I988" t="s">
        <v>1998</v>
      </c>
      <c r="J988">
        <v>13</v>
      </c>
      <c r="K988" s="2">
        <v>4634.8500000000004</v>
      </c>
      <c r="L988">
        <v>10</v>
      </c>
      <c r="M988" s="2">
        <v>54227.75</v>
      </c>
      <c r="N988" s="2">
        <v>43744.05</v>
      </c>
      <c r="O988" s="2">
        <v>10483.700000000001</v>
      </c>
      <c r="P988" t="s">
        <v>41</v>
      </c>
      <c r="Q988" t="s">
        <v>28</v>
      </c>
    </row>
    <row r="989" spans="1:17" x14ac:dyDescent="0.3">
      <c r="A989" t="s">
        <v>1999</v>
      </c>
      <c r="B989" s="1">
        <v>46155</v>
      </c>
      <c r="C989" t="s">
        <v>70</v>
      </c>
      <c r="D989" t="s">
        <v>75</v>
      </c>
      <c r="E989" t="s">
        <v>170</v>
      </c>
      <c r="F989" t="s">
        <v>37</v>
      </c>
      <c r="G989" t="s">
        <v>45</v>
      </c>
      <c r="H989" t="s">
        <v>46</v>
      </c>
      <c r="I989" t="s">
        <v>2000</v>
      </c>
      <c r="J989">
        <v>2</v>
      </c>
      <c r="K989" s="2">
        <v>2485.62</v>
      </c>
      <c r="L989">
        <v>5</v>
      </c>
      <c r="M989" s="2">
        <v>4722.68</v>
      </c>
      <c r="N989" s="2">
        <v>3336.14</v>
      </c>
      <c r="O989" s="2">
        <v>1386.54</v>
      </c>
      <c r="P989" t="s">
        <v>27</v>
      </c>
      <c r="Q989" t="s">
        <v>61</v>
      </c>
    </row>
    <row r="990" spans="1:17" x14ac:dyDescent="0.3">
      <c r="A990" t="s">
        <v>2001</v>
      </c>
      <c r="B990" s="1">
        <v>46054</v>
      </c>
      <c r="C990" t="s">
        <v>35</v>
      </c>
      <c r="D990" t="s">
        <v>59</v>
      </c>
      <c r="E990" t="s">
        <v>170</v>
      </c>
      <c r="F990" t="s">
        <v>31</v>
      </c>
      <c r="G990" t="s">
        <v>24</v>
      </c>
      <c r="H990" t="s">
        <v>25</v>
      </c>
      <c r="I990" t="s">
        <v>2002</v>
      </c>
      <c r="J990">
        <v>13</v>
      </c>
      <c r="K990" s="2">
        <v>2476.65</v>
      </c>
      <c r="L990">
        <v>20</v>
      </c>
      <c r="M990" s="2">
        <v>25757.16</v>
      </c>
      <c r="N990" s="2">
        <v>20146.86</v>
      </c>
      <c r="O990" s="2">
        <v>5610.3</v>
      </c>
      <c r="P990" t="s">
        <v>48</v>
      </c>
      <c r="Q990" t="s">
        <v>49</v>
      </c>
    </row>
    <row r="991" spans="1:17" x14ac:dyDescent="0.3">
      <c r="A991" t="s">
        <v>2003</v>
      </c>
      <c r="B991" s="1">
        <v>45961</v>
      </c>
      <c r="C991" t="s">
        <v>70</v>
      </c>
      <c r="D991" t="s">
        <v>75</v>
      </c>
      <c r="E991" t="s">
        <v>113</v>
      </c>
      <c r="F991" t="s">
        <v>31</v>
      </c>
      <c r="G991" t="s">
        <v>24</v>
      </c>
      <c r="H991" t="s">
        <v>56</v>
      </c>
      <c r="I991" t="s">
        <v>2004</v>
      </c>
      <c r="J991">
        <v>13</v>
      </c>
      <c r="K991" s="2">
        <v>3408.11</v>
      </c>
      <c r="L991">
        <v>0</v>
      </c>
      <c r="M991" s="2">
        <v>44305.43</v>
      </c>
      <c r="N991" s="2">
        <v>35117.800000000003</v>
      </c>
      <c r="O991" s="2">
        <v>9187.6299999999992</v>
      </c>
      <c r="P991" t="s">
        <v>41</v>
      </c>
      <c r="Q991" t="s">
        <v>61</v>
      </c>
    </row>
    <row r="992" spans="1:17" x14ac:dyDescent="0.3">
      <c r="A992" t="s">
        <v>2005</v>
      </c>
      <c r="B992" s="1">
        <v>46094</v>
      </c>
      <c r="C992" t="s">
        <v>70</v>
      </c>
      <c r="D992" t="s">
        <v>75</v>
      </c>
      <c r="E992" t="s">
        <v>30</v>
      </c>
      <c r="F992" t="s">
        <v>23</v>
      </c>
      <c r="G992" t="s">
        <v>24</v>
      </c>
      <c r="H992" t="s">
        <v>134</v>
      </c>
      <c r="I992" t="s">
        <v>2006</v>
      </c>
      <c r="J992">
        <v>10</v>
      </c>
      <c r="K992" s="2">
        <v>1242.33</v>
      </c>
      <c r="L992">
        <v>15</v>
      </c>
      <c r="M992" s="2">
        <v>10559.8</v>
      </c>
      <c r="N992" s="2">
        <v>6118.57</v>
      </c>
      <c r="O992" s="2">
        <v>4441.2299999999996</v>
      </c>
      <c r="P992" t="s">
        <v>48</v>
      </c>
      <c r="Q992" t="s">
        <v>42</v>
      </c>
    </row>
    <row r="993" spans="1:17" x14ac:dyDescent="0.3">
      <c r="A993" t="s">
        <v>2007</v>
      </c>
      <c r="B993" s="1">
        <v>46038</v>
      </c>
      <c r="C993" t="s">
        <v>35</v>
      </c>
      <c r="D993" t="s">
        <v>36</v>
      </c>
      <c r="E993" t="s">
        <v>44</v>
      </c>
      <c r="F993" t="s">
        <v>37</v>
      </c>
      <c r="G993" t="s">
        <v>38</v>
      </c>
      <c r="H993" t="s">
        <v>106</v>
      </c>
      <c r="I993" t="s">
        <v>2008</v>
      </c>
      <c r="J993">
        <v>2</v>
      </c>
      <c r="K993" s="2">
        <v>4841.04</v>
      </c>
      <c r="L993">
        <v>15</v>
      </c>
      <c r="M993" s="2">
        <v>8229.77</v>
      </c>
      <c r="N993" s="2">
        <v>5028.3500000000004</v>
      </c>
      <c r="O993" s="2">
        <v>3201.42</v>
      </c>
      <c r="P993" t="s">
        <v>41</v>
      </c>
      <c r="Q993" t="s">
        <v>42</v>
      </c>
    </row>
    <row r="994" spans="1:17" x14ac:dyDescent="0.3">
      <c r="A994" t="s">
        <v>2009</v>
      </c>
      <c r="B994" s="1">
        <v>45749</v>
      </c>
      <c r="C994" t="s">
        <v>86</v>
      </c>
      <c r="D994" t="s">
        <v>87</v>
      </c>
      <c r="E994" t="s">
        <v>170</v>
      </c>
      <c r="F994" t="s">
        <v>23</v>
      </c>
      <c r="G994" t="s">
        <v>38</v>
      </c>
      <c r="H994" t="s">
        <v>39</v>
      </c>
      <c r="I994" t="s">
        <v>2010</v>
      </c>
      <c r="J994">
        <v>5</v>
      </c>
      <c r="K994" s="2">
        <v>2275.9699999999998</v>
      </c>
      <c r="L994">
        <v>10</v>
      </c>
      <c r="M994" s="2">
        <v>10241.86</v>
      </c>
      <c r="N994" s="2">
        <v>8043.01</v>
      </c>
      <c r="O994" s="2">
        <v>2198.85</v>
      </c>
      <c r="P994" t="s">
        <v>27</v>
      </c>
      <c r="Q994" t="s">
        <v>42</v>
      </c>
    </row>
    <row r="995" spans="1:17" x14ac:dyDescent="0.3">
      <c r="A995" t="s">
        <v>2011</v>
      </c>
      <c r="B995" s="1">
        <v>45748</v>
      </c>
      <c r="C995" t="s">
        <v>20</v>
      </c>
      <c r="D995" t="s">
        <v>21</v>
      </c>
      <c r="E995" t="s">
        <v>66</v>
      </c>
      <c r="F995" t="s">
        <v>37</v>
      </c>
      <c r="G995" t="s">
        <v>38</v>
      </c>
      <c r="H995" t="s">
        <v>63</v>
      </c>
      <c r="I995" t="s">
        <v>2012</v>
      </c>
      <c r="J995">
        <v>12</v>
      </c>
      <c r="K995" s="2">
        <v>2391.48</v>
      </c>
      <c r="L995">
        <v>5</v>
      </c>
      <c r="M995" s="2">
        <v>27262.87</v>
      </c>
      <c r="N995" s="2">
        <v>16682.62</v>
      </c>
      <c r="O995" s="2">
        <v>10580.25</v>
      </c>
      <c r="P995" t="s">
        <v>41</v>
      </c>
      <c r="Q995" t="s">
        <v>42</v>
      </c>
    </row>
    <row r="996" spans="1:17" x14ac:dyDescent="0.3">
      <c r="A996" t="s">
        <v>2013</v>
      </c>
      <c r="B996" s="1">
        <v>45911</v>
      </c>
      <c r="C996" t="s">
        <v>20</v>
      </c>
      <c r="D996" t="s">
        <v>55</v>
      </c>
      <c r="E996" t="s">
        <v>22</v>
      </c>
      <c r="F996" t="s">
        <v>37</v>
      </c>
      <c r="G996" t="s">
        <v>24</v>
      </c>
      <c r="H996" t="s">
        <v>134</v>
      </c>
      <c r="I996" t="s">
        <v>2014</v>
      </c>
      <c r="J996">
        <v>6</v>
      </c>
      <c r="K996" s="2">
        <v>2475.38</v>
      </c>
      <c r="L996">
        <v>15</v>
      </c>
      <c r="M996" s="2">
        <v>12624.44</v>
      </c>
      <c r="N996" s="2">
        <v>9597.32</v>
      </c>
      <c r="O996" s="2">
        <v>3027.12</v>
      </c>
      <c r="P996" t="s">
        <v>27</v>
      </c>
      <c r="Q996" t="s">
        <v>61</v>
      </c>
    </row>
    <row r="997" spans="1:17" x14ac:dyDescent="0.3">
      <c r="A997" t="s">
        <v>2015</v>
      </c>
      <c r="B997" s="1">
        <v>45734</v>
      </c>
      <c r="C997" t="s">
        <v>35</v>
      </c>
      <c r="D997" t="s">
        <v>36</v>
      </c>
      <c r="E997" t="s">
        <v>44</v>
      </c>
      <c r="F997" t="s">
        <v>37</v>
      </c>
      <c r="G997" t="s">
        <v>24</v>
      </c>
      <c r="H997" t="s">
        <v>25</v>
      </c>
      <c r="I997" t="s">
        <v>2016</v>
      </c>
      <c r="J997">
        <v>1</v>
      </c>
      <c r="K997" s="2">
        <v>4936.32</v>
      </c>
      <c r="L997">
        <v>0</v>
      </c>
      <c r="M997" s="2">
        <v>4936.32</v>
      </c>
      <c r="N997" s="2">
        <v>3941.69</v>
      </c>
      <c r="O997" s="2">
        <v>994.63</v>
      </c>
      <c r="P997" t="s">
        <v>41</v>
      </c>
      <c r="Q997" t="s">
        <v>42</v>
      </c>
    </row>
    <row r="998" spans="1:17" x14ac:dyDescent="0.3">
      <c r="A998" t="s">
        <v>2017</v>
      </c>
      <c r="B998" s="1">
        <v>46006</v>
      </c>
      <c r="C998" t="s">
        <v>86</v>
      </c>
      <c r="D998" t="s">
        <v>90</v>
      </c>
      <c r="E998" t="s">
        <v>22</v>
      </c>
      <c r="F998" t="s">
        <v>31</v>
      </c>
      <c r="G998" t="s">
        <v>38</v>
      </c>
      <c r="H998" t="s">
        <v>91</v>
      </c>
      <c r="I998" t="s">
        <v>2018</v>
      </c>
      <c r="J998">
        <v>10</v>
      </c>
      <c r="K998" s="2">
        <v>2283.92</v>
      </c>
      <c r="L998">
        <v>15</v>
      </c>
      <c r="M998" s="2">
        <v>19413.32</v>
      </c>
      <c r="N998" s="2">
        <v>15155.33</v>
      </c>
      <c r="O998" s="2">
        <v>4257.99</v>
      </c>
      <c r="P998" t="s">
        <v>48</v>
      </c>
      <c r="Q998" t="s">
        <v>49</v>
      </c>
    </row>
    <row r="999" spans="1:17" x14ac:dyDescent="0.3">
      <c r="A999" t="s">
        <v>2019</v>
      </c>
      <c r="B999" s="1">
        <v>46028</v>
      </c>
      <c r="C999" t="s">
        <v>35</v>
      </c>
      <c r="D999" t="s">
        <v>36</v>
      </c>
      <c r="E999" t="s">
        <v>66</v>
      </c>
      <c r="F999" t="s">
        <v>31</v>
      </c>
      <c r="G999" t="s">
        <v>24</v>
      </c>
      <c r="H999" t="s">
        <v>56</v>
      </c>
      <c r="I999" t="s">
        <v>2020</v>
      </c>
      <c r="J999">
        <v>13</v>
      </c>
      <c r="K999" s="2">
        <v>3159.52</v>
      </c>
      <c r="L999">
        <v>15</v>
      </c>
      <c r="M999" s="2">
        <v>34912.699999999997</v>
      </c>
      <c r="N999" s="2">
        <v>22392.37</v>
      </c>
      <c r="O999" s="2">
        <v>12520.33</v>
      </c>
      <c r="P999" t="s">
        <v>27</v>
      </c>
      <c r="Q999" t="s">
        <v>28</v>
      </c>
    </row>
    <row r="1000" spans="1:17" x14ac:dyDescent="0.3">
      <c r="A1000" t="s">
        <v>2021</v>
      </c>
      <c r="B1000" s="1">
        <v>46013</v>
      </c>
      <c r="C1000" t="s">
        <v>70</v>
      </c>
      <c r="D1000" t="s">
        <v>71</v>
      </c>
      <c r="E1000" t="s">
        <v>66</v>
      </c>
      <c r="F1000" t="s">
        <v>31</v>
      </c>
      <c r="G1000" t="s">
        <v>38</v>
      </c>
      <c r="H1000" t="s">
        <v>39</v>
      </c>
      <c r="I1000" t="s">
        <v>2022</v>
      </c>
      <c r="J1000">
        <v>13</v>
      </c>
      <c r="K1000" s="2">
        <v>1983.17</v>
      </c>
      <c r="L1000">
        <v>15</v>
      </c>
      <c r="M1000" s="2">
        <v>21914.03</v>
      </c>
      <c r="N1000" s="2">
        <v>14172.89</v>
      </c>
      <c r="O1000" s="2">
        <v>7741.14</v>
      </c>
      <c r="P1000" t="s">
        <v>27</v>
      </c>
      <c r="Q1000" t="s">
        <v>28</v>
      </c>
    </row>
    <row r="1001" spans="1:17" x14ac:dyDescent="0.3">
      <c r="A1001" t="s">
        <v>2023</v>
      </c>
      <c r="B1001" s="1">
        <v>45933</v>
      </c>
      <c r="C1001" t="s">
        <v>20</v>
      </c>
      <c r="D1001" t="s">
        <v>21</v>
      </c>
      <c r="E1001" t="s">
        <v>30</v>
      </c>
      <c r="F1001" t="s">
        <v>37</v>
      </c>
      <c r="G1001" t="s">
        <v>24</v>
      </c>
      <c r="H1001" t="s">
        <v>134</v>
      </c>
      <c r="I1001" t="s">
        <v>2024</v>
      </c>
      <c r="J1001">
        <v>12</v>
      </c>
      <c r="K1001" s="2">
        <v>1166.81</v>
      </c>
      <c r="L1001">
        <v>10</v>
      </c>
      <c r="M1001" s="2">
        <v>12601.55</v>
      </c>
      <c r="N1001" s="2">
        <v>7367.47</v>
      </c>
      <c r="O1001" s="2">
        <v>5234.08</v>
      </c>
      <c r="P1001" t="s">
        <v>48</v>
      </c>
      <c r="Q1001" t="s">
        <v>49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W50"/>
  <sheetViews>
    <sheetView showGridLines="0" zoomScale="85" zoomScaleNormal="85" workbookViewId="0">
      <selection activeCell="E6" sqref="E6:H9"/>
    </sheetView>
  </sheetViews>
  <sheetFormatPr defaultRowHeight="14.4" x14ac:dyDescent="0.3"/>
  <cols>
    <col min="2" max="2" width="31.6640625" bestFit="1" customWidth="1"/>
  </cols>
  <sheetData>
    <row r="2" spans="1:23" ht="46.2" x14ac:dyDescent="0.7">
      <c r="A2" s="4"/>
      <c r="C2" s="5"/>
      <c r="D2" s="5"/>
      <c r="E2" s="5"/>
      <c r="F2" s="6"/>
      <c r="G2" s="10" t="s">
        <v>2025</v>
      </c>
      <c r="H2" s="7"/>
      <c r="I2" s="8"/>
      <c r="J2" s="8"/>
      <c r="K2" s="8"/>
      <c r="L2" s="8"/>
      <c r="M2" s="7"/>
      <c r="N2" s="7"/>
      <c r="O2" s="7"/>
    </row>
    <row r="6" spans="1:23" ht="15" customHeight="1" x14ac:dyDescent="0.3">
      <c r="B6" s="22" t="s">
        <v>2058</v>
      </c>
      <c r="C6" s="23"/>
      <c r="D6" s="3"/>
      <c r="E6" s="28" t="s">
        <v>2059</v>
      </c>
      <c r="F6" s="13"/>
      <c r="G6" s="13"/>
      <c r="H6" s="14"/>
      <c r="J6" s="21" t="s">
        <v>2026</v>
      </c>
      <c r="K6" s="13"/>
      <c r="L6" s="13"/>
      <c r="M6" s="14"/>
      <c r="O6" s="12" t="s">
        <v>2027</v>
      </c>
      <c r="P6" s="13"/>
      <c r="Q6" s="13"/>
      <c r="R6" s="14"/>
      <c r="T6" s="12" t="s">
        <v>2028</v>
      </c>
      <c r="U6" s="13"/>
      <c r="V6" s="13"/>
      <c r="W6" s="14"/>
    </row>
    <row r="7" spans="1:23" ht="15" customHeight="1" x14ac:dyDescent="0.3">
      <c r="B7" s="24"/>
      <c r="C7" s="25"/>
      <c r="D7" s="3"/>
      <c r="E7" s="15"/>
      <c r="F7" s="16"/>
      <c r="G7" s="16"/>
      <c r="H7" s="17"/>
      <c r="J7" s="15"/>
      <c r="K7" s="16"/>
      <c r="L7" s="16"/>
      <c r="M7" s="17"/>
      <c r="O7" s="15"/>
      <c r="P7" s="16"/>
      <c r="Q7" s="16"/>
      <c r="R7" s="17"/>
      <c r="T7" s="15"/>
      <c r="U7" s="16"/>
      <c r="V7" s="16"/>
      <c r="W7" s="17"/>
    </row>
    <row r="8" spans="1:23" ht="15" customHeight="1" x14ac:dyDescent="0.3">
      <c r="B8" s="24"/>
      <c r="C8" s="25"/>
      <c r="D8" s="3"/>
      <c r="E8" s="15"/>
      <c r="F8" s="16"/>
      <c r="G8" s="16"/>
      <c r="H8" s="17"/>
      <c r="J8" s="15"/>
      <c r="K8" s="16"/>
      <c r="L8" s="16"/>
      <c r="M8" s="17"/>
      <c r="O8" s="15"/>
      <c r="P8" s="16"/>
      <c r="Q8" s="16"/>
      <c r="R8" s="17"/>
      <c r="T8" s="15"/>
      <c r="U8" s="16"/>
      <c r="V8" s="16"/>
      <c r="W8" s="17"/>
    </row>
    <row r="9" spans="1:23" ht="15" customHeight="1" x14ac:dyDescent="0.3">
      <c r="B9" s="26"/>
      <c r="C9" s="27"/>
      <c r="D9" s="3"/>
      <c r="E9" s="18"/>
      <c r="F9" s="19"/>
      <c r="G9" s="19"/>
      <c r="H9" s="20"/>
      <c r="J9" s="18"/>
      <c r="K9" s="19"/>
      <c r="L9" s="19"/>
      <c r="M9" s="20"/>
      <c r="O9" s="18"/>
      <c r="P9" s="19"/>
      <c r="Q9" s="19"/>
      <c r="R9" s="20"/>
      <c r="T9" s="18"/>
      <c r="U9" s="19"/>
      <c r="V9" s="19"/>
      <c r="W9" s="20"/>
    </row>
    <row r="50" ht="13.5" customHeight="1" x14ac:dyDescent="0.3"/>
  </sheetData>
  <mergeCells count="5">
    <mergeCell ref="T6:W9"/>
    <mergeCell ref="J6:M9"/>
    <mergeCell ref="O6:R9"/>
    <mergeCell ref="B6:C9"/>
    <mergeCell ref="E6:H9"/>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8"/>
  <sheetViews>
    <sheetView topLeftCell="A15" zoomScale="85" zoomScaleNormal="85" workbookViewId="0">
      <selection activeCell="B28" sqref="B1:B1048576"/>
    </sheetView>
  </sheetViews>
  <sheetFormatPr defaultRowHeight="14.4" x14ac:dyDescent="0.3"/>
  <cols>
    <col min="1" max="1" width="13.6640625" bestFit="1" customWidth="1"/>
    <col min="2" max="2" width="15.5546875" bestFit="1" customWidth="1"/>
    <col min="3" max="3" width="15.5546875" customWidth="1"/>
    <col min="6" max="6" width="11.44140625" customWidth="1"/>
    <col min="7" max="7" width="15.5546875" bestFit="1" customWidth="1"/>
    <col min="10" max="10" width="15.21875" customWidth="1"/>
    <col min="11" max="12" width="15.5546875" bestFit="1" customWidth="1"/>
    <col min="13" max="13" width="13.88671875" customWidth="1"/>
    <col min="14" max="14" width="12.77734375" customWidth="1"/>
  </cols>
  <sheetData>
    <row r="1" spans="1:14" x14ac:dyDescent="0.3">
      <c r="M1" s="9" t="s">
        <v>4</v>
      </c>
      <c r="N1" t="s">
        <v>2029</v>
      </c>
    </row>
    <row r="2" spans="1:14" x14ac:dyDescent="0.3">
      <c r="M2" t="s">
        <v>51</v>
      </c>
      <c r="N2" s="11">
        <v>2225711.0399999982</v>
      </c>
    </row>
    <row r="3" spans="1:14" x14ac:dyDescent="0.3">
      <c r="A3" s="9" t="s">
        <v>18</v>
      </c>
      <c r="B3" s="9" t="s">
        <v>17</v>
      </c>
      <c r="C3" t="s">
        <v>2029</v>
      </c>
      <c r="F3" s="9" t="s">
        <v>2</v>
      </c>
      <c r="G3" t="s">
        <v>2029</v>
      </c>
      <c r="J3" s="9" t="s">
        <v>70</v>
      </c>
      <c r="K3" t="s">
        <v>2029</v>
      </c>
      <c r="M3" t="s">
        <v>44</v>
      </c>
      <c r="N3" s="11">
        <v>2411705.6299999985</v>
      </c>
    </row>
    <row r="4" spans="1:14" x14ac:dyDescent="0.3">
      <c r="A4">
        <v>2025</v>
      </c>
      <c r="B4" t="s">
        <v>2030</v>
      </c>
      <c r="C4" s="2">
        <v>914642.04999999993</v>
      </c>
      <c r="F4" t="s">
        <v>86</v>
      </c>
      <c r="G4" s="11">
        <v>5066636.2300000042</v>
      </c>
      <c r="J4" t="s">
        <v>86</v>
      </c>
      <c r="K4" s="11">
        <v>5066636.2300000042</v>
      </c>
      <c r="M4" t="s">
        <v>22</v>
      </c>
      <c r="N4" s="11">
        <v>2341508.1700000004</v>
      </c>
    </row>
    <row r="5" spans="1:14" x14ac:dyDescent="0.3">
      <c r="B5" t="s">
        <v>2031</v>
      </c>
      <c r="C5" s="2">
        <v>1080109.0499999996</v>
      </c>
      <c r="F5" t="s">
        <v>35</v>
      </c>
      <c r="G5" s="11">
        <v>4154651.2499999995</v>
      </c>
      <c r="J5" t="s">
        <v>35</v>
      </c>
      <c r="K5" s="11">
        <v>4154651.2499999995</v>
      </c>
      <c r="M5" t="s">
        <v>170</v>
      </c>
      <c r="N5" s="11">
        <v>2367762.9299999997</v>
      </c>
    </row>
    <row r="6" spans="1:14" x14ac:dyDescent="0.3">
      <c r="B6" t="s">
        <v>2032</v>
      </c>
      <c r="C6" s="2">
        <v>861234.1</v>
      </c>
      <c r="F6" t="s">
        <v>70</v>
      </c>
      <c r="G6" s="11">
        <v>5087208.3599999994</v>
      </c>
      <c r="J6" t="s">
        <v>70</v>
      </c>
      <c r="K6" s="11">
        <v>5087208.3599999994</v>
      </c>
      <c r="M6" t="s">
        <v>120</v>
      </c>
      <c r="N6" s="11">
        <v>2286974.2800000003</v>
      </c>
    </row>
    <row r="7" spans="1:14" x14ac:dyDescent="0.3">
      <c r="B7" t="s">
        <v>2033</v>
      </c>
      <c r="C7" s="2">
        <v>1054088.4599999997</v>
      </c>
      <c r="F7" t="s">
        <v>20</v>
      </c>
      <c r="G7" s="11">
        <v>3932077.8299999987</v>
      </c>
      <c r="J7" t="s">
        <v>20</v>
      </c>
      <c r="K7" s="11">
        <v>3932077.8299999987</v>
      </c>
      <c r="M7" t="s">
        <v>66</v>
      </c>
      <c r="N7" s="11">
        <v>2519580.33</v>
      </c>
    </row>
    <row r="8" spans="1:14" x14ac:dyDescent="0.3">
      <c r="B8" t="s">
        <v>2034</v>
      </c>
      <c r="C8" s="2">
        <v>817013.85</v>
      </c>
      <c r="F8" t="s">
        <v>2035</v>
      </c>
      <c r="G8" s="11">
        <v>18240573.670000002</v>
      </c>
      <c r="J8" t="s">
        <v>2035</v>
      </c>
      <c r="K8" s="11">
        <v>18240573.670000002</v>
      </c>
      <c r="M8" t="s">
        <v>30</v>
      </c>
      <c r="N8" s="11">
        <v>1750854.2499999998</v>
      </c>
    </row>
    <row r="9" spans="1:14" x14ac:dyDescent="0.3">
      <c r="B9" t="s">
        <v>2036</v>
      </c>
      <c r="C9" s="2">
        <v>698205.00999999989</v>
      </c>
      <c r="M9" t="s">
        <v>113</v>
      </c>
      <c r="N9" s="11">
        <v>2336477.0399999991</v>
      </c>
    </row>
    <row r="10" spans="1:14" x14ac:dyDescent="0.3">
      <c r="B10" t="s">
        <v>2037</v>
      </c>
      <c r="C10" s="2">
        <v>1073886.9600000002</v>
      </c>
      <c r="J10" s="9" t="s">
        <v>6</v>
      </c>
      <c r="K10" t="s">
        <v>2029</v>
      </c>
      <c r="M10" t="s">
        <v>2035</v>
      </c>
      <c r="N10" s="11">
        <v>18240573.669999994</v>
      </c>
    </row>
    <row r="11" spans="1:14" x14ac:dyDescent="0.3">
      <c r="B11" t="s">
        <v>2038</v>
      </c>
      <c r="C11" s="2">
        <v>893658.7200000002</v>
      </c>
      <c r="J11" t="s">
        <v>24</v>
      </c>
      <c r="K11" s="11">
        <v>6072450.8099999977</v>
      </c>
    </row>
    <row r="12" spans="1:14" x14ac:dyDescent="0.3">
      <c r="B12" t="s">
        <v>2039</v>
      </c>
      <c r="C12" s="2">
        <v>1408498.4100000001</v>
      </c>
      <c r="J12" t="s">
        <v>38</v>
      </c>
      <c r="K12" s="11">
        <v>6388006.9300000006</v>
      </c>
    </row>
    <row r="13" spans="1:14" x14ac:dyDescent="0.3">
      <c r="B13" t="s">
        <v>2040</v>
      </c>
      <c r="C13" s="2">
        <v>1120747.21</v>
      </c>
      <c r="J13" t="s">
        <v>45</v>
      </c>
      <c r="K13" s="11">
        <v>5780115.9299999969</v>
      </c>
    </row>
    <row r="14" spans="1:14" x14ac:dyDescent="0.3">
      <c r="B14" t="s">
        <v>2041</v>
      </c>
      <c r="C14" s="2">
        <v>1003787.1499999998</v>
      </c>
      <c r="J14" t="s">
        <v>2035</v>
      </c>
      <c r="K14" s="11">
        <v>18240573.669999994</v>
      </c>
    </row>
    <row r="15" spans="1:14" x14ac:dyDescent="0.3">
      <c r="B15" t="s">
        <v>2042</v>
      </c>
      <c r="C15" s="2">
        <v>1005299.2100000003</v>
      </c>
    </row>
    <row r="16" spans="1:14" x14ac:dyDescent="0.3">
      <c r="A16" t="s">
        <v>2043</v>
      </c>
      <c r="C16" s="2">
        <v>11931170.180000002</v>
      </c>
    </row>
    <row r="17" spans="1:14" x14ac:dyDescent="0.3">
      <c r="A17">
        <v>2026</v>
      </c>
      <c r="B17" t="s">
        <v>2030</v>
      </c>
      <c r="C17" s="2">
        <v>1003846.1599999997</v>
      </c>
      <c r="J17" s="9" t="s">
        <v>8</v>
      </c>
      <c r="K17" t="s">
        <v>2029</v>
      </c>
      <c r="M17" s="9" t="s">
        <v>15</v>
      </c>
      <c r="N17" t="s">
        <v>2029</v>
      </c>
    </row>
    <row r="18" spans="1:14" x14ac:dyDescent="0.3">
      <c r="B18" t="s">
        <v>2031</v>
      </c>
      <c r="C18" s="2">
        <v>1022432.4900000002</v>
      </c>
      <c r="J18" t="s">
        <v>456</v>
      </c>
      <c r="K18" s="11">
        <v>73639.929999999993</v>
      </c>
      <c r="M18" t="s">
        <v>48</v>
      </c>
      <c r="N18" s="11">
        <v>6484509.549999997</v>
      </c>
    </row>
    <row r="19" spans="1:14" x14ac:dyDescent="0.3">
      <c r="B19" t="s">
        <v>2032</v>
      </c>
      <c r="C19" s="2">
        <v>1152022.8999999997</v>
      </c>
      <c r="J19" t="s">
        <v>1351</v>
      </c>
      <c r="K19" s="11">
        <v>67903.960000000006</v>
      </c>
      <c r="M19" t="s">
        <v>27</v>
      </c>
      <c r="N19" s="11">
        <v>5302219.8600000022</v>
      </c>
    </row>
    <row r="20" spans="1:14" x14ac:dyDescent="0.3">
      <c r="B20" t="s">
        <v>2033</v>
      </c>
      <c r="C20" s="2">
        <v>1309873.9499999997</v>
      </c>
      <c r="J20" t="s">
        <v>726</v>
      </c>
      <c r="K20" s="11">
        <v>67463.149999999994</v>
      </c>
      <c r="M20" t="s">
        <v>41</v>
      </c>
      <c r="N20" s="11">
        <v>6453844.259999997</v>
      </c>
    </row>
    <row r="21" spans="1:14" x14ac:dyDescent="0.3">
      <c r="B21" t="s">
        <v>2034</v>
      </c>
      <c r="C21" s="2">
        <v>760366.49000000022</v>
      </c>
      <c r="J21" t="s">
        <v>1722</v>
      </c>
      <c r="K21" s="11">
        <v>70165.289999999994</v>
      </c>
      <c r="M21" t="s">
        <v>2035</v>
      </c>
      <c r="N21" s="11">
        <v>18240573.669999998</v>
      </c>
    </row>
    <row r="22" spans="1:14" x14ac:dyDescent="0.3">
      <c r="B22" t="s">
        <v>2036</v>
      </c>
      <c r="C22" s="2">
        <v>1060861.5</v>
      </c>
      <c r="J22" t="s">
        <v>728</v>
      </c>
      <c r="K22" s="11">
        <v>77604.509999999995</v>
      </c>
    </row>
    <row r="23" spans="1:14" x14ac:dyDescent="0.3">
      <c r="A23" t="s">
        <v>2044</v>
      </c>
      <c r="C23" s="2">
        <v>6309403.4900000002</v>
      </c>
      <c r="J23" t="s">
        <v>969</v>
      </c>
      <c r="K23" s="11">
        <v>83807.320000000007</v>
      </c>
    </row>
    <row r="24" spans="1:14" x14ac:dyDescent="0.3">
      <c r="A24" t="s">
        <v>2035</v>
      </c>
      <c r="C24" s="2">
        <v>18240573.670000002</v>
      </c>
      <c r="J24" t="s">
        <v>1222</v>
      </c>
      <c r="K24" s="11">
        <v>63361.77</v>
      </c>
    </row>
    <row r="25" spans="1:14" x14ac:dyDescent="0.3">
      <c r="J25" t="s">
        <v>111</v>
      </c>
      <c r="K25" s="11">
        <v>64623.9</v>
      </c>
    </row>
    <row r="26" spans="1:14" x14ac:dyDescent="0.3">
      <c r="J26" t="s">
        <v>674</v>
      </c>
      <c r="K26" s="11">
        <v>62990.07</v>
      </c>
      <c r="M26" s="9" t="s">
        <v>6</v>
      </c>
      <c r="N26" t="s">
        <v>2045</v>
      </c>
    </row>
    <row r="27" spans="1:14" x14ac:dyDescent="0.3">
      <c r="A27" s="9" t="s">
        <v>6</v>
      </c>
      <c r="B27" t="s">
        <v>2029</v>
      </c>
      <c r="F27" s="9" t="s">
        <v>4</v>
      </c>
      <c r="G27" t="s">
        <v>2029</v>
      </c>
      <c r="J27" t="s">
        <v>401</v>
      </c>
      <c r="K27" s="11">
        <v>65947</v>
      </c>
      <c r="M27" t="s">
        <v>24</v>
      </c>
      <c r="N27" s="11">
        <v>1919154.9099999997</v>
      </c>
    </row>
    <row r="28" spans="1:14" x14ac:dyDescent="0.3">
      <c r="A28" t="s">
        <v>24</v>
      </c>
      <c r="B28" s="2">
        <v>6059849.2599999979</v>
      </c>
      <c r="F28" t="s">
        <v>66</v>
      </c>
      <c r="G28" s="2">
        <v>2519580.33</v>
      </c>
      <c r="J28" t="s">
        <v>2035</v>
      </c>
      <c r="K28" s="11">
        <v>697506.9</v>
      </c>
      <c r="M28" t="s">
        <v>38</v>
      </c>
      <c r="N28" s="11">
        <v>2022017.0399999991</v>
      </c>
    </row>
    <row r="29" spans="1:14" x14ac:dyDescent="0.3">
      <c r="A29" t="s">
        <v>38</v>
      </c>
      <c r="B29" s="2">
        <v>6388006.9300000006</v>
      </c>
      <c r="F29" t="s">
        <v>44</v>
      </c>
      <c r="G29" s="2">
        <v>2411705.6299999985</v>
      </c>
      <c r="M29" t="s">
        <v>45</v>
      </c>
      <c r="N29" s="11">
        <v>1835691.4100000008</v>
      </c>
    </row>
    <row r="30" spans="1:14" x14ac:dyDescent="0.3">
      <c r="A30" t="s">
        <v>45</v>
      </c>
      <c r="B30" s="2">
        <v>5780115.9299999969</v>
      </c>
      <c r="F30" t="s">
        <v>170</v>
      </c>
      <c r="G30" s="2">
        <v>2367762.9299999997</v>
      </c>
      <c r="M30" t="s">
        <v>2035</v>
      </c>
      <c r="N30" s="11">
        <v>5776863.3599999994</v>
      </c>
    </row>
    <row r="31" spans="1:14" x14ac:dyDescent="0.3">
      <c r="A31" t="s">
        <v>2035</v>
      </c>
      <c r="B31" s="2">
        <v>18227972.119999994</v>
      </c>
      <c r="F31" t="s">
        <v>22</v>
      </c>
      <c r="G31" s="2">
        <v>2341508.1700000004</v>
      </c>
    </row>
    <row r="32" spans="1:14" x14ac:dyDescent="0.3">
      <c r="F32" t="s">
        <v>113</v>
      </c>
      <c r="G32" s="2">
        <v>2336477.0399999991</v>
      </c>
    </row>
    <row r="33" spans="1:7" x14ac:dyDescent="0.3">
      <c r="F33" t="s">
        <v>120</v>
      </c>
      <c r="G33" s="2">
        <v>2286974.2800000003</v>
      </c>
    </row>
    <row r="34" spans="1:7" x14ac:dyDescent="0.3">
      <c r="F34" t="s">
        <v>51</v>
      </c>
      <c r="G34" s="2">
        <v>2225711.0399999982</v>
      </c>
    </row>
    <row r="35" spans="1:7" x14ac:dyDescent="0.3">
      <c r="F35" t="s">
        <v>30</v>
      </c>
      <c r="G35" s="2">
        <v>1738252.6999999997</v>
      </c>
    </row>
    <row r="36" spans="1:7" x14ac:dyDescent="0.3">
      <c r="F36" t="s">
        <v>2035</v>
      </c>
      <c r="G36" s="2">
        <v>18227972.119999997</v>
      </c>
    </row>
    <row r="40" spans="1:7" x14ac:dyDescent="0.3">
      <c r="A40" s="9" t="s">
        <v>8</v>
      </c>
      <c r="B40" t="s">
        <v>2029</v>
      </c>
      <c r="F40" s="9" t="s">
        <v>15</v>
      </c>
      <c r="G40" t="s">
        <v>2029</v>
      </c>
    </row>
    <row r="41" spans="1:7" x14ac:dyDescent="0.3">
      <c r="A41" t="s">
        <v>456</v>
      </c>
      <c r="B41" s="2">
        <v>73639.929999999993</v>
      </c>
      <c r="F41" t="s">
        <v>48</v>
      </c>
      <c r="G41" s="2">
        <v>6471907.9999999972</v>
      </c>
    </row>
    <row r="42" spans="1:7" x14ac:dyDescent="0.3">
      <c r="A42" t="s">
        <v>1351</v>
      </c>
      <c r="B42" s="2">
        <v>67903.960000000006</v>
      </c>
      <c r="F42" t="s">
        <v>27</v>
      </c>
      <c r="G42" s="2">
        <v>5302219.8600000022</v>
      </c>
    </row>
    <row r="43" spans="1:7" x14ac:dyDescent="0.3">
      <c r="A43" t="s">
        <v>726</v>
      </c>
      <c r="B43" s="2">
        <v>67463.149999999994</v>
      </c>
      <c r="F43" t="s">
        <v>41</v>
      </c>
      <c r="G43" s="2">
        <v>6453844.259999997</v>
      </c>
    </row>
    <row r="44" spans="1:7" x14ac:dyDescent="0.3">
      <c r="A44" t="s">
        <v>1722</v>
      </c>
      <c r="B44" s="2">
        <v>70165.289999999994</v>
      </c>
      <c r="F44" t="s">
        <v>2035</v>
      </c>
      <c r="G44" s="2">
        <v>18227972.119999997</v>
      </c>
    </row>
    <row r="45" spans="1:7" x14ac:dyDescent="0.3">
      <c r="A45" t="s">
        <v>728</v>
      </c>
      <c r="B45" s="2">
        <v>77604.509999999995</v>
      </c>
    </row>
    <row r="46" spans="1:7" x14ac:dyDescent="0.3">
      <c r="A46" t="s">
        <v>969</v>
      </c>
      <c r="B46" s="2">
        <v>83807.320000000007</v>
      </c>
    </row>
    <row r="47" spans="1:7" x14ac:dyDescent="0.3">
      <c r="A47" t="s">
        <v>1222</v>
      </c>
      <c r="B47" s="2">
        <v>63361.77</v>
      </c>
    </row>
    <row r="48" spans="1:7" x14ac:dyDescent="0.3">
      <c r="A48" t="s">
        <v>111</v>
      </c>
      <c r="B48" s="2">
        <v>64623.9</v>
      </c>
    </row>
    <row r="49" spans="1:2" x14ac:dyDescent="0.3">
      <c r="A49" t="s">
        <v>674</v>
      </c>
      <c r="B49" s="2">
        <v>62990.07</v>
      </c>
    </row>
    <row r="50" spans="1:2" x14ac:dyDescent="0.3">
      <c r="A50" t="s">
        <v>401</v>
      </c>
      <c r="B50" s="2">
        <v>65947</v>
      </c>
    </row>
    <row r="51" spans="1:2" x14ac:dyDescent="0.3">
      <c r="A51" t="s">
        <v>2035</v>
      </c>
      <c r="B51" s="2">
        <v>697506.9</v>
      </c>
    </row>
    <row r="54" spans="1:2" x14ac:dyDescent="0.3">
      <c r="A54" s="9" t="s">
        <v>6</v>
      </c>
      <c r="B54" t="s">
        <v>2045</v>
      </c>
    </row>
    <row r="55" spans="1:2" x14ac:dyDescent="0.3">
      <c r="A55" t="s">
        <v>24</v>
      </c>
      <c r="B55" s="2">
        <v>1913920.8299999996</v>
      </c>
    </row>
    <row r="56" spans="1:2" x14ac:dyDescent="0.3">
      <c r="A56" t="s">
        <v>38</v>
      </c>
      <c r="B56" s="2">
        <v>2022017.0399999991</v>
      </c>
    </row>
    <row r="57" spans="1:2" x14ac:dyDescent="0.3">
      <c r="A57" t="s">
        <v>45</v>
      </c>
      <c r="B57" s="2">
        <v>1835691.4100000008</v>
      </c>
    </row>
    <row r="58" spans="1:2" x14ac:dyDescent="0.3">
      <c r="A58" t="s">
        <v>2035</v>
      </c>
      <c r="B58" s="2">
        <v>5771629.2799999993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2"/>
  <sheetViews>
    <sheetView workbookViewId="0">
      <selection activeCell="G14" sqref="G14"/>
    </sheetView>
  </sheetViews>
  <sheetFormatPr defaultRowHeight="14.4" x14ac:dyDescent="0.3"/>
  <cols>
    <col min="1" max="1" width="22" bestFit="1" customWidth="1"/>
  </cols>
  <sheetData>
    <row r="1" spans="1:1" x14ac:dyDescent="0.3">
      <c r="A1" t="s">
        <v>2046</v>
      </c>
    </row>
    <row r="2" spans="1:1" x14ac:dyDescent="0.3">
      <c r="A2" t="s">
        <v>2047</v>
      </c>
    </row>
    <row r="3" spans="1:1" x14ac:dyDescent="0.3">
      <c r="A3" t="s">
        <v>2048</v>
      </c>
    </row>
    <row r="4" spans="1:1" x14ac:dyDescent="0.3">
      <c r="A4" t="s">
        <v>2049</v>
      </c>
    </row>
    <row r="5" spans="1:1" x14ac:dyDescent="0.3">
      <c r="A5" t="s">
        <v>2050</v>
      </c>
    </row>
    <row r="6" spans="1:1" x14ac:dyDescent="0.3">
      <c r="A6" t="s">
        <v>2051</v>
      </c>
    </row>
    <row r="7" spans="1:1" x14ac:dyDescent="0.3">
      <c r="A7" t="s">
        <v>2052</v>
      </c>
    </row>
    <row r="8" spans="1:1" x14ac:dyDescent="0.3">
      <c r="A8" t="s">
        <v>2053</v>
      </c>
    </row>
    <row r="9" spans="1:1" x14ac:dyDescent="0.3">
      <c r="A9" t="s">
        <v>2054</v>
      </c>
    </row>
    <row r="10" spans="1:1" x14ac:dyDescent="0.3">
      <c r="A10" t="s">
        <v>2055</v>
      </c>
    </row>
    <row r="11" spans="1:1" x14ac:dyDescent="0.3">
      <c r="A11" t="s">
        <v>2056</v>
      </c>
    </row>
    <row r="12" spans="1:1" x14ac:dyDescent="0.3">
      <c r="A12" t="s">
        <v>2057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SalesData</vt:lpstr>
      <vt:lpstr>SalesData-</vt:lpstr>
      <vt:lpstr>Dashboard</vt:lpstr>
      <vt:lpstr>Pivot_Tables</vt:lpstr>
      <vt:lpstr>Readme</vt:lpstr>
    </vt:vector>
  </TitlesOfParts>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cp:revision/>
  <dcterms:created xsi:type="dcterms:W3CDTF">2026-07-11T08:20:19Z</dcterms:created>
  <dcterms:modified xsi:type="dcterms:W3CDTF">2026-07-16T08:17:07Z</dcterms:modified>
</cp:coreProperties>
</file>